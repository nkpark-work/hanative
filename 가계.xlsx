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6.xml" ContentType="application/vnd.ms-excel.person+xml"/>
  <Override PartName="/xl/persons/person10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11.xml" ContentType="application/vnd.ms-excel.person+xml"/>
  <Override PartName="/xl/persons/person1.xml" ContentType="application/vnd.ms-excel.person+xml"/>
  <Override PartName="/xl/persons/person9.xml" ContentType="application/vnd.ms-excel.person+xml"/>
  <Override PartName="/xl/persons/person12.xml" ContentType="application/vnd.ms-excel.person+xml"/>
  <Override PartName="/xl/persons/person13.xml" ContentType="application/vnd.ms-excel.person+xml"/>
  <Override PartName="/xl/persons/person4.xml" ContentType="application/vnd.ms-excel.person+xml"/>
  <Override PartName="/xl/persons/person15.xml" ContentType="application/vnd.ms-excel.person+xml"/>
  <Override PartName="/xl/persons/person0.xml" ContentType="application/vnd.ms-excel.person+xml"/>
  <Override PartName="/xl/persons/person7.xml" ContentType="application/vnd.ms-excel.person+xml"/>
  <Override PartName="/xl/persons/person14.xml" ContentType="application/vnd.ms-excel.person+xml"/>
  <Override PartName="/xl/persons/person5.xml" ContentType="application/vnd.ms-excel.person+xml"/>
  <Override PartName="/xl/persons/person8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/>
  <mc:AlternateContent xmlns:mc="http://schemas.openxmlformats.org/markup-compatibility/2006">
    <mc:Choice Requires="x15">
      <x15ac:absPath xmlns:x15ac="http://schemas.microsoft.com/office/spreadsheetml/2010/11/ac" url="C:\Users\HanaTI\Documents\사용자 지정 Office 서식 파일\"/>
    </mc:Choice>
  </mc:AlternateContent>
  <bookViews>
    <workbookView xWindow="0" yWindow="0" windowWidth="28800" windowHeight="12285" tabRatio="842" activeTab="16"/>
  </bookViews>
  <sheets>
    <sheet name="메인" sheetId="56" r:id="rId1"/>
    <sheet name="항목" sheetId="7" r:id="rId2"/>
    <sheet name="계좌현황" sheetId="87" r:id="rId3"/>
    <sheet name="예금관리" sheetId="85" r:id="rId4"/>
    <sheet name="적금관리" sheetId="94" r:id="rId5"/>
    <sheet name="1월" sheetId="67" r:id="rId6"/>
    <sheet name="2월" sheetId="68" r:id="rId7"/>
    <sheet name="3월" sheetId="69" r:id="rId8"/>
    <sheet name="4월" sheetId="40" r:id="rId9"/>
    <sheet name="5월" sheetId="59" r:id="rId10"/>
    <sheet name="6월" sheetId="60" r:id="rId11"/>
    <sheet name="7월" sheetId="61" r:id="rId12"/>
    <sheet name="8월" sheetId="62" r:id="rId13"/>
    <sheet name="9월" sheetId="63" r:id="rId14"/>
    <sheet name="10월" sheetId="64" r:id="rId15"/>
    <sheet name="11월" sheetId="65" r:id="rId16"/>
    <sheet name="12월" sheetId="66" r:id="rId17"/>
    <sheet name="예산" sheetId="1" r:id="rId18"/>
    <sheet name="결산" sheetId="21" r:id="rId19"/>
    <sheet name="연간_항목별수입" sheetId="17" r:id="rId20"/>
    <sheet name="연간_카드별지출" sheetId="20" r:id="rId21"/>
    <sheet name="연간_항목별지출" sheetId="16" r:id="rId22"/>
    <sheet name="연간_세부항목별지출" sheetId="18" r:id="rId23"/>
    <sheet name="자산현황" sheetId="81" r:id="rId24"/>
    <sheet name="부채관리" sheetId="109" r:id="rId25"/>
    <sheet name="대출1" sheetId="110" r:id="rId26"/>
    <sheet name="대출2" sheetId="111" r:id="rId27"/>
    <sheet name="대출3" sheetId="112" r:id="rId28"/>
    <sheet name="코스피목록" sheetId="125" state="hidden" r:id="rId29"/>
    <sheet name="코스닥목록" sheetId="127" state="hidden" r:id="rId30"/>
  </sheets>
  <definedNames>
    <definedName name="_10_결제분류">항목!$H$21:$K$21</definedName>
    <definedName name="_10_결제분류상세">항목!$H$22:$K$36</definedName>
    <definedName name="_10_결제항목">OFFSET(항목!$B$4,0,0,COUNTA(항목!$B$4:$B$18),1)</definedName>
    <definedName name="_10_계좌종류">OFFSET(항목!$D$22,0,0,COUNTA(항목!$D$22:$D$36),1)</definedName>
    <definedName name="_10_대상분류">OFFSET(항목!$C$22,0,0,COUNTA(항목!$C$22:$C$36),1)</definedName>
    <definedName name="_10_은행종류">OFFSET(항목!$B$22,0,0,COUNTA(항목!$B$22:$B$36),1)</definedName>
    <definedName name="_20_대분류">항목!$C$3:$Q$3</definedName>
    <definedName name="_20_대분류항목">OFFSET(항목!$C$3,0,0,1,COUNTA(항목!$C$3:$Q$3))</definedName>
    <definedName name="_20_소분류">항목!$C$4:$Q$18</definedName>
    <definedName name="_21_수입">OFFSET(항목!$C$4,0,0,COUNTA(항목!$C$4:$C$18),1)</definedName>
    <definedName name="_22_저축성지출">OFFSET(항목!$D$4,0,0,COUNTA(항목!$D$4:$D$18),1)</definedName>
    <definedName name="_23_경조사회비">OFFSET(항목!$P$4,0,0,COUNTA(항목!$P$4:$P$18),1)</definedName>
    <definedName name="_23E_식비">OFFSET(항목!$E$4,0,0,COUNTA(항목!$E$4:$E$18),1)</definedName>
    <definedName name="_23F_주거비">OFFSET(항목!$F$4,0,0,COUNTA(항목!$F$4:$F$18),1)</definedName>
    <definedName name="_23G_생활용품비">OFFSET(항목!$G$4,0,0,COUNTA(항목!$G$4:$G$18),1)</definedName>
    <definedName name="_23H_반려동물비">OFFSET(항목!$H$4,0,0,COUNTA(항목!$H$4:$H$18),1)</definedName>
    <definedName name="_23I_의류미용비">OFFSET(항목!$I$4,0,0,COUNTA(항목!$I$4:$I$18),1)</definedName>
    <definedName name="_23J_교육계발비">OFFSET(항목!$J$4,0,0,COUNTA(항목!$J$4:$J$18),1)</definedName>
    <definedName name="_23K_문화생활비">OFFSET(항목!$K$4,0,0,COUNTA(항목!$K$4:$K$18),1)</definedName>
    <definedName name="_23L_의료비">OFFSET(항목!$L$4,0,0,COUNTA(항목!$L$4:$L$18),1)</definedName>
    <definedName name="_23M_유류교통비">OFFSET(항목!$M$4,0,0,COUNTA(항목!$M$4:$M$18),1)</definedName>
    <definedName name="_23N_통신비">OFFSET(항목!$N$4,0,0,COUNTA(항목!$N$4:$N$18),1)</definedName>
    <definedName name="_23P_용돈지출">OFFSET(항목!$P$4,0,0,COUNTA(항목!$P$4:$P$18),1)</definedName>
    <definedName name="_xlnm._FilterDatabase" localSheetId="14" hidden="1">'10월'!$J$10:$O$23</definedName>
    <definedName name="_xlnm._FilterDatabase" localSheetId="15" hidden="1">'11월'!$J$10:$O$23</definedName>
    <definedName name="_xlnm._FilterDatabase" localSheetId="16" hidden="1">'12월'!$J$10:$O$23</definedName>
    <definedName name="_xlnm._FilterDatabase" localSheetId="5" hidden="1">'1월'!$J$10:$O$23</definedName>
    <definedName name="_xlnm._FilterDatabase" localSheetId="6" hidden="1">'2월'!$J$10:$O$23</definedName>
    <definedName name="_xlnm._FilterDatabase" localSheetId="7" hidden="1">'3월'!$J$10:$O$23</definedName>
    <definedName name="_xlnm._FilterDatabase" localSheetId="8" hidden="1">'4월'!$J$10:$O$23</definedName>
    <definedName name="_xlnm._FilterDatabase" localSheetId="9" hidden="1">'5월'!$J$10:$O$23</definedName>
    <definedName name="_xlnm._FilterDatabase" localSheetId="10" hidden="1">'6월'!$J$10:$O$23</definedName>
    <definedName name="_xlnm._FilterDatabase" localSheetId="11" hidden="1">'7월'!$J$10:$O$23</definedName>
    <definedName name="_xlnm._FilterDatabase" localSheetId="12" hidden="1">'8월'!$J$10:$O$23</definedName>
    <definedName name="_xlnm._FilterDatabase" localSheetId="13" hidden="1">'9월'!$J$10:$O$23</definedName>
    <definedName name="_xlnm._FilterDatabase" localSheetId="2" hidden="1">계좌현황!$B$8:$K$28</definedName>
    <definedName name="_xlnm._FilterDatabase" localSheetId="23" hidden="1">자산현황!#REF!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65" i="66" l="1"/>
  <c r="U165" i="66" s="1"/>
  <c r="T164" i="66"/>
  <c r="U164" i="66" s="1"/>
  <c r="T163" i="66"/>
  <c r="U163" i="66" s="1"/>
  <c r="T162" i="66"/>
  <c r="U162" i="66" s="1"/>
  <c r="T161" i="66"/>
  <c r="U161" i="66" s="1"/>
  <c r="T160" i="66"/>
  <c r="U160" i="66" s="1"/>
  <c r="T159" i="66"/>
  <c r="U159" i="66" s="1"/>
  <c r="T158" i="66"/>
  <c r="U158" i="66" s="1"/>
  <c r="T157" i="66"/>
  <c r="U157" i="66" s="1"/>
  <c r="T156" i="66"/>
  <c r="U156" i="66" s="1"/>
  <c r="T155" i="66"/>
  <c r="U155" i="66" s="1"/>
  <c r="T154" i="66"/>
  <c r="U154" i="66" s="1"/>
  <c r="T153" i="66"/>
  <c r="U153" i="66" s="1"/>
  <c r="T152" i="66"/>
  <c r="U152" i="66" s="1"/>
  <c r="T151" i="66"/>
  <c r="U151" i="66" s="1"/>
  <c r="T150" i="66"/>
  <c r="U150" i="66" s="1"/>
  <c r="T149" i="66"/>
  <c r="U149" i="66" s="1"/>
  <c r="T148" i="66"/>
  <c r="U148" i="66" s="1"/>
  <c r="T147" i="66"/>
  <c r="U147" i="66" s="1"/>
  <c r="T146" i="66"/>
  <c r="U146" i="66" s="1"/>
  <c r="T145" i="66"/>
  <c r="U145" i="66" s="1"/>
  <c r="T144" i="66"/>
  <c r="U144" i="66" s="1"/>
  <c r="T143" i="66"/>
  <c r="U143" i="66" s="1"/>
  <c r="T142" i="66"/>
  <c r="U142" i="66" s="1"/>
  <c r="T141" i="66"/>
  <c r="U141" i="66" s="1"/>
  <c r="T140" i="66"/>
  <c r="U140" i="66" s="1"/>
  <c r="T139" i="66"/>
  <c r="U139" i="66" s="1"/>
  <c r="T138" i="66"/>
  <c r="U138" i="66" s="1"/>
  <c r="T137" i="66"/>
  <c r="U137" i="66" s="1"/>
  <c r="T136" i="66"/>
  <c r="U136" i="66" s="1"/>
  <c r="T135" i="66"/>
  <c r="U135" i="66" s="1"/>
  <c r="T134" i="66"/>
  <c r="U134" i="66" s="1"/>
  <c r="T133" i="66"/>
  <c r="U133" i="66" s="1"/>
  <c r="T132" i="66"/>
  <c r="U132" i="66" s="1"/>
  <c r="T131" i="66"/>
  <c r="U131" i="66" s="1"/>
  <c r="T130" i="66"/>
  <c r="U130" i="66" s="1"/>
  <c r="T129" i="66"/>
  <c r="U129" i="66" s="1"/>
  <c r="T128" i="66"/>
  <c r="U128" i="66" s="1"/>
  <c r="T127" i="66"/>
  <c r="U127" i="66" s="1"/>
  <c r="T126" i="66"/>
  <c r="U126" i="66" s="1"/>
  <c r="T125" i="66"/>
  <c r="U125" i="66" s="1"/>
  <c r="T124" i="66"/>
  <c r="U124" i="66" s="1"/>
  <c r="T123" i="66"/>
  <c r="U123" i="66" s="1"/>
  <c r="T122" i="66"/>
  <c r="U122" i="66" s="1"/>
  <c r="T121" i="66"/>
  <c r="U121" i="66" s="1"/>
  <c r="T120" i="66"/>
  <c r="U120" i="66" s="1"/>
  <c r="T119" i="66"/>
  <c r="U119" i="66" s="1"/>
  <c r="T118" i="66"/>
  <c r="U118" i="66" s="1"/>
  <c r="T117" i="66"/>
  <c r="U117" i="66" s="1"/>
  <c r="T116" i="66"/>
  <c r="U116" i="66" s="1"/>
  <c r="T115" i="66"/>
  <c r="U115" i="66" s="1"/>
  <c r="T114" i="66"/>
  <c r="U114" i="66" s="1"/>
  <c r="T113" i="66"/>
  <c r="U113" i="66" s="1"/>
  <c r="T112" i="66"/>
  <c r="U112" i="66" s="1"/>
  <c r="T111" i="66"/>
  <c r="U111" i="66" s="1"/>
  <c r="T110" i="66"/>
  <c r="U110" i="66" s="1"/>
  <c r="T109" i="66"/>
  <c r="U109" i="66" s="1"/>
  <c r="T108" i="66"/>
  <c r="U108" i="66" s="1"/>
  <c r="T107" i="66"/>
  <c r="U107" i="66" s="1"/>
  <c r="T106" i="66"/>
  <c r="U106" i="66" s="1"/>
  <c r="T105" i="66"/>
  <c r="U105" i="66" s="1"/>
  <c r="T104" i="66"/>
  <c r="U104" i="66" s="1"/>
  <c r="T103" i="66"/>
  <c r="U103" i="66" s="1"/>
  <c r="T102" i="66"/>
  <c r="U102" i="66" s="1"/>
  <c r="T101" i="66"/>
  <c r="U101" i="66" s="1"/>
  <c r="T100" i="66"/>
  <c r="U100" i="66" s="1"/>
  <c r="T99" i="66"/>
  <c r="U99" i="66" s="1"/>
  <c r="T98" i="66"/>
  <c r="U98" i="66" s="1"/>
  <c r="T97" i="66"/>
  <c r="U97" i="66" s="1"/>
  <c r="T96" i="66"/>
  <c r="U96" i="66" s="1"/>
  <c r="T95" i="66"/>
  <c r="U95" i="66" s="1"/>
  <c r="T94" i="66"/>
  <c r="U94" i="66" s="1"/>
  <c r="T93" i="66"/>
  <c r="U93" i="66" s="1"/>
  <c r="T92" i="66"/>
  <c r="U92" i="66" s="1"/>
  <c r="T91" i="66"/>
  <c r="U91" i="66" s="1"/>
  <c r="T90" i="66"/>
  <c r="U90" i="66" s="1"/>
  <c r="T89" i="66"/>
  <c r="U89" i="66" s="1"/>
  <c r="T88" i="66"/>
  <c r="U88" i="66" s="1"/>
  <c r="T87" i="66"/>
  <c r="U87" i="66" s="1"/>
  <c r="T86" i="66"/>
  <c r="U86" i="66" s="1"/>
  <c r="T85" i="66"/>
  <c r="U85" i="66" s="1"/>
  <c r="T84" i="66"/>
  <c r="U84" i="66" s="1"/>
  <c r="T83" i="66"/>
  <c r="U83" i="66" s="1"/>
  <c r="S83" i="66"/>
  <c r="T82" i="66"/>
  <c r="T81" i="66"/>
  <c r="U78" i="66"/>
  <c r="U77" i="66"/>
  <c r="T77" i="66"/>
  <c r="T76" i="66"/>
  <c r="U76" i="66" s="1"/>
  <c r="U75" i="66"/>
  <c r="T75" i="66"/>
  <c r="U74" i="66"/>
  <c r="T74" i="66"/>
  <c r="U73" i="66"/>
  <c r="T73" i="66"/>
  <c r="U72" i="66"/>
  <c r="T72" i="66"/>
  <c r="U71" i="66"/>
  <c r="T71" i="66"/>
  <c r="T70" i="66"/>
  <c r="U70" i="66" s="1"/>
  <c r="U69" i="66"/>
  <c r="T69" i="66"/>
  <c r="U68" i="66"/>
  <c r="T68" i="66"/>
  <c r="U67" i="66"/>
  <c r="T67" i="66"/>
  <c r="U66" i="66"/>
  <c r="T66" i="66"/>
  <c r="U65" i="66"/>
  <c r="T65" i="66"/>
  <c r="T59" i="66"/>
  <c r="T58" i="66"/>
  <c r="C56" i="66"/>
  <c r="L55" i="66"/>
  <c r="U79" i="66" s="1"/>
  <c r="U81" i="66" s="1"/>
  <c r="U82" i="66" s="1"/>
  <c r="T53" i="66"/>
  <c r="T52" i="66"/>
  <c r="T51" i="66"/>
  <c r="T50" i="66"/>
  <c r="T49" i="66"/>
  <c r="T48" i="66"/>
  <c r="T47" i="66"/>
  <c r="T46" i="66"/>
  <c r="T45" i="66"/>
  <c r="T44" i="66"/>
  <c r="T43" i="66"/>
  <c r="T42" i="66"/>
  <c r="T41" i="66"/>
  <c r="T40" i="66"/>
  <c r="T39" i="66"/>
  <c r="T38" i="66"/>
  <c r="T37" i="66"/>
  <c r="T36" i="66"/>
  <c r="T35" i="66"/>
  <c r="T34" i="66"/>
  <c r="K32" i="66" s="1"/>
  <c r="C32" i="66"/>
  <c r="T165" i="65"/>
  <c r="U165" i="65" s="1"/>
  <c r="T164" i="65"/>
  <c r="U164" i="65" s="1"/>
  <c r="T163" i="65"/>
  <c r="U163" i="65" s="1"/>
  <c r="T162" i="65"/>
  <c r="U162" i="65" s="1"/>
  <c r="T161" i="65"/>
  <c r="U161" i="65" s="1"/>
  <c r="T160" i="65"/>
  <c r="U160" i="65" s="1"/>
  <c r="T159" i="65"/>
  <c r="U159" i="65" s="1"/>
  <c r="T158" i="65"/>
  <c r="U158" i="65" s="1"/>
  <c r="T157" i="65"/>
  <c r="U157" i="65" s="1"/>
  <c r="T156" i="65"/>
  <c r="U156" i="65" s="1"/>
  <c r="T155" i="65"/>
  <c r="U155" i="65" s="1"/>
  <c r="T154" i="65"/>
  <c r="U154" i="65" s="1"/>
  <c r="T153" i="65"/>
  <c r="U153" i="65" s="1"/>
  <c r="T152" i="65"/>
  <c r="U152" i="65" s="1"/>
  <c r="T151" i="65"/>
  <c r="U151" i="65" s="1"/>
  <c r="T150" i="65"/>
  <c r="U150" i="65" s="1"/>
  <c r="T149" i="65"/>
  <c r="U149" i="65" s="1"/>
  <c r="T148" i="65"/>
  <c r="U148" i="65" s="1"/>
  <c r="T147" i="65"/>
  <c r="U147" i="65" s="1"/>
  <c r="T146" i="65"/>
  <c r="U146" i="65" s="1"/>
  <c r="T145" i="65"/>
  <c r="U145" i="65" s="1"/>
  <c r="T144" i="65"/>
  <c r="U144" i="65" s="1"/>
  <c r="T143" i="65"/>
  <c r="U143" i="65" s="1"/>
  <c r="T142" i="65"/>
  <c r="U142" i="65" s="1"/>
  <c r="T141" i="65"/>
  <c r="U141" i="65" s="1"/>
  <c r="T140" i="65"/>
  <c r="U140" i="65" s="1"/>
  <c r="T139" i="65"/>
  <c r="U139" i="65" s="1"/>
  <c r="T138" i="65"/>
  <c r="U138" i="65" s="1"/>
  <c r="T137" i="65"/>
  <c r="U137" i="65" s="1"/>
  <c r="T136" i="65"/>
  <c r="U136" i="65" s="1"/>
  <c r="T135" i="65"/>
  <c r="U135" i="65" s="1"/>
  <c r="T134" i="65"/>
  <c r="U134" i="65" s="1"/>
  <c r="T133" i="65"/>
  <c r="U133" i="65" s="1"/>
  <c r="T132" i="65"/>
  <c r="U132" i="65" s="1"/>
  <c r="T131" i="65"/>
  <c r="U131" i="65" s="1"/>
  <c r="T130" i="65"/>
  <c r="U130" i="65" s="1"/>
  <c r="T129" i="65"/>
  <c r="U129" i="65" s="1"/>
  <c r="T128" i="65"/>
  <c r="U128" i="65" s="1"/>
  <c r="T127" i="65"/>
  <c r="U127" i="65" s="1"/>
  <c r="T126" i="65"/>
  <c r="U126" i="65" s="1"/>
  <c r="T125" i="65"/>
  <c r="U125" i="65" s="1"/>
  <c r="T124" i="65"/>
  <c r="U124" i="65" s="1"/>
  <c r="T123" i="65"/>
  <c r="U123" i="65" s="1"/>
  <c r="T122" i="65"/>
  <c r="U122" i="65" s="1"/>
  <c r="T121" i="65"/>
  <c r="U121" i="65" s="1"/>
  <c r="T120" i="65"/>
  <c r="U120" i="65" s="1"/>
  <c r="T119" i="65"/>
  <c r="U119" i="65" s="1"/>
  <c r="T118" i="65"/>
  <c r="U118" i="65" s="1"/>
  <c r="T117" i="65"/>
  <c r="U117" i="65" s="1"/>
  <c r="T116" i="65"/>
  <c r="U116" i="65" s="1"/>
  <c r="T115" i="65"/>
  <c r="U115" i="65" s="1"/>
  <c r="T114" i="65"/>
  <c r="U114" i="65" s="1"/>
  <c r="T113" i="65"/>
  <c r="U113" i="65" s="1"/>
  <c r="T112" i="65"/>
  <c r="U112" i="65" s="1"/>
  <c r="T111" i="65"/>
  <c r="U111" i="65" s="1"/>
  <c r="T110" i="65"/>
  <c r="U110" i="65" s="1"/>
  <c r="T109" i="65"/>
  <c r="U109" i="65" s="1"/>
  <c r="T108" i="65"/>
  <c r="U108" i="65" s="1"/>
  <c r="T107" i="65"/>
  <c r="U107" i="65" s="1"/>
  <c r="T106" i="65"/>
  <c r="U106" i="65" s="1"/>
  <c r="T105" i="65"/>
  <c r="U105" i="65" s="1"/>
  <c r="T104" i="65"/>
  <c r="U104" i="65" s="1"/>
  <c r="T103" i="65"/>
  <c r="U103" i="65" s="1"/>
  <c r="T102" i="65"/>
  <c r="U102" i="65" s="1"/>
  <c r="T101" i="65"/>
  <c r="U101" i="65" s="1"/>
  <c r="T100" i="65"/>
  <c r="U100" i="65" s="1"/>
  <c r="T99" i="65"/>
  <c r="U99" i="65" s="1"/>
  <c r="T98" i="65"/>
  <c r="U98" i="65" s="1"/>
  <c r="T97" i="65"/>
  <c r="U97" i="65" s="1"/>
  <c r="T96" i="65"/>
  <c r="U96" i="65" s="1"/>
  <c r="T95" i="65"/>
  <c r="U95" i="65" s="1"/>
  <c r="T94" i="65"/>
  <c r="U94" i="65" s="1"/>
  <c r="T93" i="65"/>
  <c r="U93" i="65" s="1"/>
  <c r="T92" i="65"/>
  <c r="U92" i="65" s="1"/>
  <c r="T91" i="65"/>
  <c r="U91" i="65" s="1"/>
  <c r="T90" i="65"/>
  <c r="U90" i="65" s="1"/>
  <c r="T89" i="65"/>
  <c r="U89" i="65" s="1"/>
  <c r="T88" i="65"/>
  <c r="U88" i="65" s="1"/>
  <c r="T87" i="65"/>
  <c r="U87" i="65" s="1"/>
  <c r="T86" i="65"/>
  <c r="U86" i="65" s="1"/>
  <c r="T85" i="65"/>
  <c r="U85" i="65" s="1"/>
  <c r="T84" i="65"/>
  <c r="U84" i="65" s="1"/>
  <c r="T83" i="65"/>
  <c r="S83" i="65"/>
  <c r="T82" i="65"/>
  <c r="T81" i="65"/>
  <c r="U78" i="65"/>
  <c r="U77" i="65"/>
  <c r="T77" i="65"/>
  <c r="U76" i="65"/>
  <c r="T76" i="65"/>
  <c r="U75" i="65"/>
  <c r="T75" i="65"/>
  <c r="U74" i="65"/>
  <c r="T74" i="65"/>
  <c r="U73" i="65"/>
  <c r="T73" i="65"/>
  <c r="U72" i="65"/>
  <c r="T72" i="65"/>
  <c r="U71" i="65"/>
  <c r="T71" i="65"/>
  <c r="U70" i="65"/>
  <c r="T70" i="65"/>
  <c r="U69" i="65"/>
  <c r="T69" i="65"/>
  <c r="U68" i="65"/>
  <c r="T68" i="65"/>
  <c r="U67" i="65"/>
  <c r="T67" i="65"/>
  <c r="U66" i="65"/>
  <c r="T66" i="65"/>
  <c r="U65" i="65"/>
  <c r="T65" i="65"/>
  <c r="T59" i="65"/>
  <c r="U58" i="65"/>
  <c r="U59" i="65" s="1"/>
  <c r="T58" i="65"/>
  <c r="L56" i="65"/>
  <c r="C56" i="65"/>
  <c r="L55" i="65"/>
  <c r="U79" i="65" s="1"/>
  <c r="U81" i="65" s="1"/>
  <c r="U82" i="65" s="1"/>
  <c r="T53" i="65"/>
  <c r="T52" i="65"/>
  <c r="T51" i="65"/>
  <c r="T50" i="65"/>
  <c r="T49" i="65"/>
  <c r="T48" i="65"/>
  <c r="T47" i="65"/>
  <c r="T46" i="65"/>
  <c r="T45" i="65"/>
  <c r="T44" i="65"/>
  <c r="T43" i="65"/>
  <c r="T42" i="65"/>
  <c r="T41" i="65"/>
  <c r="T40" i="65"/>
  <c r="T39" i="65"/>
  <c r="T38" i="65"/>
  <c r="T37" i="65"/>
  <c r="T36" i="65"/>
  <c r="T35" i="65"/>
  <c r="T34" i="65"/>
  <c r="K32" i="65" s="1"/>
  <c r="C32" i="65"/>
  <c r="T165" i="64"/>
  <c r="U165" i="64" s="1"/>
  <c r="T164" i="64"/>
  <c r="U164" i="64" s="1"/>
  <c r="T163" i="64"/>
  <c r="U163" i="64" s="1"/>
  <c r="T162" i="64"/>
  <c r="U162" i="64" s="1"/>
  <c r="T161" i="64"/>
  <c r="U161" i="64" s="1"/>
  <c r="T160" i="64"/>
  <c r="U160" i="64" s="1"/>
  <c r="T159" i="64"/>
  <c r="U159" i="64" s="1"/>
  <c r="T158" i="64"/>
  <c r="U158" i="64" s="1"/>
  <c r="T157" i="64"/>
  <c r="U157" i="64" s="1"/>
  <c r="T156" i="64"/>
  <c r="U156" i="64" s="1"/>
  <c r="T155" i="64"/>
  <c r="U155" i="64" s="1"/>
  <c r="T154" i="64"/>
  <c r="U154" i="64" s="1"/>
  <c r="T153" i="64"/>
  <c r="U153" i="64" s="1"/>
  <c r="T152" i="64"/>
  <c r="U152" i="64" s="1"/>
  <c r="T151" i="64"/>
  <c r="U151" i="64" s="1"/>
  <c r="T150" i="64"/>
  <c r="U150" i="64" s="1"/>
  <c r="T149" i="64"/>
  <c r="U149" i="64" s="1"/>
  <c r="T148" i="64"/>
  <c r="U148" i="64" s="1"/>
  <c r="T147" i="64"/>
  <c r="U147" i="64" s="1"/>
  <c r="T146" i="64"/>
  <c r="U146" i="64" s="1"/>
  <c r="T145" i="64"/>
  <c r="U145" i="64" s="1"/>
  <c r="T144" i="64"/>
  <c r="U144" i="64" s="1"/>
  <c r="T143" i="64"/>
  <c r="U143" i="64" s="1"/>
  <c r="T142" i="64"/>
  <c r="U142" i="64" s="1"/>
  <c r="T141" i="64"/>
  <c r="U141" i="64" s="1"/>
  <c r="T140" i="64"/>
  <c r="U140" i="64" s="1"/>
  <c r="T139" i="64"/>
  <c r="U139" i="64" s="1"/>
  <c r="T138" i="64"/>
  <c r="U138" i="64" s="1"/>
  <c r="T137" i="64"/>
  <c r="U137" i="64" s="1"/>
  <c r="T136" i="64"/>
  <c r="U136" i="64" s="1"/>
  <c r="T135" i="64"/>
  <c r="U135" i="64" s="1"/>
  <c r="T134" i="64"/>
  <c r="U134" i="64" s="1"/>
  <c r="T133" i="64"/>
  <c r="U133" i="64" s="1"/>
  <c r="T132" i="64"/>
  <c r="U132" i="64" s="1"/>
  <c r="T131" i="64"/>
  <c r="U131" i="64" s="1"/>
  <c r="T130" i="64"/>
  <c r="U130" i="64" s="1"/>
  <c r="T129" i="64"/>
  <c r="U129" i="64" s="1"/>
  <c r="T128" i="64"/>
  <c r="U128" i="64" s="1"/>
  <c r="T127" i="64"/>
  <c r="U127" i="64" s="1"/>
  <c r="T126" i="64"/>
  <c r="U126" i="64" s="1"/>
  <c r="T125" i="64"/>
  <c r="U125" i="64" s="1"/>
  <c r="T124" i="64"/>
  <c r="U124" i="64" s="1"/>
  <c r="T123" i="64"/>
  <c r="U123" i="64" s="1"/>
  <c r="T122" i="64"/>
  <c r="U122" i="64" s="1"/>
  <c r="T121" i="64"/>
  <c r="U121" i="64" s="1"/>
  <c r="T120" i="64"/>
  <c r="U120" i="64" s="1"/>
  <c r="T119" i="64"/>
  <c r="U119" i="64" s="1"/>
  <c r="T118" i="64"/>
  <c r="U118" i="64" s="1"/>
  <c r="T117" i="64"/>
  <c r="U117" i="64" s="1"/>
  <c r="T116" i="64"/>
  <c r="U116" i="64" s="1"/>
  <c r="T115" i="64"/>
  <c r="U115" i="64" s="1"/>
  <c r="T114" i="64"/>
  <c r="U114" i="64" s="1"/>
  <c r="T113" i="64"/>
  <c r="U113" i="64" s="1"/>
  <c r="T112" i="64"/>
  <c r="U112" i="64" s="1"/>
  <c r="T111" i="64"/>
  <c r="U111" i="64" s="1"/>
  <c r="T110" i="64"/>
  <c r="U110" i="64" s="1"/>
  <c r="T109" i="64"/>
  <c r="U109" i="64" s="1"/>
  <c r="T108" i="64"/>
  <c r="U108" i="64" s="1"/>
  <c r="T107" i="64"/>
  <c r="U107" i="64" s="1"/>
  <c r="T106" i="64"/>
  <c r="U106" i="64" s="1"/>
  <c r="T105" i="64"/>
  <c r="U105" i="64" s="1"/>
  <c r="T104" i="64"/>
  <c r="U104" i="64" s="1"/>
  <c r="T103" i="64"/>
  <c r="U103" i="64" s="1"/>
  <c r="T102" i="64"/>
  <c r="U102" i="64" s="1"/>
  <c r="T101" i="64"/>
  <c r="U101" i="64" s="1"/>
  <c r="T100" i="64"/>
  <c r="L56" i="64" s="1"/>
  <c r="T99" i="64"/>
  <c r="U99" i="64" s="1"/>
  <c r="T98" i="64"/>
  <c r="U98" i="64" s="1"/>
  <c r="T97" i="64"/>
  <c r="U97" i="64" s="1"/>
  <c r="T96" i="64"/>
  <c r="U96" i="64" s="1"/>
  <c r="T95" i="64"/>
  <c r="U95" i="64" s="1"/>
  <c r="T94" i="64"/>
  <c r="U94" i="64" s="1"/>
  <c r="T93" i="64"/>
  <c r="U93" i="64" s="1"/>
  <c r="T92" i="64"/>
  <c r="U92" i="64" s="1"/>
  <c r="T91" i="64"/>
  <c r="U91" i="64" s="1"/>
  <c r="T90" i="64"/>
  <c r="U90" i="64" s="1"/>
  <c r="T89" i="64"/>
  <c r="U89" i="64" s="1"/>
  <c r="T88" i="64"/>
  <c r="U88" i="64" s="1"/>
  <c r="T87" i="64"/>
  <c r="U87" i="64" s="1"/>
  <c r="T86" i="64"/>
  <c r="U86" i="64" s="1"/>
  <c r="T85" i="64"/>
  <c r="U85" i="64" s="1"/>
  <c r="T84" i="64"/>
  <c r="U84" i="64" s="1"/>
  <c r="T83" i="64"/>
  <c r="U83" i="64" s="1"/>
  <c r="S83" i="64"/>
  <c r="T82" i="64"/>
  <c r="T81" i="64"/>
  <c r="U79" i="64"/>
  <c r="U81" i="64" s="1"/>
  <c r="U82" i="64" s="1"/>
  <c r="U78" i="64"/>
  <c r="U77" i="64"/>
  <c r="T77" i="64"/>
  <c r="U76" i="64"/>
  <c r="T76" i="64"/>
  <c r="U75" i="64"/>
  <c r="T75" i="64"/>
  <c r="U74" i="64"/>
  <c r="T74" i="64"/>
  <c r="U73" i="64"/>
  <c r="T73" i="64"/>
  <c r="U72" i="64"/>
  <c r="T72" i="64"/>
  <c r="U71" i="64"/>
  <c r="T71" i="64"/>
  <c r="U70" i="64"/>
  <c r="T70" i="64"/>
  <c r="U69" i="64"/>
  <c r="T69" i="64"/>
  <c r="U68" i="64"/>
  <c r="T68" i="64"/>
  <c r="U67" i="64"/>
  <c r="T67" i="64"/>
  <c r="U66" i="64"/>
  <c r="T66" i="64"/>
  <c r="U65" i="64"/>
  <c r="T65" i="64"/>
  <c r="U59" i="64"/>
  <c r="T59" i="64"/>
  <c r="U58" i="64"/>
  <c r="T58" i="64"/>
  <c r="C56" i="64"/>
  <c r="L55" i="64"/>
  <c r="T53" i="64"/>
  <c r="T52" i="64"/>
  <c r="T51" i="64"/>
  <c r="T50" i="64"/>
  <c r="T49" i="64"/>
  <c r="T48" i="64"/>
  <c r="T47" i="64"/>
  <c r="T46" i="64"/>
  <c r="T45" i="64"/>
  <c r="T44" i="64"/>
  <c r="T43" i="64"/>
  <c r="T42" i="64"/>
  <c r="T41" i="64"/>
  <c r="T40" i="64"/>
  <c r="T39" i="64"/>
  <c r="T38" i="64"/>
  <c r="T37" i="64"/>
  <c r="T36" i="64"/>
  <c r="T35" i="64"/>
  <c r="T34" i="64"/>
  <c r="K32" i="64" s="1"/>
  <c r="C32" i="64"/>
  <c r="T165" i="63"/>
  <c r="U165" i="63" s="1"/>
  <c r="T164" i="63"/>
  <c r="U164" i="63" s="1"/>
  <c r="T163" i="63"/>
  <c r="U163" i="63" s="1"/>
  <c r="T162" i="63"/>
  <c r="U162" i="63" s="1"/>
  <c r="T161" i="63"/>
  <c r="U161" i="63" s="1"/>
  <c r="T160" i="63"/>
  <c r="U160" i="63" s="1"/>
  <c r="T159" i="63"/>
  <c r="U159" i="63" s="1"/>
  <c r="T158" i="63"/>
  <c r="U158" i="63" s="1"/>
  <c r="T157" i="63"/>
  <c r="U157" i="63" s="1"/>
  <c r="T156" i="63"/>
  <c r="U156" i="63" s="1"/>
  <c r="T155" i="63"/>
  <c r="U155" i="63" s="1"/>
  <c r="T154" i="63"/>
  <c r="U154" i="63" s="1"/>
  <c r="T153" i="63"/>
  <c r="U153" i="63" s="1"/>
  <c r="T152" i="63"/>
  <c r="U152" i="63" s="1"/>
  <c r="T151" i="63"/>
  <c r="U151" i="63" s="1"/>
  <c r="T150" i="63"/>
  <c r="U150" i="63" s="1"/>
  <c r="T149" i="63"/>
  <c r="U149" i="63" s="1"/>
  <c r="T148" i="63"/>
  <c r="U148" i="63" s="1"/>
  <c r="T147" i="63"/>
  <c r="U147" i="63" s="1"/>
  <c r="T146" i="63"/>
  <c r="U146" i="63" s="1"/>
  <c r="T145" i="63"/>
  <c r="U145" i="63" s="1"/>
  <c r="T144" i="63"/>
  <c r="U144" i="63" s="1"/>
  <c r="T143" i="63"/>
  <c r="U143" i="63" s="1"/>
  <c r="T142" i="63"/>
  <c r="U142" i="63" s="1"/>
  <c r="T141" i="63"/>
  <c r="U141" i="63" s="1"/>
  <c r="T140" i="63"/>
  <c r="U140" i="63" s="1"/>
  <c r="T139" i="63"/>
  <c r="U139" i="63" s="1"/>
  <c r="T138" i="63"/>
  <c r="U138" i="63" s="1"/>
  <c r="T137" i="63"/>
  <c r="U137" i="63" s="1"/>
  <c r="T136" i="63"/>
  <c r="U136" i="63" s="1"/>
  <c r="T135" i="63"/>
  <c r="U135" i="63" s="1"/>
  <c r="T134" i="63"/>
  <c r="U134" i="63" s="1"/>
  <c r="T133" i="63"/>
  <c r="U133" i="63" s="1"/>
  <c r="T132" i="63"/>
  <c r="U132" i="63" s="1"/>
  <c r="T131" i="63"/>
  <c r="U131" i="63" s="1"/>
  <c r="T130" i="63"/>
  <c r="U130" i="63" s="1"/>
  <c r="T129" i="63"/>
  <c r="U129" i="63" s="1"/>
  <c r="T128" i="63"/>
  <c r="U128" i="63" s="1"/>
  <c r="T127" i="63"/>
  <c r="U127" i="63" s="1"/>
  <c r="T126" i="63"/>
  <c r="U126" i="63" s="1"/>
  <c r="T125" i="63"/>
  <c r="U125" i="63" s="1"/>
  <c r="T124" i="63"/>
  <c r="U124" i="63" s="1"/>
  <c r="T123" i="63"/>
  <c r="U123" i="63" s="1"/>
  <c r="T122" i="63"/>
  <c r="U122" i="63" s="1"/>
  <c r="T121" i="63"/>
  <c r="U121" i="63" s="1"/>
  <c r="T120" i="63"/>
  <c r="U120" i="63" s="1"/>
  <c r="T119" i="63"/>
  <c r="U119" i="63" s="1"/>
  <c r="T118" i="63"/>
  <c r="U118" i="63" s="1"/>
  <c r="T117" i="63"/>
  <c r="U117" i="63" s="1"/>
  <c r="T116" i="63"/>
  <c r="U116" i="63" s="1"/>
  <c r="T115" i="63"/>
  <c r="U115" i="63" s="1"/>
  <c r="T114" i="63"/>
  <c r="U114" i="63" s="1"/>
  <c r="T113" i="63"/>
  <c r="U113" i="63" s="1"/>
  <c r="T112" i="63"/>
  <c r="U112" i="63" s="1"/>
  <c r="T111" i="63"/>
  <c r="U111" i="63" s="1"/>
  <c r="T110" i="63"/>
  <c r="U110" i="63" s="1"/>
  <c r="T109" i="63"/>
  <c r="U109" i="63" s="1"/>
  <c r="T108" i="63"/>
  <c r="U108" i="63" s="1"/>
  <c r="T107" i="63"/>
  <c r="U107" i="63" s="1"/>
  <c r="T106" i="63"/>
  <c r="U106" i="63" s="1"/>
  <c r="T105" i="63"/>
  <c r="U105" i="63" s="1"/>
  <c r="T104" i="63"/>
  <c r="U104" i="63" s="1"/>
  <c r="T103" i="63"/>
  <c r="U103" i="63" s="1"/>
  <c r="T102" i="63"/>
  <c r="U102" i="63" s="1"/>
  <c r="T101" i="63"/>
  <c r="U101" i="63" s="1"/>
  <c r="T100" i="63"/>
  <c r="U100" i="63" s="1"/>
  <c r="T99" i="63"/>
  <c r="U99" i="63" s="1"/>
  <c r="T98" i="63"/>
  <c r="U98" i="63" s="1"/>
  <c r="T97" i="63"/>
  <c r="U97" i="63" s="1"/>
  <c r="T96" i="63"/>
  <c r="U96" i="63" s="1"/>
  <c r="T95" i="63"/>
  <c r="U95" i="63" s="1"/>
  <c r="T94" i="63"/>
  <c r="L56" i="63" s="1"/>
  <c r="T93" i="63"/>
  <c r="U93" i="63" s="1"/>
  <c r="T92" i="63"/>
  <c r="U92" i="63" s="1"/>
  <c r="T91" i="63"/>
  <c r="U91" i="63" s="1"/>
  <c r="T90" i="63"/>
  <c r="U90" i="63" s="1"/>
  <c r="T89" i="63"/>
  <c r="U89" i="63" s="1"/>
  <c r="T88" i="63"/>
  <c r="U88" i="63" s="1"/>
  <c r="T87" i="63"/>
  <c r="U87" i="63" s="1"/>
  <c r="T86" i="63"/>
  <c r="U86" i="63" s="1"/>
  <c r="T85" i="63"/>
  <c r="U85" i="63" s="1"/>
  <c r="T84" i="63"/>
  <c r="U84" i="63" s="1"/>
  <c r="T83" i="63"/>
  <c r="U83" i="63" s="1"/>
  <c r="S83" i="63"/>
  <c r="T82" i="63"/>
  <c r="T81" i="63"/>
  <c r="U78" i="63"/>
  <c r="U77" i="63"/>
  <c r="T77" i="63"/>
  <c r="U76" i="63"/>
  <c r="T76" i="63"/>
  <c r="U75" i="63"/>
  <c r="T75" i="63"/>
  <c r="U74" i="63"/>
  <c r="T74" i="63"/>
  <c r="U73" i="63"/>
  <c r="T73" i="63"/>
  <c r="U72" i="63"/>
  <c r="T72" i="63"/>
  <c r="U71" i="63"/>
  <c r="T71" i="63"/>
  <c r="U70" i="63"/>
  <c r="T70" i="63"/>
  <c r="U69" i="63"/>
  <c r="T69" i="63"/>
  <c r="U68" i="63"/>
  <c r="T68" i="63"/>
  <c r="U67" i="63"/>
  <c r="T67" i="63"/>
  <c r="T66" i="63"/>
  <c r="U66" i="63" s="1"/>
  <c r="U65" i="63"/>
  <c r="T65" i="63"/>
  <c r="T59" i="63"/>
  <c r="T58" i="63"/>
  <c r="C56" i="63"/>
  <c r="L55" i="63"/>
  <c r="U79" i="63" s="1"/>
  <c r="U81" i="63" s="1"/>
  <c r="U82" i="63" s="1"/>
  <c r="T53" i="63"/>
  <c r="T52" i="63"/>
  <c r="T51" i="63"/>
  <c r="T50" i="63"/>
  <c r="T49" i="63"/>
  <c r="T48" i="63"/>
  <c r="T47" i="63"/>
  <c r="T46" i="63"/>
  <c r="T45" i="63"/>
  <c r="T44" i="63"/>
  <c r="T43" i="63"/>
  <c r="T42" i="63"/>
  <c r="T41" i="63"/>
  <c r="T40" i="63"/>
  <c r="T39" i="63"/>
  <c r="T38" i="63"/>
  <c r="T37" i="63"/>
  <c r="T36" i="63"/>
  <c r="T35" i="63"/>
  <c r="T34" i="63"/>
  <c r="K32" i="63" s="1"/>
  <c r="C32" i="63"/>
  <c r="T165" i="62"/>
  <c r="U165" i="62" s="1"/>
  <c r="T164" i="62"/>
  <c r="U164" i="62" s="1"/>
  <c r="T163" i="62"/>
  <c r="U163" i="62" s="1"/>
  <c r="T162" i="62"/>
  <c r="U162" i="62" s="1"/>
  <c r="T161" i="62"/>
  <c r="U161" i="62" s="1"/>
  <c r="T160" i="62"/>
  <c r="U160" i="62" s="1"/>
  <c r="T159" i="62"/>
  <c r="U159" i="62" s="1"/>
  <c r="T158" i="62"/>
  <c r="U158" i="62" s="1"/>
  <c r="T157" i="62"/>
  <c r="U157" i="62" s="1"/>
  <c r="T156" i="62"/>
  <c r="U156" i="62" s="1"/>
  <c r="T155" i="62"/>
  <c r="U155" i="62" s="1"/>
  <c r="T154" i="62"/>
  <c r="U154" i="62" s="1"/>
  <c r="T153" i="62"/>
  <c r="U153" i="62" s="1"/>
  <c r="T152" i="62"/>
  <c r="U152" i="62" s="1"/>
  <c r="T151" i="62"/>
  <c r="U151" i="62" s="1"/>
  <c r="T150" i="62"/>
  <c r="U150" i="62" s="1"/>
  <c r="T149" i="62"/>
  <c r="U149" i="62" s="1"/>
  <c r="T148" i="62"/>
  <c r="U148" i="62" s="1"/>
  <c r="T147" i="62"/>
  <c r="U147" i="62" s="1"/>
  <c r="T146" i="62"/>
  <c r="U146" i="62" s="1"/>
  <c r="T145" i="62"/>
  <c r="U145" i="62" s="1"/>
  <c r="T144" i="62"/>
  <c r="U144" i="62" s="1"/>
  <c r="T143" i="62"/>
  <c r="U143" i="62" s="1"/>
  <c r="T142" i="62"/>
  <c r="U142" i="62" s="1"/>
  <c r="T141" i="62"/>
  <c r="U141" i="62" s="1"/>
  <c r="T140" i="62"/>
  <c r="U140" i="62" s="1"/>
  <c r="T139" i="62"/>
  <c r="U139" i="62" s="1"/>
  <c r="T138" i="62"/>
  <c r="U138" i="62" s="1"/>
  <c r="T137" i="62"/>
  <c r="U137" i="62" s="1"/>
  <c r="T136" i="62"/>
  <c r="U136" i="62" s="1"/>
  <c r="T135" i="62"/>
  <c r="U135" i="62" s="1"/>
  <c r="T134" i="62"/>
  <c r="U134" i="62" s="1"/>
  <c r="T133" i="62"/>
  <c r="U133" i="62" s="1"/>
  <c r="T132" i="62"/>
  <c r="U132" i="62" s="1"/>
  <c r="T131" i="62"/>
  <c r="U131" i="62" s="1"/>
  <c r="T130" i="62"/>
  <c r="U130" i="62" s="1"/>
  <c r="T129" i="62"/>
  <c r="U129" i="62" s="1"/>
  <c r="T128" i="62"/>
  <c r="U128" i="62" s="1"/>
  <c r="T127" i="62"/>
  <c r="U127" i="62" s="1"/>
  <c r="T126" i="62"/>
  <c r="U126" i="62" s="1"/>
  <c r="T125" i="62"/>
  <c r="U125" i="62" s="1"/>
  <c r="T124" i="62"/>
  <c r="U124" i="62" s="1"/>
  <c r="T123" i="62"/>
  <c r="U123" i="62" s="1"/>
  <c r="T122" i="62"/>
  <c r="U122" i="62" s="1"/>
  <c r="T121" i="62"/>
  <c r="U121" i="62" s="1"/>
  <c r="T120" i="62"/>
  <c r="U120" i="62" s="1"/>
  <c r="T119" i="62"/>
  <c r="U119" i="62" s="1"/>
  <c r="T118" i="62"/>
  <c r="U118" i="62" s="1"/>
  <c r="T117" i="62"/>
  <c r="U117" i="62" s="1"/>
  <c r="T116" i="62"/>
  <c r="U116" i="62" s="1"/>
  <c r="T115" i="62"/>
  <c r="U115" i="62" s="1"/>
  <c r="T114" i="62"/>
  <c r="U114" i="62" s="1"/>
  <c r="T113" i="62"/>
  <c r="U113" i="62" s="1"/>
  <c r="T112" i="62"/>
  <c r="U112" i="62" s="1"/>
  <c r="T111" i="62"/>
  <c r="U111" i="62" s="1"/>
  <c r="T110" i="62"/>
  <c r="U110" i="62" s="1"/>
  <c r="T109" i="62"/>
  <c r="U109" i="62" s="1"/>
  <c r="T108" i="62"/>
  <c r="U108" i="62" s="1"/>
  <c r="T107" i="62"/>
  <c r="U107" i="62" s="1"/>
  <c r="T106" i="62"/>
  <c r="U106" i="62" s="1"/>
  <c r="T105" i="62"/>
  <c r="U105" i="62" s="1"/>
  <c r="T104" i="62"/>
  <c r="U104" i="62" s="1"/>
  <c r="T103" i="62"/>
  <c r="U103" i="62" s="1"/>
  <c r="T102" i="62"/>
  <c r="U102" i="62" s="1"/>
  <c r="T101" i="62"/>
  <c r="U101" i="62" s="1"/>
  <c r="T100" i="62"/>
  <c r="U100" i="62" s="1"/>
  <c r="T99" i="62"/>
  <c r="U99" i="62" s="1"/>
  <c r="T98" i="62"/>
  <c r="U98" i="62" s="1"/>
  <c r="T97" i="62"/>
  <c r="U97" i="62" s="1"/>
  <c r="T96" i="62"/>
  <c r="U96" i="62" s="1"/>
  <c r="T95" i="62"/>
  <c r="U95" i="62" s="1"/>
  <c r="T94" i="62"/>
  <c r="U94" i="62" s="1"/>
  <c r="T93" i="62"/>
  <c r="U93" i="62" s="1"/>
  <c r="T92" i="62"/>
  <c r="U92" i="62" s="1"/>
  <c r="T91" i="62"/>
  <c r="U91" i="62" s="1"/>
  <c r="T90" i="62"/>
  <c r="U90" i="62" s="1"/>
  <c r="T89" i="62"/>
  <c r="U89" i="62" s="1"/>
  <c r="T88" i="62"/>
  <c r="L56" i="62" s="1"/>
  <c r="T87" i="62"/>
  <c r="U87" i="62" s="1"/>
  <c r="T86" i="62"/>
  <c r="U86" i="62" s="1"/>
  <c r="T85" i="62"/>
  <c r="U85" i="62" s="1"/>
  <c r="T84" i="62"/>
  <c r="U84" i="62" s="1"/>
  <c r="T83" i="62"/>
  <c r="S83" i="62"/>
  <c r="T82" i="62"/>
  <c r="T81" i="62"/>
  <c r="U78" i="62"/>
  <c r="U77" i="62"/>
  <c r="T77" i="62"/>
  <c r="U76" i="62"/>
  <c r="T76" i="62"/>
  <c r="U75" i="62"/>
  <c r="T75" i="62"/>
  <c r="U74" i="62"/>
  <c r="T74" i="62"/>
  <c r="U73" i="62"/>
  <c r="T73" i="62"/>
  <c r="U72" i="62"/>
  <c r="T72" i="62"/>
  <c r="U71" i="62"/>
  <c r="T71" i="62"/>
  <c r="U70" i="62"/>
  <c r="T70" i="62"/>
  <c r="T69" i="62"/>
  <c r="U69" i="62" s="1"/>
  <c r="U68" i="62"/>
  <c r="T68" i="62"/>
  <c r="U67" i="62"/>
  <c r="T67" i="62"/>
  <c r="U66" i="62"/>
  <c r="T66" i="62"/>
  <c r="U65" i="62"/>
  <c r="T65" i="62"/>
  <c r="T59" i="62"/>
  <c r="T58" i="62"/>
  <c r="U58" i="62" s="1"/>
  <c r="U59" i="62" s="1"/>
  <c r="C56" i="62"/>
  <c r="L55" i="62"/>
  <c r="U79" i="62" s="1"/>
  <c r="U81" i="62" s="1"/>
  <c r="U82" i="62" s="1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K32" i="62" s="1"/>
  <c r="T35" i="62"/>
  <c r="T34" i="62"/>
  <c r="C32" i="62"/>
  <c r="T165" i="61"/>
  <c r="U165" i="61" s="1"/>
  <c r="T164" i="61"/>
  <c r="U164" i="61" s="1"/>
  <c r="T163" i="61"/>
  <c r="U163" i="61" s="1"/>
  <c r="T162" i="61"/>
  <c r="U162" i="61" s="1"/>
  <c r="T161" i="61"/>
  <c r="U161" i="61" s="1"/>
  <c r="T160" i="61"/>
  <c r="U160" i="61" s="1"/>
  <c r="T159" i="61"/>
  <c r="U159" i="61" s="1"/>
  <c r="T158" i="61"/>
  <c r="U158" i="61" s="1"/>
  <c r="T157" i="61"/>
  <c r="U157" i="61" s="1"/>
  <c r="T156" i="61"/>
  <c r="U156" i="61" s="1"/>
  <c r="T155" i="61"/>
  <c r="U155" i="61" s="1"/>
  <c r="T154" i="61"/>
  <c r="U154" i="61" s="1"/>
  <c r="T153" i="61"/>
  <c r="U153" i="61" s="1"/>
  <c r="T152" i="61"/>
  <c r="U152" i="61" s="1"/>
  <c r="T151" i="61"/>
  <c r="U151" i="61" s="1"/>
  <c r="T150" i="61"/>
  <c r="U150" i="61" s="1"/>
  <c r="T149" i="61"/>
  <c r="U149" i="61" s="1"/>
  <c r="T148" i="61"/>
  <c r="U148" i="61" s="1"/>
  <c r="T147" i="61"/>
  <c r="U147" i="61" s="1"/>
  <c r="T146" i="61"/>
  <c r="U146" i="61" s="1"/>
  <c r="T145" i="61"/>
  <c r="U145" i="61" s="1"/>
  <c r="T144" i="61"/>
  <c r="U144" i="61" s="1"/>
  <c r="T143" i="61"/>
  <c r="U143" i="61" s="1"/>
  <c r="T142" i="61"/>
  <c r="U142" i="61" s="1"/>
  <c r="T141" i="61"/>
  <c r="U141" i="61" s="1"/>
  <c r="T140" i="61"/>
  <c r="U140" i="61" s="1"/>
  <c r="T139" i="61"/>
  <c r="U139" i="61" s="1"/>
  <c r="T138" i="61"/>
  <c r="U138" i="61" s="1"/>
  <c r="T137" i="61"/>
  <c r="U137" i="61" s="1"/>
  <c r="T136" i="61"/>
  <c r="U136" i="61" s="1"/>
  <c r="T135" i="61"/>
  <c r="U135" i="61" s="1"/>
  <c r="T134" i="61"/>
  <c r="U134" i="61" s="1"/>
  <c r="T133" i="61"/>
  <c r="U133" i="61" s="1"/>
  <c r="T132" i="61"/>
  <c r="U132" i="61" s="1"/>
  <c r="T131" i="61"/>
  <c r="U131" i="61" s="1"/>
  <c r="T130" i="61"/>
  <c r="U130" i="61" s="1"/>
  <c r="T129" i="61"/>
  <c r="U129" i="61" s="1"/>
  <c r="T128" i="61"/>
  <c r="U128" i="61" s="1"/>
  <c r="T127" i="61"/>
  <c r="U127" i="61" s="1"/>
  <c r="T126" i="61"/>
  <c r="U126" i="61" s="1"/>
  <c r="T125" i="61"/>
  <c r="U125" i="61" s="1"/>
  <c r="T124" i="61"/>
  <c r="U124" i="61" s="1"/>
  <c r="T123" i="61"/>
  <c r="U123" i="61" s="1"/>
  <c r="T122" i="61"/>
  <c r="U122" i="61" s="1"/>
  <c r="T121" i="61"/>
  <c r="U121" i="61" s="1"/>
  <c r="T120" i="61"/>
  <c r="U120" i="61" s="1"/>
  <c r="T119" i="61"/>
  <c r="U119" i="61" s="1"/>
  <c r="T118" i="61"/>
  <c r="U118" i="61" s="1"/>
  <c r="T117" i="61"/>
  <c r="U117" i="61" s="1"/>
  <c r="T116" i="61"/>
  <c r="U116" i="61" s="1"/>
  <c r="T115" i="61"/>
  <c r="U115" i="61" s="1"/>
  <c r="T114" i="61"/>
  <c r="U114" i="61" s="1"/>
  <c r="T113" i="61"/>
  <c r="U113" i="61" s="1"/>
  <c r="T112" i="61"/>
  <c r="U112" i="61" s="1"/>
  <c r="T111" i="61"/>
  <c r="U111" i="61" s="1"/>
  <c r="T110" i="61"/>
  <c r="U110" i="61" s="1"/>
  <c r="T109" i="61"/>
  <c r="U109" i="61" s="1"/>
  <c r="T108" i="61"/>
  <c r="U108" i="61" s="1"/>
  <c r="T107" i="61"/>
  <c r="U107" i="61" s="1"/>
  <c r="T106" i="61"/>
  <c r="U106" i="61" s="1"/>
  <c r="T105" i="61"/>
  <c r="U105" i="61" s="1"/>
  <c r="T104" i="61"/>
  <c r="U104" i="61" s="1"/>
  <c r="T103" i="61"/>
  <c r="U103" i="61" s="1"/>
  <c r="T102" i="61"/>
  <c r="U102" i="61" s="1"/>
  <c r="T101" i="61"/>
  <c r="U101" i="61" s="1"/>
  <c r="T100" i="61"/>
  <c r="U100" i="61" s="1"/>
  <c r="T99" i="61"/>
  <c r="U99" i="61" s="1"/>
  <c r="T98" i="61"/>
  <c r="U98" i="61" s="1"/>
  <c r="T97" i="61"/>
  <c r="U97" i="61" s="1"/>
  <c r="T96" i="61"/>
  <c r="U96" i="61" s="1"/>
  <c r="T95" i="61"/>
  <c r="U95" i="61" s="1"/>
  <c r="T94" i="61"/>
  <c r="U94" i="61" s="1"/>
  <c r="T93" i="61"/>
  <c r="U93" i="61" s="1"/>
  <c r="T92" i="61"/>
  <c r="U92" i="61" s="1"/>
  <c r="T91" i="61"/>
  <c r="U91" i="61" s="1"/>
  <c r="T90" i="61"/>
  <c r="U90" i="61" s="1"/>
  <c r="T89" i="61"/>
  <c r="U89" i="61" s="1"/>
  <c r="T88" i="61"/>
  <c r="L56" i="61" s="1"/>
  <c r="T87" i="61"/>
  <c r="U87" i="61" s="1"/>
  <c r="T86" i="61"/>
  <c r="U86" i="61" s="1"/>
  <c r="T85" i="61"/>
  <c r="U85" i="61" s="1"/>
  <c r="T84" i="61"/>
  <c r="U84" i="61" s="1"/>
  <c r="T83" i="61"/>
  <c r="U83" i="61" s="1"/>
  <c r="S83" i="61"/>
  <c r="T82" i="61"/>
  <c r="T81" i="61"/>
  <c r="U79" i="61"/>
  <c r="U81" i="61" s="1"/>
  <c r="U82" i="61" s="1"/>
  <c r="U78" i="61"/>
  <c r="U77" i="61"/>
  <c r="T77" i="61"/>
  <c r="U76" i="61"/>
  <c r="T76" i="61"/>
  <c r="U75" i="61"/>
  <c r="T75" i="61"/>
  <c r="U74" i="61"/>
  <c r="T74" i="61"/>
  <c r="U73" i="61"/>
  <c r="T73" i="61"/>
  <c r="U72" i="61"/>
  <c r="T72" i="61"/>
  <c r="U71" i="61"/>
  <c r="T71" i="61"/>
  <c r="U70" i="61"/>
  <c r="T70" i="61"/>
  <c r="U69" i="61"/>
  <c r="T69" i="61"/>
  <c r="U68" i="61"/>
  <c r="T68" i="61"/>
  <c r="U67" i="61"/>
  <c r="T67" i="61"/>
  <c r="U66" i="61"/>
  <c r="T66" i="61"/>
  <c r="U65" i="61"/>
  <c r="T65" i="61"/>
  <c r="U59" i="61"/>
  <c r="T59" i="61"/>
  <c r="U58" i="61"/>
  <c r="T58" i="61"/>
  <c r="C56" i="61"/>
  <c r="L55" i="61"/>
  <c r="T53" i="61"/>
  <c r="T52" i="61"/>
  <c r="T51" i="61"/>
  <c r="T50" i="61"/>
  <c r="T49" i="61"/>
  <c r="T48" i="61"/>
  <c r="T47" i="61"/>
  <c r="T46" i="61"/>
  <c r="T45" i="61"/>
  <c r="T44" i="61"/>
  <c r="T43" i="61"/>
  <c r="T42" i="61"/>
  <c r="T41" i="61"/>
  <c r="T40" i="61"/>
  <c r="T39" i="61"/>
  <c r="T38" i="61"/>
  <c r="T37" i="61"/>
  <c r="T36" i="61"/>
  <c r="T35" i="61"/>
  <c r="T34" i="61"/>
  <c r="K32" i="61" s="1"/>
  <c r="C32" i="61"/>
  <c r="T165" i="60"/>
  <c r="U165" i="60" s="1"/>
  <c r="T164" i="60"/>
  <c r="U164" i="60" s="1"/>
  <c r="T163" i="60"/>
  <c r="U163" i="60" s="1"/>
  <c r="T162" i="60"/>
  <c r="U162" i="60" s="1"/>
  <c r="T161" i="60"/>
  <c r="U161" i="60" s="1"/>
  <c r="T160" i="60"/>
  <c r="U160" i="60" s="1"/>
  <c r="T159" i="60"/>
  <c r="U159" i="60" s="1"/>
  <c r="T158" i="60"/>
  <c r="U158" i="60" s="1"/>
  <c r="T157" i="60"/>
  <c r="U157" i="60" s="1"/>
  <c r="T156" i="60"/>
  <c r="U156" i="60" s="1"/>
  <c r="T155" i="60"/>
  <c r="U155" i="60" s="1"/>
  <c r="T154" i="60"/>
  <c r="U154" i="60" s="1"/>
  <c r="T153" i="60"/>
  <c r="U153" i="60" s="1"/>
  <c r="T152" i="60"/>
  <c r="U152" i="60" s="1"/>
  <c r="T151" i="60"/>
  <c r="U151" i="60" s="1"/>
  <c r="T150" i="60"/>
  <c r="U150" i="60" s="1"/>
  <c r="T149" i="60"/>
  <c r="U149" i="60" s="1"/>
  <c r="T148" i="60"/>
  <c r="U148" i="60" s="1"/>
  <c r="T147" i="60"/>
  <c r="U147" i="60" s="1"/>
  <c r="T146" i="60"/>
  <c r="U146" i="60" s="1"/>
  <c r="T145" i="60"/>
  <c r="U145" i="60" s="1"/>
  <c r="T144" i="60"/>
  <c r="U144" i="60" s="1"/>
  <c r="T143" i="60"/>
  <c r="U143" i="60" s="1"/>
  <c r="T142" i="60"/>
  <c r="U142" i="60" s="1"/>
  <c r="T141" i="60"/>
  <c r="U141" i="60" s="1"/>
  <c r="T140" i="60"/>
  <c r="U140" i="60" s="1"/>
  <c r="T139" i="60"/>
  <c r="U139" i="60" s="1"/>
  <c r="T138" i="60"/>
  <c r="U138" i="60" s="1"/>
  <c r="T137" i="60"/>
  <c r="U137" i="60" s="1"/>
  <c r="T136" i="60"/>
  <c r="U136" i="60" s="1"/>
  <c r="T135" i="60"/>
  <c r="U135" i="60" s="1"/>
  <c r="T134" i="60"/>
  <c r="U134" i="60" s="1"/>
  <c r="T133" i="60"/>
  <c r="U133" i="60" s="1"/>
  <c r="T132" i="60"/>
  <c r="U132" i="60" s="1"/>
  <c r="T131" i="60"/>
  <c r="U131" i="60" s="1"/>
  <c r="T130" i="60"/>
  <c r="U130" i="60" s="1"/>
  <c r="T129" i="60"/>
  <c r="U129" i="60" s="1"/>
  <c r="T128" i="60"/>
  <c r="U128" i="60" s="1"/>
  <c r="T127" i="60"/>
  <c r="U127" i="60" s="1"/>
  <c r="T126" i="60"/>
  <c r="U126" i="60" s="1"/>
  <c r="T125" i="60"/>
  <c r="U125" i="60" s="1"/>
  <c r="T124" i="60"/>
  <c r="U124" i="60" s="1"/>
  <c r="T123" i="60"/>
  <c r="U123" i="60" s="1"/>
  <c r="T122" i="60"/>
  <c r="U122" i="60" s="1"/>
  <c r="T121" i="60"/>
  <c r="U121" i="60" s="1"/>
  <c r="T120" i="60"/>
  <c r="U120" i="60" s="1"/>
  <c r="T119" i="60"/>
  <c r="U119" i="60" s="1"/>
  <c r="T118" i="60"/>
  <c r="U118" i="60" s="1"/>
  <c r="T117" i="60"/>
  <c r="U117" i="60" s="1"/>
  <c r="T116" i="60"/>
  <c r="U116" i="60" s="1"/>
  <c r="T115" i="60"/>
  <c r="U115" i="60" s="1"/>
  <c r="T114" i="60"/>
  <c r="U114" i="60" s="1"/>
  <c r="T113" i="60"/>
  <c r="U113" i="60" s="1"/>
  <c r="T112" i="60"/>
  <c r="U112" i="60" s="1"/>
  <c r="T111" i="60"/>
  <c r="U111" i="60" s="1"/>
  <c r="T110" i="60"/>
  <c r="U110" i="60" s="1"/>
  <c r="T109" i="60"/>
  <c r="U109" i="60" s="1"/>
  <c r="T108" i="60"/>
  <c r="U108" i="60" s="1"/>
  <c r="T107" i="60"/>
  <c r="U107" i="60" s="1"/>
  <c r="T106" i="60"/>
  <c r="U106" i="60" s="1"/>
  <c r="T105" i="60"/>
  <c r="U105" i="60" s="1"/>
  <c r="T104" i="60"/>
  <c r="U104" i="60" s="1"/>
  <c r="T103" i="60"/>
  <c r="U103" i="60" s="1"/>
  <c r="T102" i="60"/>
  <c r="U102" i="60" s="1"/>
  <c r="T101" i="60"/>
  <c r="U101" i="60" s="1"/>
  <c r="T100" i="60"/>
  <c r="U100" i="60" s="1"/>
  <c r="T99" i="60"/>
  <c r="U99" i="60" s="1"/>
  <c r="T98" i="60"/>
  <c r="U98" i="60" s="1"/>
  <c r="T97" i="60"/>
  <c r="U97" i="60" s="1"/>
  <c r="T96" i="60"/>
  <c r="U96" i="60" s="1"/>
  <c r="T95" i="60"/>
  <c r="U95" i="60" s="1"/>
  <c r="T94" i="60"/>
  <c r="U94" i="60" s="1"/>
  <c r="T93" i="60"/>
  <c r="U93" i="60" s="1"/>
  <c r="T92" i="60"/>
  <c r="U92" i="60" s="1"/>
  <c r="T91" i="60"/>
  <c r="U91" i="60" s="1"/>
  <c r="T90" i="60"/>
  <c r="U90" i="60" s="1"/>
  <c r="T89" i="60"/>
  <c r="U89" i="60" s="1"/>
  <c r="T88" i="60"/>
  <c r="U88" i="60" s="1"/>
  <c r="T87" i="60"/>
  <c r="U87" i="60" s="1"/>
  <c r="T86" i="60"/>
  <c r="U86" i="60" s="1"/>
  <c r="T85" i="60"/>
  <c r="U85" i="60" s="1"/>
  <c r="T84" i="60"/>
  <c r="U84" i="60" s="1"/>
  <c r="T83" i="60"/>
  <c r="U83" i="60" s="1"/>
  <c r="S83" i="60"/>
  <c r="T82" i="60"/>
  <c r="T81" i="60"/>
  <c r="U79" i="60"/>
  <c r="U81" i="60" s="1"/>
  <c r="U82" i="60" s="1"/>
  <c r="U78" i="60"/>
  <c r="U77" i="60"/>
  <c r="T77" i="60"/>
  <c r="U76" i="60"/>
  <c r="T76" i="60"/>
  <c r="U75" i="60"/>
  <c r="T75" i="60"/>
  <c r="U74" i="60"/>
  <c r="T74" i="60"/>
  <c r="U73" i="60"/>
  <c r="T73" i="60"/>
  <c r="U72" i="60"/>
  <c r="T72" i="60"/>
  <c r="U71" i="60"/>
  <c r="T71" i="60"/>
  <c r="U70" i="60"/>
  <c r="T70" i="60"/>
  <c r="U69" i="60"/>
  <c r="T69" i="60"/>
  <c r="U68" i="60"/>
  <c r="T68" i="60"/>
  <c r="U67" i="60"/>
  <c r="T67" i="60"/>
  <c r="U66" i="60"/>
  <c r="T66" i="60"/>
  <c r="U65" i="60"/>
  <c r="T65" i="60"/>
  <c r="T59" i="60"/>
  <c r="U58" i="60"/>
  <c r="U59" i="60" s="1"/>
  <c r="T58" i="60"/>
  <c r="L56" i="60"/>
  <c r="C56" i="60"/>
  <c r="L55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K32" i="60" s="1"/>
  <c r="C32" i="60"/>
  <c r="T165" i="59"/>
  <c r="U165" i="59" s="1"/>
  <c r="T164" i="59"/>
  <c r="U164" i="59" s="1"/>
  <c r="T163" i="59"/>
  <c r="U163" i="59" s="1"/>
  <c r="T162" i="59"/>
  <c r="U162" i="59" s="1"/>
  <c r="T161" i="59"/>
  <c r="U161" i="59" s="1"/>
  <c r="T160" i="59"/>
  <c r="U160" i="59" s="1"/>
  <c r="T159" i="59"/>
  <c r="U159" i="59" s="1"/>
  <c r="T158" i="59"/>
  <c r="U158" i="59" s="1"/>
  <c r="T157" i="59"/>
  <c r="U157" i="59" s="1"/>
  <c r="T156" i="59"/>
  <c r="U156" i="59" s="1"/>
  <c r="T155" i="59"/>
  <c r="U155" i="59" s="1"/>
  <c r="T154" i="59"/>
  <c r="U154" i="59" s="1"/>
  <c r="T153" i="59"/>
  <c r="U153" i="59" s="1"/>
  <c r="T152" i="59"/>
  <c r="U152" i="59" s="1"/>
  <c r="T151" i="59"/>
  <c r="U151" i="59" s="1"/>
  <c r="T150" i="59"/>
  <c r="U150" i="59" s="1"/>
  <c r="T149" i="59"/>
  <c r="U149" i="59" s="1"/>
  <c r="T148" i="59"/>
  <c r="U148" i="59" s="1"/>
  <c r="T147" i="59"/>
  <c r="U147" i="59" s="1"/>
  <c r="T146" i="59"/>
  <c r="U146" i="59" s="1"/>
  <c r="T145" i="59"/>
  <c r="U145" i="59" s="1"/>
  <c r="T144" i="59"/>
  <c r="U144" i="59" s="1"/>
  <c r="T143" i="59"/>
  <c r="U143" i="59" s="1"/>
  <c r="T142" i="59"/>
  <c r="U142" i="59" s="1"/>
  <c r="T141" i="59"/>
  <c r="U141" i="59" s="1"/>
  <c r="T140" i="59"/>
  <c r="U140" i="59" s="1"/>
  <c r="T139" i="59"/>
  <c r="U139" i="59" s="1"/>
  <c r="T138" i="59"/>
  <c r="U138" i="59" s="1"/>
  <c r="T137" i="59"/>
  <c r="U137" i="59" s="1"/>
  <c r="T136" i="59"/>
  <c r="U136" i="59" s="1"/>
  <c r="T135" i="59"/>
  <c r="U135" i="59" s="1"/>
  <c r="T134" i="59"/>
  <c r="U134" i="59" s="1"/>
  <c r="T133" i="59"/>
  <c r="U133" i="59" s="1"/>
  <c r="T132" i="59"/>
  <c r="U132" i="59" s="1"/>
  <c r="T131" i="59"/>
  <c r="U131" i="59" s="1"/>
  <c r="T130" i="59"/>
  <c r="U130" i="59" s="1"/>
  <c r="T129" i="59"/>
  <c r="U129" i="59" s="1"/>
  <c r="T128" i="59"/>
  <c r="U128" i="59" s="1"/>
  <c r="T127" i="59"/>
  <c r="U127" i="59" s="1"/>
  <c r="T126" i="59"/>
  <c r="U126" i="59" s="1"/>
  <c r="T125" i="59"/>
  <c r="U125" i="59" s="1"/>
  <c r="T124" i="59"/>
  <c r="U124" i="59" s="1"/>
  <c r="T123" i="59"/>
  <c r="U123" i="59" s="1"/>
  <c r="T122" i="59"/>
  <c r="U122" i="59" s="1"/>
  <c r="T121" i="59"/>
  <c r="U121" i="59" s="1"/>
  <c r="T120" i="59"/>
  <c r="U120" i="59" s="1"/>
  <c r="T119" i="59"/>
  <c r="U119" i="59" s="1"/>
  <c r="T118" i="59"/>
  <c r="U118" i="59" s="1"/>
  <c r="T117" i="59"/>
  <c r="U117" i="59" s="1"/>
  <c r="T116" i="59"/>
  <c r="U116" i="59" s="1"/>
  <c r="T115" i="59"/>
  <c r="U115" i="59" s="1"/>
  <c r="T114" i="59"/>
  <c r="U114" i="59" s="1"/>
  <c r="T113" i="59"/>
  <c r="U113" i="59" s="1"/>
  <c r="T112" i="59"/>
  <c r="U112" i="59" s="1"/>
  <c r="T111" i="59"/>
  <c r="U111" i="59" s="1"/>
  <c r="T110" i="59"/>
  <c r="U110" i="59" s="1"/>
  <c r="T109" i="59"/>
  <c r="U109" i="59" s="1"/>
  <c r="T108" i="59"/>
  <c r="U108" i="59" s="1"/>
  <c r="T107" i="59"/>
  <c r="U107" i="59" s="1"/>
  <c r="T106" i="59"/>
  <c r="U106" i="59" s="1"/>
  <c r="T105" i="59"/>
  <c r="U105" i="59" s="1"/>
  <c r="T104" i="59"/>
  <c r="U104" i="59" s="1"/>
  <c r="T103" i="59"/>
  <c r="U103" i="59" s="1"/>
  <c r="T102" i="59"/>
  <c r="U102" i="59" s="1"/>
  <c r="T101" i="59"/>
  <c r="U101" i="59" s="1"/>
  <c r="T100" i="59"/>
  <c r="U100" i="59" s="1"/>
  <c r="T99" i="59"/>
  <c r="U99" i="59" s="1"/>
  <c r="T98" i="59"/>
  <c r="U98" i="59" s="1"/>
  <c r="T97" i="59"/>
  <c r="U97" i="59" s="1"/>
  <c r="T96" i="59"/>
  <c r="U96" i="59" s="1"/>
  <c r="T95" i="59"/>
  <c r="U95" i="59" s="1"/>
  <c r="T94" i="59"/>
  <c r="U94" i="59" s="1"/>
  <c r="T93" i="59"/>
  <c r="U93" i="59" s="1"/>
  <c r="T92" i="59"/>
  <c r="U92" i="59" s="1"/>
  <c r="T91" i="59"/>
  <c r="U91" i="59" s="1"/>
  <c r="T90" i="59"/>
  <c r="U90" i="59" s="1"/>
  <c r="T89" i="59"/>
  <c r="U89" i="59" s="1"/>
  <c r="T88" i="59"/>
  <c r="L56" i="59" s="1"/>
  <c r="T87" i="59"/>
  <c r="U87" i="59" s="1"/>
  <c r="T86" i="59"/>
  <c r="U86" i="59" s="1"/>
  <c r="T85" i="59"/>
  <c r="U85" i="59" s="1"/>
  <c r="T84" i="59"/>
  <c r="U84" i="59" s="1"/>
  <c r="T83" i="59"/>
  <c r="S83" i="59"/>
  <c r="T82" i="59"/>
  <c r="T81" i="59"/>
  <c r="U78" i="59"/>
  <c r="U77" i="59"/>
  <c r="T77" i="59"/>
  <c r="U76" i="59"/>
  <c r="T76" i="59"/>
  <c r="U75" i="59"/>
  <c r="T75" i="59"/>
  <c r="U74" i="59"/>
  <c r="T74" i="59"/>
  <c r="U73" i="59"/>
  <c r="T73" i="59"/>
  <c r="U72" i="59"/>
  <c r="T72" i="59"/>
  <c r="U71" i="59"/>
  <c r="T71" i="59"/>
  <c r="U70" i="59"/>
  <c r="T70" i="59"/>
  <c r="U69" i="59"/>
  <c r="T69" i="59"/>
  <c r="U68" i="59"/>
  <c r="T68" i="59"/>
  <c r="U67" i="59"/>
  <c r="T67" i="59"/>
  <c r="U66" i="59"/>
  <c r="T66" i="59"/>
  <c r="U65" i="59"/>
  <c r="T65" i="59"/>
  <c r="T59" i="59"/>
  <c r="T58" i="59"/>
  <c r="C56" i="59"/>
  <c r="L55" i="59"/>
  <c r="U79" i="59" s="1"/>
  <c r="U81" i="59" s="1"/>
  <c r="U82" i="59" s="1"/>
  <c r="T53" i="59"/>
  <c r="T52" i="59"/>
  <c r="T51" i="59"/>
  <c r="T50" i="59"/>
  <c r="T49" i="59"/>
  <c r="T48" i="59"/>
  <c r="T47" i="59"/>
  <c r="T46" i="59"/>
  <c r="T45" i="59"/>
  <c r="T44" i="59"/>
  <c r="T43" i="59"/>
  <c r="T42" i="59"/>
  <c r="T41" i="59"/>
  <c r="T40" i="59"/>
  <c r="T39" i="59"/>
  <c r="T38" i="59"/>
  <c r="T37" i="59"/>
  <c r="T36" i="59"/>
  <c r="T35" i="59"/>
  <c r="T34" i="59"/>
  <c r="K32" i="59" s="1"/>
  <c r="C32" i="59"/>
  <c r="T165" i="40"/>
  <c r="U165" i="40" s="1"/>
  <c r="T164" i="40"/>
  <c r="U164" i="40" s="1"/>
  <c r="T163" i="40"/>
  <c r="U163" i="40" s="1"/>
  <c r="T162" i="40"/>
  <c r="U162" i="40" s="1"/>
  <c r="T161" i="40"/>
  <c r="U161" i="40" s="1"/>
  <c r="T160" i="40"/>
  <c r="U160" i="40" s="1"/>
  <c r="T159" i="40"/>
  <c r="U159" i="40" s="1"/>
  <c r="T158" i="40"/>
  <c r="U158" i="40" s="1"/>
  <c r="T157" i="40"/>
  <c r="U157" i="40" s="1"/>
  <c r="T156" i="40"/>
  <c r="U156" i="40" s="1"/>
  <c r="T155" i="40"/>
  <c r="U155" i="40" s="1"/>
  <c r="T154" i="40"/>
  <c r="U154" i="40" s="1"/>
  <c r="T153" i="40"/>
  <c r="U153" i="40" s="1"/>
  <c r="T152" i="40"/>
  <c r="U152" i="40" s="1"/>
  <c r="T151" i="40"/>
  <c r="U151" i="40" s="1"/>
  <c r="T150" i="40"/>
  <c r="U150" i="40" s="1"/>
  <c r="T149" i="40"/>
  <c r="U149" i="40" s="1"/>
  <c r="T148" i="40"/>
  <c r="U148" i="40" s="1"/>
  <c r="T147" i="40"/>
  <c r="U147" i="40" s="1"/>
  <c r="T146" i="40"/>
  <c r="U146" i="40" s="1"/>
  <c r="T145" i="40"/>
  <c r="U145" i="40" s="1"/>
  <c r="T144" i="40"/>
  <c r="U144" i="40" s="1"/>
  <c r="T143" i="40"/>
  <c r="U143" i="40" s="1"/>
  <c r="T142" i="40"/>
  <c r="U142" i="40" s="1"/>
  <c r="T141" i="40"/>
  <c r="U141" i="40" s="1"/>
  <c r="T140" i="40"/>
  <c r="U140" i="40" s="1"/>
  <c r="T139" i="40"/>
  <c r="U139" i="40" s="1"/>
  <c r="T138" i="40"/>
  <c r="U138" i="40" s="1"/>
  <c r="T137" i="40"/>
  <c r="U137" i="40" s="1"/>
  <c r="T136" i="40"/>
  <c r="U136" i="40" s="1"/>
  <c r="T135" i="40"/>
  <c r="U135" i="40" s="1"/>
  <c r="T134" i="40"/>
  <c r="U134" i="40" s="1"/>
  <c r="T133" i="40"/>
  <c r="U133" i="40" s="1"/>
  <c r="T132" i="40"/>
  <c r="U132" i="40" s="1"/>
  <c r="T131" i="40"/>
  <c r="U131" i="40" s="1"/>
  <c r="T130" i="40"/>
  <c r="U130" i="40" s="1"/>
  <c r="T129" i="40"/>
  <c r="U129" i="40" s="1"/>
  <c r="T128" i="40"/>
  <c r="U128" i="40" s="1"/>
  <c r="T127" i="40"/>
  <c r="U127" i="40" s="1"/>
  <c r="T126" i="40"/>
  <c r="U126" i="40" s="1"/>
  <c r="T125" i="40"/>
  <c r="U125" i="40" s="1"/>
  <c r="T124" i="40"/>
  <c r="U124" i="40" s="1"/>
  <c r="T123" i="40"/>
  <c r="U123" i="40" s="1"/>
  <c r="T122" i="40"/>
  <c r="U122" i="40" s="1"/>
  <c r="T121" i="40"/>
  <c r="U121" i="40" s="1"/>
  <c r="T120" i="40"/>
  <c r="U120" i="40" s="1"/>
  <c r="T119" i="40"/>
  <c r="U119" i="40" s="1"/>
  <c r="T118" i="40"/>
  <c r="U118" i="40" s="1"/>
  <c r="T117" i="40"/>
  <c r="U117" i="40" s="1"/>
  <c r="T116" i="40"/>
  <c r="U116" i="40" s="1"/>
  <c r="T115" i="40"/>
  <c r="U115" i="40" s="1"/>
  <c r="T114" i="40"/>
  <c r="U114" i="40" s="1"/>
  <c r="T113" i="40"/>
  <c r="U113" i="40" s="1"/>
  <c r="T112" i="40"/>
  <c r="U112" i="40" s="1"/>
  <c r="T111" i="40"/>
  <c r="U111" i="40" s="1"/>
  <c r="T110" i="40"/>
  <c r="U110" i="40" s="1"/>
  <c r="T109" i="40"/>
  <c r="U109" i="40" s="1"/>
  <c r="T108" i="40"/>
  <c r="U108" i="40" s="1"/>
  <c r="T107" i="40"/>
  <c r="U107" i="40" s="1"/>
  <c r="T106" i="40"/>
  <c r="U106" i="40" s="1"/>
  <c r="T105" i="40"/>
  <c r="U105" i="40" s="1"/>
  <c r="T104" i="40"/>
  <c r="U104" i="40" s="1"/>
  <c r="T103" i="40"/>
  <c r="U103" i="40" s="1"/>
  <c r="T102" i="40"/>
  <c r="U102" i="40" s="1"/>
  <c r="T101" i="40"/>
  <c r="U101" i="40" s="1"/>
  <c r="T100" i="40"/>
  <c r="U100" i="40" s="1"/>
  <c r="T99" i="40"/>
  <c r="U99" i="40" s="1"/>
  <c r="T98" i="40"/>
  <c r="U98" i="40" s="1"/>
  <c r="T97" i="40"/>
  <c r="U97" i="40" s="1"/>
  <c r="T96" i="40"/>
  <c r="U96" i="40" s="1"/>
  <c r="T95" i="40"/>
  <c r="U95" i="40" s="1"/>
  <c r="T94" i="40"/>
  <c r="U94" i="40" s="1"/>
  <c r="T93" i="40"/>
  <c r="U93" i="40" s="1"/>
  <c r="T92" i="40"/>
  <c r="U92" i="40" s="1"/>
  <c r="T91" i="40"/>
  <c r="U91" i="40" s="1"/>
  <c r="T90" i="40"/>
  <c r="U90" i="40" s="1"/>
  <c r="T89" i="40"/>
  <c r="U89" i="40" s="1"/>
  <c r="T88" i="40"/>
  <c r="L56" i="40" s="1"/>
  <c r="T87" i="40"/>
  <c r="U87" i="40" s="1"/>
  <c r="T86" i="40"/>
  <c r="U86" i="40" s="1"/>
  <c r="T85" i="40"/>
  <c r="U85" i="40" s="1"/>
  <c r="T84" i="40"/>
  <c r="U84" i="40" s="1"/>
  <c r="T83" i="40"/>
  <c r="S83" i="40"/>
  <c r="T82" i="40"/>
  <c r="T81" i="40"/>
  <c r="U79" i="40"/>
  <c r="U81" i="40" s="1"/>
  <c r="U82" i="40" s="1"/>
  <c r="U78" i="40"/>
  <c r="U77" i="40"/>
  <c r="T77" i="40"/>
  <c r="U76" i="40"/>
  <c r="T76" i="40"/>
  <c r="U75" i="40"/>
  <c r="T75" i="40"/>
  <c r="U74" i="40"/>
  <c r="T74" i="40"/>
  <c r="U73" i="40"/>
  <c r="T73" i="40"/>
  <c r="U72" i="40"/>
  <c r="T72" i="40"/>
  <c r="U71" i="40"/>
  <c r="T71" i="40"/>
  <c r="U70" i="40"/>
  <c r="T70" i="40"/>
  <c r="U69" i="40"/>
  <c r="T69" i="40"/>
  <c r="U68" i="40"/>
  <c r="T68" i="40"/>
  <c r="U67" i="40"/>
  <c r="T67" i="40"/>
  <c r="U66" i="40"/>
  <c r="T66" i="40"/>
  <c r="U65" i="40"/>
  <c r="T65" i="40"/>
  <c r="U59" i="40"/>
  <c r="T59" i="40"/>
  <c r="U58" i="40"/>
  <c r="T58" i="40"/>
  <c r="C56" i="40"/>
  <c r="L55" i="40"/>
  <c r="T53" i="40"/>
  <c r="T52" i="40"/>
  <c r="T51" i="40"/>
  <c r="T50" i="40"/>
  <c r="T49" i="40"/>
  <c r="T48" i="40"/>
  <c r="T47" i="40"/>
  <c r="T46" i="40"/>
  <c r="T45" i="40"/>
  <c r="T44" i="40"/>
  <c r="T43" i="40"/>
  <c r="T42" i="40"/>
  <c r="T41" i="40"/>
  <c r="T40" i="40"/>
  <c r="T39" i="40"/>
  <c r="T38" i="40"/>
  <c r="T37" i="40"/>
  <c r="T36" i="40"/>
  <c r="T35" i="40"/>
  <c r="T34" i="40"/>
  <c r="K32" i="40" s="1"/>
  <c r="C32" i="40"/>
  <c r="T165" i="69"/>
  <c r="U165" i="69" s="1"/>
  <c r="T164" i="69"/>
  <c r="U164" i="69" s="1"/>
  <c r="T163" i="69"/>
  <c r="U163" i="69" s="1"/>
  <c r="T162" i="69"/>
  <c r="U162" i="69" s="1"/>
  <c r="T161" i="69"/>
  <c r="U161" i="69" s="1"/>
  <c r="T160" i="69"/>
  <c r="U160" i="69" s="1"/>
  <c r="T159" i="69"/>
  <c r="U159" i="69" s="1"/>
  <c r="T158" i="69"/>
  <c r="U158" i="69" s="1"/>
  <c r="T157" i="69"/>
  <c r="U157" i="69" s="1"/>
  <c r="T156" i="69"/>
  <c r="U156" i="69" s="1"/>
  <c r="T155" i="69"/>
  <c r="U155" i="69" s="1"/>
  <c r="T154" i="69"/>
  <c r="U154" i="69" s="1"/>
  <c r="T153" i="69"/>
  <c r="U153" i="69" s="1"/>
  <c r="T152" i="69"/>
  <c r="U152" i="69" s="1"/>
  <c r="T151" i="69"/>
  <c r="U151" i="69" s="1"/>
  <c r="T150" i="69"/>
  <c r="U150" i="69" s="1"/>
  <c r="T149" i="69"/>
  <c r="U149" i="69" s="1"/>
  <c r="T148" i="69"/>
  <c r="U148" i="69" s="1"/>
  <c r="T147" i="69"/>
  <c r="U147" i="69" s="1"/>
  <c r="T146" i="69"/>
  <c r="U146" i="69" s="1"/>
  <c r="T145" i="69"/>
  <c r="U145" i="69" s="1"/>
  <c r="T144" i="69"/>
  <c r="U144" i="69" s="1"/>
  <c r="T143" i="69"/>
  <c r="U143" i="69" s="1"/>
  <c r="T142" i="69"/>
  <c r="U142" i="69" s="1"/>
  <c r="T141" i="69"/>
  <c r="U141" i="69" s="1"/>
  <c r="T140" i="69"/>
  <c r="U140" i="69" s="1"/>
  <c r="T139" i="69"/>
  <c r="U139" i="69" s="1"/>
  <c r="T138" i="69"/>
  <c r="U138" i="69" s="1"/>
  <c r="T137" i="69"/>
  <c r="U137" i="69" s="1"/>
  <c r="T136" i="69"/>
  <c r="U136" i="69" s="1"/>
  <c r="T135" i="69"/>
  <c r="U135" i="69" s="1"/>
  <c r="T134" i="69"/>
  <c r="U134" i="69" s="1"/>
  <c r="T133" i="69"/>
  <c r="U133" i="69" s="1"/>
  <c r="T132" i="69"/>
  <c r="U132" i="69" s="1"/>
  <c r="T131" i="69"/>
  <c r="U131" i="69" s="1"/>
  <c r="T130" i="69"/>
  <c r="U130" i="69" s="1"/>
  <c r="T129" i="69"/>
  <c r="U129" i="69" s="1"/>
  <c r="T128" i="69"/>
  <c r="U128" i="69" s="1"/>
  <c r="T127" i="69"/>
  <c r="U127" i="69" s="1"/>
  <c r="T126" i="69"/>
  <c r="U126" i="69" s="1"/>
  <c r="T125" i="69"/>
  <c r="U125" i="69" s="1"/>
  <c r="T124" i="69"/>
  <c r="U124" i="69" s="1"/>
  <c r="T123" i="69"/>
  <c r="U123" i="69" s="1"/>
  <c r="T122" i="69"/>
  <c r="U122" i="69" s="1"/>
  <c r="T121" i="69"/>
  <c r="U121" i="69" s="1"/>
  <c r="T120" i="69"/>
  <c r="U120" i="69" s="1"/>
  <c r="T119" i="69"/>
  <c r="U119" i="69" s="1"/>
  <c r="T118" i="69"/>
  <c r="U118" i="69" s="1"/>
  <c r="T117" i="69"/>
  <c r="U117" i="69" s="1"/>
  <c r="T116" i="69"/>
  <c r="U116" i="69" s="1"/>
  <c r="T115" i="69"/>
  <c r="U115" i="69" s="1"/>
  <c r="T114" i="69"/>
  <c r="U114" i="69" s="1"/>
  <c r="T113" i="69"/>
  <c r="U113" i="69" s="1"/>
  <c r="T112" i="69"/>
  <c r="U112" i="69" s="1"/>
  <c r="T111" i="69"/>
  <c r="U111" i="69" s="1"/>
  <c r="T110" i="69"/>
  <c r="U110" i="69" s="1"/>
  <c r="T109" i="69"/>
  <c r="U109" i="69" s="1"/>
  <c r="T108" i="69"/>
  <c r="U108" i="69" s="1"/>
  <c r="T107" i="69"/>
  <c r="U107" i="69" s="1"/>
  <c r="T106" i="69"/>
  <c r="U106" i="69" s="1"/>
  <c r="T105" i="69"/>
  <c r="U105" i="69" s="1"/>
  <c r="T104" i="69"/>
  <c r="U104" i="69" s="1"/>
  <c r="T103" i="69"/>
  <c r="U103" i="69" s="1"/>
  <c r="T102" i="69"/>
  <c r="U102" i="69" s="1"/>
  <c r="T101" i="69"/>
  <c r="U101" i="69" s="1"/>
  <c r="T100" i="69"/>
  <c r="U100" i="69" s="1"/>
  <c r="T99" i="69"/>
  <c r="U99" i="69" s="1"/>
  <c r="T98" i="69"/>
  <c r="U98" i="69" s="1"/>
  <c r="T97" i="69"/>
  <c r="U97" i="69" s="1"/>
  <c r="T96" i="69"/>
  <c r="U96" i="69" s="1"/>
  <c r="T95" i="69"/>
  <c r="U95" i="69" s="1"/>
  <c r="T94" i="69"/>
  <c r="U94" i="69" s="1"/>
  <c r="T93" i="69"/>
  <c r="U93" i="69" s="1"/>
  <c r="T92" i="69"/>
  <c r="U92" i="69" s="1"/>
  <c r="T91" i="69"/>
  <c r="U91" i="69" s="1"/>
  <c r="T90" i="69"/>
  <c r="U90" i="69" s="1"/>
  <c r="T89" i="69"/>
  <c r="U89" i="69" s="1"/>
  <c r="T88" i="69"/>
  <c r="L56" i="69" s="1"/>
  <c r="T87" i="69"/>
  <c r="U87" i="69" s="1"/>
  <c r="T86" i="69"/>
  <c r="U86" i="69" s="1"/>
  <c r="T85" i="69"/>
  <c r="U85" i="69" s="1"/>
  <c r="T84" i="69"/>
  <c r="U84" i="69" s="1"/>
  <c r="T83" i="69"/>
  <c r="S83" i="69"/>
  <c r="T82" i="69"/>
  <c r="T81" i="69"/>
  <c r="U78" i="69"/>
  <c r="U77" i="69"/>
  <c r="T77" i="69"/>
  <c r="U76" i="69"/>
  <c r="T76" i="69"/>
  <c r="U75" i="69"/>
  <c r="T75" i="69"/>
  <c r="U74" i="69"/>
  <c r="T74" i="69"/>
  <c r="U73" i="69"/>
  <c r="T73" i="69"/>
  <c r="U72" i="69"/>
  <c r="T72" i="69"/>
  <c r="U71" i="69"/>
  <c r="T71" i="69"/>
  <c r="U70" i="69"/>
  <c r="T70" i="69"/>
  <c r="U69" i="69"/>
  <c r="T69" i="69"/>
  <c r="U68" i="69"/>
  <c r="T68" i="69"/>
  <c r="U67" i="69"/>
  <c r="T67" i="69"/>
  <c r="U66" i="69"/>
  <c r="T66" i="69"/>
  <c r="U65" i="69"/>
  <c r="T65" i="69"/>
  <c r="T59" i="69"/>
  <c r="U58" i="69"/>
  <c r="U59" i="69" s="1"/>
  <c r="T58" i="69"/>
  <c r="C56" i="69"/>
  <c r="L55" i="69"/>
  <c r="U79" i="69" s="1"/>
  <c r="U81" i="69" s="1"/>
  <c r="U82" i="69" s="1"/>
  <c r="T53" i="69"/>
  <c r="T52" i="69"/>
  <c r="T51" i="69"/>
  <c r="T50" i="69"/>
  <c r="T49" i="69"/>
  <c r="T48" i="69"/>
  <c r="T47" i="69"/>
  <c r="T46" i="69"/>
  <c r="T45" i="69"/>
  <c r="T44" i="69"/>
  <c r="T43" i="69"/>
  <c r="T42" i="69"/>
  <c r="T41" i="69"/>
  <c r="T40" i="69"/>
  <c r="T39" i="69"/>
  <c r="T38" i="69"/>
  <c r="T37" i="69"/>
  <c r="T36" i="69"/>
  <c r="T35" i="69"/>
  <c r="T34" i="69"/>
  <c r="K32" i="69" s="1"/>
  <c r="C32" i="69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23" i="65"/>
  <c r="K23" i="65" s="1"/>
  <c r="J22" i="65"/>
  <c r="K22" i="65" s="1"/>
  <c r="J21" i="65"/>
  <c r="K21" i="65" s="1"/>
  <c r="J20" i="65"/>
  <c r="K20" i="65" s="1"/>
  <c r="J19" i="65"/>
  <c r="K19" i="65" s="1"/>
  <c r="J18" i="65"/>
  <c r="K18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23" i="63"/>
  <c r="K23" i="63" s="1"/>
  <c r="J22" i="63"/>
  <c r="K22" i="63" s="1"/>
  <c r="J21" i="63"/>
  <c r="K21" i="63" s="1"/>
  <c r="J20" i="63"/>
  <c r="K20" i="63" s="1"/>
  <c r="J19" i="63"/>
  <c r="K19" i="63" s="1"/>
  <c r="J18" i="63"/>
  <c r="K18" i="63" s="1"/>
  <c r="J17" i="63"/>
  <c r="K17" i="63" s="1"/>
  <c r="J16" i="63"/>
  <c r="K16" i="63" s="1"/>
  <c r="J15" i="63"/>
  <c r="K15" i="63" s="1"/>
  <c r="J14" i="63"/>
  <c r="K14" i="63" s="1"/>
  <c r="J13" i="63"/>
  <c r="K13" i="63" s="1"/>
  <c r="J12" i="63"/>
  <c r="K12" i="63" s="1"/>
  <c r="J11" i="63"/>
  <c r="K11" i="63" s="1"/>
  <c r="J23" i="62"/>
  <c r="K23" i="62" s="1"/>
  <c r="J22" i="62"/>
  <c r="K22" i="62" s="1"/>
  <c r="J21" i="62"/>
  <c r="K21" i="62" s="1"/>
  <c r="J20" i="62"/>
  <c r="K20" i="62" s="1"/>
  <c r="J19" i="62"/>
  <c r="K19" i="62" s="1"/>
  <c r="J18" i="62"/>
  <c r="K18" i="62" s="1"/>
  <c r="J17" i="62"/>
  <c r="K17" i="62" s="1"/>
  <c r="J16" i="62"/>
  <c r="K16" i="62" s="1"/>
  <c r="J15" i="62"/>
  <c r="K15" i="62" s="1"/>
  <c r="J14" i="62"/>
  <c r="K14" i="62" s="1"/>
  <c r="J13" i="62"/>
  <c r="K13" i="62" s="1"/>
  <c r="J12" i="62"/>
  <c r="K12" i="62" s="1"/>
  <c r="J11" i="62"/>
  <c r="K11" i="62" s="1"/>
  <c r="J23" i="61"/>
  <c r="K23" i="61" s="1"/>
  <c r="J22" i="61"/>
  <c r="K22" i="61" s="1"/>
  <c r="J21" i="61"/>
  <c r="K21" i="61" s="1"/>
  <c r="J20" i="61"/>
  <c r="K20" i="61" s="1"/>
  <c r="K19" i="61"/>
  <c r="J19" i="61"/>
  <c r="J18" i="61"/>
  <c r="K18" i="61" s="1"/>
  <c r="J17" i="61"/>
  <c r="K17" i="61" s="1"/>
  <c r="J16" i="61"/>
  <c r="K16" i="61" s="1"/>
  <c r="J15" i="61"/>
  <c r="K15" i="61" s="1"/>
  <c r="J14" i="61"/>
  <c r="K14" i="61" s="1"/>
  <c r="K13" i="61"/>
  <c r="J13" i="61"/>
  <c r="J12" i="61"/>
  <c r="K12" i="61" s="1"/>
  <c r="J11" i="61"/>
  <c r="K11" i="61" s="1"/>
  <c r="J23" i="60"/>
  <c r="K23" i="60" s="1"/>
  <c r="J22" i="60"/>
  <c r="K22" i="60" s="1"/>
  <c r="J21" i="60"/>
  <c r="K21" i="60" s="1"/>
  <c r="J20" i="60"/>
  <c r="K20" i="60" s="1"/>
  <c r="J19" i="60"/>
  <c r="K19" i="60" s="1"/>
  <c r="J18" i="60"/>
  <c r="K18" i="60" s="1"/>
  <c r="J17" i="60"/>
  <c r="K17" i="60" s="1"/>
  <c r="J16" i="60"/>
  <c r="K16" i="60" s="1"/>
  <c r="J15" i="60"/>
  <c r="K15" i="60" s="1"/>
  <c r="J14" i="60"/>
  <c r="K14" i="60" s="1"/>
  <c r="J13" i="60"/>
  <c r="K13" i="60" s="1"/>
  <c r="J12" i="60"/>
  <c r="K12" i="60" s="1"/>
  <c r="J11" i="60"/>
  <c r="K11" i="60" s="1"/>
  <c r="J23" i="59"/>
  <c r="K23" i="59" s="1"/>
  <c r="J22" i="59"/>
  <c r="K22" i="59" s="1"/>
  <c r="J21" i="59"/>
  <c r="K21" i="59" s="1"/>
  <c r="J20" i="59"/>
  <c r="K20" i="59" s="1"/>
  <c r="J19" i="59"/>
  <c r="K19" i="59" s="1"/>
  <c r="J18" i="59"/>
  <c r="K18" i="59" s="1"/>
  <c r="J17" i="59"/>
  <c r="K17" i="59" s="1"/>
  <c r="J16" i="59"/>
  <c r="K16" i="59" s="1"/>
  <c r="J15" i="59"/>
  <c r="K15" i="59" s="1"/>
  <c r="J14" i="59"/>
  <c r="K14" i="59" s="1"/>
  <c r="J13" i="59"/>
  <c r="K13" i="59" s="1"/>
  <c r="J12" i="59"/>
  <c r="K12" i="59" s="1"/>
  <c r="J11" i="59"/>
  <c r="K11" i="59" s="1"/>
  <c r="J23" i="40"/>
  <c r="K23" i="40" s="1"/>
  <c r="J22" i="40"/>
  <c r="K22" i="40" s="1"/>
  <c r="J21" i="40"/>
  <c r="K21" i="40" s="1"/>
  <c r="J20" i="40"/>
  <c r="K20" i="40" s="1"/>
  <c r="J19" i="40"/>
  <c r="K19" i="40" s="1"/>
  <c r="J18" i="40"/>
  <c r="K18" i="40" s="1"/>
  <c r="J17" i="40"/>
  <c r="K17" i="40" s="1"/>
  <c r="J16" i="40"/>
  <c r="K16" i="40" s="1"/>
  <c r="J15" i="40"/>
  <c r="K15" i="40" s="1"/>
  <c r="J14" i="40"/>
  <c r="K14" i="40" s="1"/>
  <c r="J13" i="40"/>
  <c r="K13" i="40" s="1"/>
  <c r="J12" i="40"/>
  <c r="K12" i="40" s="1"/>
  <c r="J11" i="40"/>
  <c r="K11" i="40" s="1"/>
  <c r="J23" i="69"/>
  <c r="K23" i="69" s="1"/>
  <c r="J22" i="69"/>
  <c r="K22" i="69" s="1"/>
  <c r="J21" i="69"/>
  <c r="K21" i="69" s="1"/>
  <c r="J20" i="69"/>
  <c r="K20" i="69" s="1"/>
  <c r="J19" i="69"/>
  <c r="K19" i="69" s="1"/>
  <c r="J18" i="69"/>
  <c r="K18" i="69" s="1"/>
  <c r="J17" i="69"/>
  <c r="K17" i="69" s="1"/>
  <c r="J16" i="69"/>
  <c r="K16" i="69" s="1"/>
  <c r="J15" i="69"/>
  <c r="K15" i="69" s="1"/>
  <c r="J14" i="69"/>
  <c r="K14" i="69" s="1"/>
  <c r="J13" i="69"/>
  <c r="K13" i="69" s="1"/>
  <c r="J12" i="69"/>
  <c r="K12" i="69" s="1"/>
  <c r="J11" i="69"/>
  <c r="K11" i="69" s="1"/>
  <c r="J23" i="68"/>
  <c r="J22" i="68"/>
  <c r="J21" i="68"/>
  <c r="J20" i="68"/>
  <c r="J19" i="68"/>
  <c r="J18" i="68"/>
  <c r="J17" i="68"/>
  <c r="J16" i="68"/>
  <c r="J15" i="68"/>
  <c r="J14" i="68"/>
  <c r="J13" i="68"/>
  <c r="K13" i="68" s="1"/>
  <c r="J12" i="68"/>
  <c r="K12" i="68" s="1"/>
  <c r="J11" i="68"/>
  <c r="J23" i="67"/>
  <c r="J22" i="67"/>
  <c r="K22" i="67" s="1"/>
  <c r="J21" i="67"/>
  <c r="J20" i="67"/>
  <c r="J19" i="67"/>
  <c r="J18" i="67"/>
  <c r="J16" i="67"/>
  <c r="J15" i="67"/>
  <c r="J14" i="67"/>
  <c r="K14" i="67" s="1"/>
  <c r="J13" i="67"/>
  <c r="J17" i="67"/>
  <c r="K23" i="67"/>
  <c r="J11" i="67"/>
  <c r="K23" i="68"/>
  <c r="K22" i="68"/>
  <c r="K21" i="68"/>
  <c r="K20" i="68"/>
  <c r="K19" i="68"/>
  <c r="K18" i="68"/>
  <c r="K17" i="68"/>
  <c r="K16" i="68"/>
  <c r="K15" i="68"/>
  <c r="K14" i="68"/>
  <c r="K11" i="68"/>
  <c r="L55" i="68"/>
  <c r="T165" i="68"/>
  <c r="U165" i="68" s="1"/>
  <c r="T164" i="68"/>
  <c r="U164" i="68" s="1"/>
  <c r="T163" i="68"/>
  <c r="U163" i="68" s="1"/>
  <c r="T162" i="68"/>
  <c r="U162" i="68" s="1"/>
  <c r="T161" i="68"/>
  <c r="U161" i="68" s="1"/>
  <c r="T160" i="68"/>
  <c r="U160" i="68" s="1"/>
  <c r="T159" i="68"/>
  <c r="U159" i="68" s="1"/>
  <c r="T158" i="68"/>
  <c r="U158" i="68" s="1"/>
  <c r="T157" i="68"/>
  <c r="U157" i="68" s="1"/>
  <c r="T156" i="68"/>
  <c r="U156" i="68" s="1"/>
  <c r="T155" i="68"/>
  <c r="U155" i="68" s="1"/>
  <c r="T154" i="68"/>
  <c r="U154" i="68" s="1"/>
  <c r="T153" i="68"/>
  <c r="U153" i="68" s="1"/>
  <c r="T152" i="68"/>
  <c r="U152" i="68" s="1"/>
  <c r="T151" i="68"/>
  <c r="U151" i="68" s="1"/>
  <c r="T150" i="68"/>
  <c r="U150" i="68" s="1"/>
  <c r="T149" i="68"/>
  <c r="U149" i="68" s="1"/>
  <c r="T148" i="68"/>
  <c r="U148" i="68" s="1"/>
  <c r="T147" i="68"/>
  <c r="U147" i="68" s="1"/>
  <c r="T146" i="68"/>
  <c r="U146" i="68" s="1"/>
  <c r="T145" i="68"/>
  <c r="U145" i="68" s="1"/>
  <c r="T144" i="68"/>
  <c r="U144" i="68" s="1"/>
  <c r="T143" i="68"/>
  <c r="U143" i="68" s="1"/>
  <c r="T142" i="68"/>
  <c r="U142" i="68" s="1"/>
  <c r="T141" i="68"/>
  <c r="U141" i="68" s="1"/>
  <c r="T140" i="68"/>
  <c r="U140" i="68" s="1"/>
  <c r="T139" i="68"/>
  <c r="U139" i="68" s="1"/>
  <c r="T138" i="68"/>
  <c r="U138" i="68" s="1"/>
  <c r="T137" i="68"/>
  <c r="U137" i="68" s="1"/>
  <c r="T136" i="68"/>
  <c r="U136" i="68" s="1"/>
  <c r="T135" i="68"/>
  <c r="U135" i="68" s="1"/>
  <c r="T134" i="68"/>
  <c r="U134" i="68" s="1"/>
  <c r="T133" i="68"/>
  <c r="U133" i="68" s="1"/>
  <c r="T132" i="68"/>
  <c r="U132" i="68" s="1"/>
  <c r="T131" i="68"/>
  <c r="U131" i="68" s="1"/>
  <c r="T130" i="68"/>
  <c r="U130" i="68" s="1"/>
  <c r="T129" i="68"/>
  <c r="U129" i="68" s="1"/>
  <c r="T128" i="68"/>
  <c r="U128" i="68" s="1"/>
  <c r="T127" i="68"/>
  <c r="U127" i="68" s="1"/>
  <c r="T126" i="68"/>
  <c r="U126" i="68" s="1"/>
  <c r="T125" i="68"/>
  <c r="U125" i="68" s="1"/>
  <c r="T124" i="68"/>
  <c r="U124" i="68" s="1"/>
  <c r="T123" i="68"/>
  <c r="U123" i="68" s="1"/>
  <c r="T122" i="68"/>
  <c r="U122" i="68" s="1"/>
  <c r="T121" i="68"/>
  <c r="U121" i="68" s="1"/>
  <c r="T120" i="68"/>
  <c r="U120" i="68" s="1"/>
  <c r="T119" i="68"/>
  <c r="U119" i="68" s="1"/>
  <c r="T118" i="68"/>
  <c r="U118" i="68" s="1"/>
  <c r="T117" i="68"/>
  <c r="U117" i="68" s="1"/>
  <c r="T116" i="68"/>
  <c r="U116" i="68" s="1"/>
  <c r="T115" i="68"/>
  <c r="U115" i="68" s="1"/>
  <c r="T114" i="68"/>
  <c r="U114" i="68" s="1"/>
  <c r="T113" i="68"/>
  <c r="U113" i="68" s="1"/>
  <c r="T112" i="68"/>
  <c r="U112" i="68" s="1"/>
  <c r="T111" i="68"/>
  <c r="U111" i="68" s="1"/>
  <c r="T110" i="68"/>
  <c r="U110" i="68" s="1"/>
  <c r="T109" i="68"/>
  <c r="U109" i="68" s="1"/>
  <c r="T108" i="68"/>
  <c r="U108" i="68" s="1"/>
  <c r="T107" i="68"/>
  <c r="U107" i="68" s="1"/>
  <c r="T106" i="68"/>
  <c r="L56" i="68" s="1"/>
  <c r="T105" i="68"/>
  <c r="U105" i="68" s="1"/>
  <c r="T104" i="68"/>
  <c r="U104" i="68" s="1"/>
  <c r="T103" i="68"/>
  <c r="U103" i="68" s="1"/>
  <c r="T102" i="68"/>
  <c r="U102" i="68" s="1"/>
  <c r="T101" i="68"/>
  <c r="U101" i="68" s="1"/>
  <c r="T100" i="68"/>
  <c r="U100" i="68" s="1"/>
  <c r="T99" i="68"/>
  <c r="U99" i="68" s="1"/>
  <c r="T98" i="68"/>
  <c r="U98" i="68" s="1"/>
  <c r="T97" i="68"/>
  <c r="U97" i="68" s="1"/>
  <c r="T96" i="68"/>
  <c r="U96" i="68" s="1"/>
  <c r="T95" i="68"/>
  <c r="U95" i="68" s="1"/>
  <c r="T94" i="68"/>
  <c r="U94" i="68" s="1"/>
  <c r="T93" i="68"/>
  <c r="U93" i="68" s="1"/>
  <c r="T92" i="68"/>
  <c r="U92" i="68" s="1"/>
  <c r="T91" i="68"/>
  <c r="U91" i="68" s="1"/>
  <c r="T90" i="68"/>
  <c r="U90" i="68" s="1"/>
  <c r="T89" i="68"/>
  <c r="U89" i="68" s="1"/>
  <c r="T88" i="68"/>
  <c r="U88" i="68" s="1"/>
  <c r="T87" i="68"/>
  <c r="U87" i="68" s="1"/>
  <c r="T86" i="68"/>
  <c r="U86" i="68" s="1"/>
  <c r="T85" i="68"/>
  <c r="U85" i="68" s="1"/>
  <c r="T84" i="68"/>
  <c r="U84" i="68" s="1"/>
  <c r="T83" i="68"/>
  <c r="S83" i="68"/>
  <c r="T82" i="68"/>
  <c r="T81" i="68"/>
  <c r="U78" i="68"/>
  <c r="U77" i="68"/>
  <c r="T77" i="68"/>
  <c r="U76" i="68"/>
  <c r="T76" i="68"/>
  <c r="U75" i="68"/>
  <c r="T75" i="68"/>
  <c r="U74" i="68"/>
  <c r="T74" i="68"/>
  <c r="U73" i="68"/>
  <c r="T73" i="68"/>
  <c r="U72" i="68"/>
  <c r="T72" i="68"/>
  <c r="U71" i="68"/>
  <c r="T71" i="68"/>
  <c r="T70" i="68"/>
  <c r="U70" i="68" s="1"/>
  <c r="U69" i="68"/>
  <c r="T69" i="68"/>
  <c r="U68" i="68"/>
  <c r="T68" i="68"/>
  <c r="U67" i="68"/>
  <c r="T67" i="68"/>
  <c r="U66" i="68"/>
  <c r="T66" i="68"/>
  <c r="U65" i="68"/>
  <c r="T65" i="68"/>
  <c r="T59" i="68"/>
  <c r="U58" i="68"/>
  <c r="T58" i="68"/>
  <c r="C56" i="68"/>
  <c r="U79" i="68"/>
  <c r="U81" i="68" s="1"/>
  <c r="U82" i="68" s="1"/>
  <c r="T53" i="68"/>
  <c r="T52" i="68"/>
  <c r="T51" i="68"/>
  <c r="T50" i="68"/>
  <c r="T49" i="68"/>
  <c r="T48" i="68"/>
  <c r="T47" i="68"/>
  <c r="T46" i="68"/>
  <c r="T45" i="68"/>
  <c r="T44" i="68"/>
  <c r="T43" i="68"/>
  <c r="T42" i="68"/>
  <c r="T41" i="68"/>
  <c r="T40" i="68"/>
  <c r="T39" i="68"/>
  <c r="T38" i="68"/>
  <c r="T37" i="68"/>
  <c r="T36" i="68"/>
  <c r="T35" i="68"/>
  <c r="T34" i="68"/>
  <c r="K32" i="68" s="1"/>
  <c r="C32" i="68"/>
  <c r="K21" i="67"/>
  <c r="K20" i="67"/>
  <c r="K19" i="67"/>
  <c r="K18" i="67"/>
  <c r="K17" i="67"/>
  <c r="K16" i="67"/>
  <c r="K15" i="67"/>
  <c r="K13" i="67"/>
  <c r="K12" i="67"/>
  <c r="K11" i="67"/>
  <c r="U105" i="67"/>
  <c r="U85" i="67"/>
  <c r="T104" i="67"/>
  <c r="U104" i="67" s="1"/>
  <c r="T103" i="67"/>
  <c r="U103" i="67" s="1"/>
  <c r="T102" i="67"/>
  <c r="U102" i="67" s="1"/>
  <c r="T101" i="67"/>
  <c r="U101" i="67" s="1"/>
  <c r="T100" i="67"/>
  <c r="U100" i="67" s="1"/>
  <c r="T99" i="67"/>
  <c r="U99" i="67" s="1"/>
  <c r="T98" i="67"/>
  <c r="U98" i="67" s="1"/>
  <c r="T97" i="67"/>
  <c r="U97" i="67" s="1"/>
  <c r="T96" i="67"/>
  <c r="U96" i="67" s="1"/>
  <c r="T95" i="67"/>
  <c r="U95" i="67" s="1"/>
  <c r="T94" i="67"/>
  <c r="U94" i="67" s="1"/>
  <c r="T93" i="67"/>
  <c r="U93" i="67" s="1"/>
  <c r="T92" i="67"/>
  <c r="U92" i="67" s="1"/>
  <c r="T91" i="67"/>
  <c r="U91" i="67" s="1"/>
  <c r="T90" i="67"/>
  <c r="U90" i="67" s="1"/>
  <c r="T89" i="67"/>
  <c r="U89" i="67" s="1"/>
  <c r="T88" i="67"/>
  <c r="U88" i="67" s="1"/>
  <c r="T87" i="67"/>
  <c r="U87" i="67" s="1"/>
  <c r="T86" i="67"/>
  <c r="U86" i="67" s="1"/>
  <c r="T85" i="67"/>
  <c r="L55" i="67"/>
  <c r="C56" i="67"/>
  <c r="C32" i="67"/>
  <c r="H21" i="7"/>
  <c r="I21" i="7"/>
  <c r="J21" i="7"/>
  <c r="K21" i="7"/>
  <c r="E22" i="81"/>
  <c r="J3" i="87"/>
  <c r="K3" i="87" s="1"/>
  <c r="L4" i="87"/>
  <c r="M4" i="87" s="1"/>
  <c r="L3" i="87"/>
  <c r="M3" i="87" s="1"/>
  <c r="J5" i="87"/>
  <c r="K5" i="87" s="1"/>
  <c r="J4" i="87"/>
  <c r="K4" i="87" s="1"/>
  <c r="L56" i="66" l="1"/>
  <c r="U58" i="66"/>
  <c r="U59" i="66" s="1"/>
  <c r="U83" i="65"/>
  <c r="U100" i="64"/>
  <c r="U94" i="63"/>
  <c r="U58" i="63"/>
  <c r="U59" i="63" s="1"/>
  <c r="U83" i="62"/>
  <c r="U88" i="62"/>
  <c r="U88" i="61"/>
  <c r="U83" i="59"/>
  <c r="U88" i="59"/>
  <c r="U58" i="59"/>
  <c r="U59" i="59" s="1"/>
  <c r="U83" i="40"/>
  <c r="U88" i="40"/>
  <c r="U83" i="69"/>
  <c r="U88" i="69"/>
  <c r="U59" i="68"/>
  <c r="U83" i="68"/>
  <c r="U106" i="68"/>
  <c r="M6" i="87"/>
  <c r="T35" i="67"/>
  <c r="T36" i="67"/>
  <c r="T37" i="67"/>
  <c r="T38" i="67"/>
  <c r="T39" i="67"/>
  <c r="T40" i="67"/>
  <c r="T41" i="67"/>
  <c r="T42" i="67"/>
  <c r="T43" i="67"/>
  <c r="T44" i="67"/>
  <c r="T45" i="67"/>
  <c r="T46" i="67"/>
  <c r="T47" i="67"/>
  <c r="T48" i="67"/>
  <c r="T49" i="67"/>
  <c r="T50" i="67"/>
  <c r="T51" i="67"/>
  <c r="T52" i="67"/>
  <c r="T53" i="67"/>
  <c r="T34" i="67"/>
  <c r="T59" i="67"/>
  <c r="T65" i="67"/>
  <c r="T66" i="67"/>
  <c r="T67" i="67"/>
  <c r="T68" i="67"/>
  <c r="T69" i="67"/>
  <c r="T70" i="67"/>
  <c r="T71" i="67"/>
  <c r="T72" i="67"/>
  <c r="T73" i="67"/>
  <c r="T74" i="67"/>
  <c r="T75" i="67"/>
  <c r="T76" i="67"/>
  <c r="T77" i="67"/>
  <c r="T58" i="67"/>
  <c r="T105" i="67"/>
  <c r="T106" i="67"/>
  <c r="T107" i="67"/>
  <c r="T108" i="67"/>
  <c r="T109" i="67"/>
  <c r="U109" i="67" s="1"/>
  <c r="T110" i="67"/>
  <c r="U110" i="67" s="1"/>
  <c r="T111" i="67"/>
  <c r="U111" i="67" s="1"/>
  <c r="T112" i="67"/>
  <c r="U112" i="67" s="1"/>
  <c r="T113" i="67"/>
  <c r="U113" i="67" s="1"/>
  <c r="T114" i="67"/>
  <c r="U114" i="67" s="1"/>
  <c r="T115" i="67"/>
  <c r="U115" i="67" s="1"/>
  <c r="T116" i="67"/>
  <c r="U116" i="67" s="1"/>
  <c r="T117" i="67"/>
  <c r="U117" i="67" s="1"/>
  <c r="T118" i="67"/>
  <c r="U118" i="67" s="1"/>
  <c r="T119" i="67"/>
  <c r="U119" i="67" s="1"/>
  <c r="T120" i="67"/>
  <c r="U120" i="67" s="1"/>
  <c r="T121" i="67"/>
  <c r="U121" i="67" s="1"/>
  <c r="T122" i="67"/>
  <c r="U122" i="67" s="1"/>
  <c r="T123" i="67"/>
  <c r="U123" i="67" s="1"/>
  <c r="T124" i="67"/>
  <c r="U124" i="67" s="1"/>
  <c r="T125" i="67"/>
  <c r="U125" i="67" s="1"/>
  <c r="T126" i="67"/>
  <c r="U126" i="67" s="1"/>
  <c r="T127" i="67"/>
  <c r="U127" i="67" s="1"/>
  <c r="T128" i="67"/>
  <c r="U128" i="67" s="1"/>
  <c r="T129" i="67"/>
  <c r="U129" i="67" s="1"/>
  <c r="T130" i="67"/>
  <c r="U130" i="67" s="1"/>
  <c r="T131" i="67"/>
  <c r="U131" i="67" s="1"/>
  <c r="T132" i="67"/>
  <c r="U132" i="67" s="1"/>
  <c r="T133" i="67"/>
  <c r="U133" i="67" s="1"/>
  <c r="T134" i="67"/>
  <c r="U134" i="67" s="1"/>
  <c r="T135" i="67"/>
  <c r="U135" i="67" s="1"/>
  <c r="T136" i="67"/>
  <c r="U136" i="67" s="1"/>
  <c r="T137" i="67"/>
  <c r="U137" i="67" s="1"/>
  <c r="T138" i="67"/>
  <c r="U138" i="67" s="1"/>
  <c r="T139" i="67"/>
  <c r="U139" i="67" s="1"/>
  <c r="T140" i="67"/>
  <c r="U140" i="67" s="1"/>
  <c r="T141" i="67"/>
  <c r="U141" i="67" s="1"/>
  <c r="T142" i="67"/>
  <c r="U142" i="67" s="1"/>
  <c r="T143" i="67"/>
  <c r="U143" i="67" s="1"/>
  <c r="T144" i="67"/>
  <c r="U144" i="67" s="1"/>
  <c r="T145" i="67"/>
  <c r="U145" i="67" s="1"/>
  <c r="T146" i="67"/>
  <c r="U146" i="67" s="1"/>
  <c r="T147" i="67"/>
  <c r="U147" i="67" s="1"/>
  <c r="T148" i="67"/>
  <c r="U148" i="67" s="1"/>
  <c r="T149" i="67"/>
  <c r="U149" i="67" s="1"/>
  <c r="T150" i="67"/>
  <c r="U150" i="67" s="1"/>
  <c r="T151" i="67"/>
  <c r="U151" i="67" s="1"/>
  <c r="T152" i="67"/>
  <c r="U152" i="67" s="1"/>
  <c r="T153" i="67"/>
  <c r="U153" i="67" s="1"/>
  <c r="T154" i="67"/>
  <c r="U154" i="67" s="1"/>
  <c r="T155" i="67"/>
  <c r="U155" i="67" s="1"/>
  <c r="T156" i="67"/>
  <c r="U156" i="67" s="1"/>
  <c r="T157" i="67"/>
  <c r="U157" i="67" s="1"/>
  <c r="T158" i="67"/>
  <c r="U158" i="67" s="1"/>
  <c r="T159" i="67"/>
  <c r="U159" i="67" s="1"/>
  <c r="T160" i="67"/>
  <c r="U160" i="67" s="1"/>
  <c r="T161" i="67"/>
  <c r="U161" i="67" s="1"/>
  <c r="T162" i="67"/>
  <c r="U162" i="67" s="1"/>
  <c r="T163" i="67"/>
  <c r="U163" i="67" s="1"/>
  <c r="T164" i="67"/>
  <c r="U164" i="67" s="1"/>
  <c r="T165" i="67"/>
  <c r="U165" i="67" s="1"/>
  <c r="T84" i="67"/>
  <c r="T82" i="67"/>
  <c r="T81" i="67"/>
  <c r="D11" i="112" l="1"/>
  <c r="D12" i="112"/>
  <c r="D13" i="112"/>
  <c r="D14" i="112"/>
  <c r="D15" i="112"/>
  <c r="D16" i="112"/>
  <c r="D17" i="112"/>
  <c r="D18" i="112"/>
  <c r="D19" i="112"/>
  <c r="D20" i="112"/>
  <c r="D21" i="112"/>
  <c r="D22" i="112"/>
  <c r="D23" i="112"/>
  <c r="D24" i="112"/>
  <c r="D25" i="112"/>
  <c r="D26" i="112"/>
  <c r="D27" i="112"/>
  <c r="D28" i="112"/>
  <c r="D29" i="112"/>
  <c r="D30" i="112"/>
  <c r="D31" i="112"/>
  <c r="D32" i="112"/>
  <c r="D33" i="112"/>
  <c r="D34" i="112"/>
  <c r="D35" i="112"/>
  <c r="D36" i="112"/>
  <c r="D37" i="112"/>
  <c r="D38" i="112"/>
  <c r="D39" i="112"/>
  <c r="D40" i="112"/>
  <c r="D41" i="112"/>
  <c r="D42" i="112"/>
  <c r="D43" i="112"/>
  <c r="D44" i="112"/>
  <c r="D45" i="112"/>
  <c r="D46" i="112"/>
  <c r="D47" i="112"/>
  <c r="D48" i="112"/>
  <c r="D49" i="112"/>
  <c r="D50" i="112"/>
  <c r="D51" i="112"/>
  <c r="D52" i="112"/>
  <c r="D53" i="112"/>
  <c r="D54" i="112"/>
  <c r="D55" i="112"/>
  <c r="D56" i="112"/>
  <c r="D57" i="112"/>
  <c r="D58" i="112"/>
  <c r="D59" i="112"/>
  <c r="D60" i="112"/>
  <c r="D61" i="112"/>
  <c r="D62" i="112"/>
  <c r="D63" i="112"/>
  <c r="D64" i="112"/>
  <c r="D65" i="112"/>
  <c r="D66" i="112"/>
  <c r="D67" i="112"/>
  <c r="D68" i="112"/>
  <c r="D69" i="112"/>
  <c r="D70" i="112"/>
  <c r="D71" i="112"/>
  <c r="D72" i="112"/>
  <c r="D73" i="112"/>
  <c r="D74" i="112"/>
  <c r="D75" i="112"/>
  <c r="D76" i="112"/>
  <c r="D77" i="112"/>
  <c r="D78" i="112"/>
  <c r="D79" i="112"/>
  <c r="D80" i="112"/>
  <c r="D81" i="112"/>
  <c r="D82" i="112"/>
  <c r="D83" i="112"/>
  <c r="D84" i="112"/>
  <c r="D85" i="112"/>
  <c r="D86" i="112"/>
  <c r="D87" i="112"/>
  <c r="D88" i="112"/>
  <c r="D89" i="112"/>
  <c r="D90" i="112"/>
  <c r="D91" i="112"/>
  <c r="D92" i="112"/>
  <c r="D93" i="112"/>
  <c r="D94" i="112"/>
  <c r="D95" i="112"/>
  <c r="D96" i="112"/>
  <c r="D97" i="112"/>
  <c r="D98" i="112"/>
  <c r="D99" i="112"/>
  <c r="D100" i="112"/>
  <c r="D101" i="112"/>
  <c r="D102" i="112"/>
  <c r="D103" i="112"/>
  <c r="D104" i="112"/>
  <c r="D105" i="112"/>
  <c r="D106" i="112"/>
  <c r="D107" i="112"/>
  <c r="D108" i="112"/>
  <c r="D109" i="112"/>
  <c r="D110" i="112"/>
  <c r="D111" i="112"/>
  <c r="D112" i="112"/>
  <c r="D113" i="112"/>
  <c r="D114" i="112"/>
  <c r="D115" i="112"/>
  <c r="D116" i="112"/>
  <c r="D117" i="112"/>
  <c r="D118" i="112"/>
  <c r="D119" i="112"/>
  <c r="D120" i="112"/>
  <c r="D121" i="112"/>
  <c r="D122" i="112"/>
  <c r="D123" i="112"/>
  <c r="D124" i="112"/>
  <c r="D125" i="112"/>
  <c r="D126" i="112"/>
  <c r="D127" i="112"/>
  <c r="D128" i="112"/>
  <c r="D129" i="112"/>
  <c r="D130" i="112"/>
  <c r="D131" i="112"/>
  <c r="D132" i="112"/>
  <c r="D133" i="112"/>
  <c r="D134" i="112"/>
  <c r="D135" i="112"/>
  <c r="D136" i="112"/>
  <c r="D137" i="112"/>
  <c r="D138" i="112"/>
  <c r="D139" i="112"/>
  <c r="D140" i="112"/>
  <c r="D141" i="112"/>
  <c r="D142" i="112"/>
  <c r="D143" i="112"/>
  <c r="D144" i="112"/>
  <c r="D145" i="112"/>
  <c r="D146" i="112"/>
  <c r="D147" i="112"/>
  <c r="D148" i="112"/>
  <c r="D149" i="112"/>
  <c r="D150" i="112"/>
  <c r="D151" i="112"/>
  <c r="D152" i="112"/>
  <c r="D153" i="112"/>
  <c r="D154" i="112"/>
  <c r="D155" i="112"/>
  <c r="D156" i="112"/>
  <c r="D157" i="112"/>
  <c r="D158" i="112"/>
  <c r="D159" i="112"/>
  <c r="D160" i="112"/>
  <c r="D161" i="112"/>
  <c r="D162" i="112"/>
  <c r="D163" i="112"/>
  <c r="D164" i="112"/>
  <c r="D165" i="112"/>
  <c r="D166" i="112"/>
  <c r="D167" i="112"/>
  <c r="D168" i="112"/>
  <c r="D169" i="112"/>
  <c r="D170" i="112"/>
  <c r="D171" i="112"/>
  <c r="D172" i="112"/>
  <c r="D173" i="112"/>
  <c r="D174" i="112"/>
  <c r="D175" i="112"/>
  <c r="D176" i="112"/>
  <c r="D177" i="112"/>
  <c r="D178" i="112"/>
  <c r="D179" i="112"/>
  <c r="D180" i="112"/>
  <c r="D181" i="112"/>
  <c r="D182" i="112"/>
  <c r="D183" i="112"/>
  <c r="D184" i="112"/>
  <c r="D185" i="112"/>
  <c r="D186" i="112"/>
  <c r="D187" i="112"/>
  <c r="D188" i="112"/>
  <c r="D189" i="112"/>
  <c r="D190" i="112"/>
  <c r="D191" i="112"/>
  <c r="D192" i="112"/>
  <c r="D193" i="112"/>
  <c r="D194" i="112"/>
  <c r="D195" i="112"/>
  <c r="D196" i="112"/>
  <c r="D197" i="112"/>
  <c r="D198" i="112"/>
  <c r="D199" i="112"/>
  <c r="D200" i="112"/>
  <c r="D201" i="112"/>
  <c r="D202" i="112"/>
  <c r="D203" i="112"/>
  <c r="D204" i="112"/>
  <c r="D205" i="112"/>
  <c r="D206" i="112"/>
  <c r="D207" i="112"/>
  <c r="D208" i="112"/>
  <c r="D209" i="112"/>
  <c r="D210" i="112"/>
  <c r="D211" i="112"/>
  <c r="D212" i="112"/>
  <c r="D213" i="112"/>
  <c r="D214" i="112"/>
  <c r="D215" i="112"/>
  <c r="D216" i="112"/>
  <c r="D217" i="112"/>
  <c r="D218" i="112"/>
  <c r="D219" i="112"/>
  <c r="D220" i="112"/>
  <c r="D221" i="112"/>
  <c r="D222" i="112"/>
  <c r="D223" i="112"/>
  <c r="D224" i="112"/>
  <c r="D225" i="112"/>
  <c r="D226" i="112"/>
  <c r="D227" i="112"/>
  <c r="D228" i="112"/>
  <c r="D229" i="112"/>
  <c r="D230" i="112"/>
  <c r="D231" i="112"/>
  <c r="D232" i="112"/>
  <c r="D233" i="112"/>
  <c r="D234" i="112"/>
  <c r="D235" i="112"/>
  <c r="D236" i="112"/>
  <c r="D237" i="112"/>
  <c r="D238" i="112"/>
  <c r="D239" i="112"/>
  <c r="D240" i="112"/>
  <c r="D241" i="112"/>
  <c r="D242" i="112"/>
  <c r="D243" i="112"/>
  <c r="D244" i="112"/>
  <c r="D245" i="112"/>
  <c r="D246" i="112"/>
  <c r="D247" i="112"/>
  <c r="D248" i="112"/>
  <c r="D249" i="112"/>
  <c r="D250" i="112"/>
  <c r="D251" i="112"/>
  <c r="D252" i="112"/>
  <c r="D253" i="112"/>
  <c r="D254" i="112"/>
  <c r="D255" i="112"/>
  <c r="D256" i="112"/>
  <c r="D257" i="112"/>
  <c r="D258" i="112"/>
  <c r="D259" i="112"/>
  <c r="D260" i="112"/>
  <c r="D261" i="112"/>
  <c r="D262" i="112"/>
  <c r="D263" i="112"/>
  <c r="D264" i="112"/>
  <c r="D265" i="112"/>
  <c r="D266" i="112"/>
  <c r="D267" i="112"/>
  <c r="D268" i="112"/>
  <c r="D269" i="112"/>
  <c r="D270" i="112"/>
  <c r="D271" i="112"/>
  <c r="D272" i="112"/>
  <c r="D273" i="112"/>
  <c r="D274" i="112"/>
  <c r="D275" i="112"/>
  <c r="D276" i="112"/>
  <c r="D277" i="112"/>
  <c r="D278" i="112"/>
  <c r="D279" i="112"/>
  <c r="D280" i="112"/>
  <c r="D281" i="112"/>
  <c r="D282" i="112"/>
  <c r="D283" i="112"/>
  <c r="D284" i="112"/>
  <c r="D285" i="112"/>
  <c r="D286" i="112"/>
  <c r="D287" i="112"/>
  <c r="D288" i="112"/>
  <c r="D289" i="112"/>
  <c r="D290" i="112"/>
  <c r="D291" i="112"/>
  <c r="D292" i="112"/>
  <c r="D293" i="112"/>
  <c r="D294" i="112"/>
  <c r="D295" i="112"/>
  <c r="D296" i="112"/>
  <c r="D297" i="112"/>
  <c r="D298" i="112"/>
  <c r="D299" i="112"/>
  <c r="D300" i="112"/>
  <c r="D301" i="112"/>
  <c r="D302" i="112"/>
  <c r="D303" i="112"/>
  <c r="D304" i="112"/>
  <c r="D305" i="112"/>
  <c r="D306" i="112"/>
  <c r="D307" i="112"/>
  <c r="D308" i="112"/>
  <c r="D309" i="112"/>
  <c r="D310" i="112"/>
  <c r="D311" i="112"/>
  <c r="D312" i="112"/>
  <c r="D313" i="112"/>
  <c r="D314" i="112"/>
  <c r="D315" i="112"/>
  <c r="D316" i="112"/>
  <c r="D317" i="112"/>
  <c r="D318" i="112"/>
  <c r="D319" i="112"/>
  <c r="D320" i="112"/>
  <c r="D321" i="112"/>
  <c r="D322" i="112"/>
  <c r="D323" i="112"/>
  <c r="D324" i="112"/>
  <c r="D325" i="112"/>
  <c r="D326" i="112"/>
  <c r="D327" i="112"/>
  <c r="D328" i="112"/>
  <c r="D329" i="112"/>
  <c r="D330" i="112"/>
  <c r="D331" i="112"/>
  <c r="D332" i="112"/>
  <c r="D333" i="112"/>
  <c r="D334" i="112"/>
  <c r="D335" i="112"/>
  <c r="D336" i="112"/>
  <c r="D337" i="112"/>
  <c r="D338" i="112"/>
  <c r="D339" i="112"/>
  <c r="D340" i="112"/>
  <c r="D341" i="112"/>
  <c r="D342" i="112"/>
  <c r="D343" i="112"/>
  <c r="D344" i="112"/>
  <c r="D345" i="112"/>
  <c r="D346" i="112"/>
  <c r="D347" i="112"/>
  <c r="D348" i="112"/>
  <c r="D349" i="112"/>
  <c r="D350" i="112"/>
  <c r="D351" i="112"/>
  <c r="D352" i="112"/>
  <c r="D353" i="112"/>
  <c r="D354" i="112"/>
  <c r="D355" i="112"/>
  <c r="D356" i="112"/>
  <c r="D357" i="112"/>
  <c r="D358" i="112"/>
  <c r="D359" i="112"/>
  <c r="D360" i="112"/>
  <c r="D361" i="112"/>
  <c r="D362" i="112"/>
  <c r="D363" i="112"/>
  <c r="D364" i="112"/>
  <c r="D365" i="112"/>
  <c r="D366" i="112"/>
  <c r="D367" i="112"/>
  <c r="D368" i="112"/>
  <c r="D369" i="112"/>
  <c r="D370" i="112"/>
  <c r="D371" i="112"/>
  <c r="D372" i="112"/>
  <c r="D373" i="112"/>
  <c r="D374" i="112"/>
  <c r="D375" i="112"/>
  <c r="D376" i="112"/>
  <c r="D377" i="112"/>
  <c r="D378" i="112"/>
  <c r="D379" i="112"/>
  <c r="D380" i="112"/>
  <c r="D381" i="112"/>
  <c r="D382" i="112"/>
  <c r="D383" i="112"/>
  <c r="D384" i="112"/>
  <c r="D385" i="112"/>
  <c r="D386" i="112"/>
  <c r="D387" i="112"/>
  <c r="D388" i="112"/>
  <c r="D389" i="112"/>
  <c r="D390" i="112"/>
  <c r="D391" i="112"/>
  <c r="D392" i="112"/>
  <c r="D393" i="112"/>
  <c r="D394" i="112"/>
  <c r="D395" i="112"/>
  <c r="D396" i="112"/>
  <c r="D397" i="112"/>
  <c r="D398" i="112"/>
  <c r="D399" i="112"/>
  <c r="D400" i="112"/>
  <c r="D401" i="112"/>
  <c r="D402" i="112"/>
  <c r="D403" i="112"/>
  <c r="D404" i="112"/>
  <c r="D405" i="112"/>
  <c r="D406" i="112"/>
  <c r="D407" i="112"/>
  <c r="D408" i="112"/>
  <c r="D409" i="112"/>
  <c r="D410" i="112"/>
  <c r="D411" i="112"/>
  <c r="D412" i="112"/>
  <c r="D413" i="112"/>
  <c r="D414" i="112"/>
  <c r="D415" i="112"/>
  <c r="D416" i="112"/>
  <c r="D417" i="112"/>
  <c r="D418" i="112"/>
  <c r="D419" i="112"/>
  <c r="D420" i="112"/>
  <c r="D421" i="112"/>
  <c r="D422" i="112"/>
  <c r="D423" i="112"/>
  <c r="D424" i="112"/>
  <c r="D425" i="112"/>
  <c r="D426" i="112"/>
  <c r="D427" i="112"/>
  <c r="D428" i="112"/>
  <c r="D429" i="112"/>
  <c r="D430" i="112"/>
  <c r="D431" i="112"/>
  <c r="D432" i="112"/>
  <c r="D433" i="112"/>
  <c r="D434" i="112"/>
  <c r="D435" i="112"/>
  <c r="D436" i="112"/>
  <c r="D437" i="112"/>
  <c r="D438" i="112"/>
  <c r="D439" i="112"/>
  <c r="D440" i="112"/>
  <c r="D441" i="112"/>
  <c r="D442" i="112"/>
  <c r="D443" i="112"/>
  <c r="D444" i="112"/>
  <c r="D445" i="112"/>
  <c r="D446" i="112"/>
  <c r="D447" i="112"/>
  <c r="D448" i="112"/>
  <c r="D449" i="112"/>
  <c r="D450" i="112"/>
  <c r="D451" i="112"/>
  <c r="D452" i="112"/>
  <c r="D453" i="112"/>
  <c r="D454" i="112"/>
  <c r="D455" i="112"/>
  <c r="D456" i="112"/>
  <c r="D457" i="112"/>
  <c r="D458" i="112"/>
  <c r="D459" i="112"/>
  <c r="D460" i="112"/>
  <c r="D461" i="112"/>
  <c r="D462" i="112"/>
  <c r="D463" i="112"/>
  <c r="D464" i="112"/>
  <c r="D465" i="112"/>
  <c r="D466" i="112"/>
  <c r="D467" i="112"/>
  <c r="D468" i="112"/>
  <c r="D469" i="112"/>
  <c r="D470" i="112"/>
  <c r="D471" i="112"/>
  <c r="D472" i="112"/>
  <c r="D473" i="112"/>
  <c r="D474" i="112"/>
  <c r="D475" i="112"/>
  <c r="D476" i="112"/>
  <c r="D477" i="112"/>
  <c r="D478" i="112"/>
  <c r="D479" i="112"/>
  <c r="D480" i="112"/>
  <c r="D481" i="112"/>
  <c r="D482" i="112"/>
  <c r="D483" i="112"/>
  <c r="D484" i="112"/>
  <c r="D485" i="112"/>
  <c r="D486" i="112"/>
  <c r="D487" i="112"/>
  <c r="D488" i="112"/>
  <c r="D489" i="112"/>
  <c r="D490" i="112"/>
  <c r="D491" i="112"/>
  <c r="D492" i="112"/>
  <c r="D493" i="112"/>
  <c r="D494" i="112"/>
  <c r="D495" i="112"/>
  <c r="D496" i="112"/>
  <c r="D497" i="112"/>
  <c r="D498" i="112"/>
  <c r="D499" i="112"/>
  <c r="D500" i="112"/>
  <c r="D501" i="112"/>
  <c r="D502" i="112"/>
  <c r="D503" i="112"/>
  <c r="D504" i="112"/>
  <c r="D505" i="112"/>
  <c r="D506" i="112"/>
  <c r="D507" i="112"/>
  <c r="D508" i="112"/>
  <c r="D509" i="112"/>
  <c r="D510" i="112"/>
  <c r="D511" i="112"/>
  <c r="D512" i="112"/>
  <c r="D513" i="112"/>
  <c r="D514" i="112"/>
  <c r="D515" i="112"/>
  <c r="D516" i="112"/>
  <c r="D517" i="112"/>
  <c r="D518" i="112"/>
  <c r="D519" i="112"/>
  <c r="D520" i="112"/>
  <c r="D521" i="112"/>
  <c r="D522" i="112"/>
  <c r="D523" i="112"/>
  <c r="D524" i="112"/>
  <c r="D525" i="112"/>
  <c r="D526" i="112"/>
  <c r="D527" i="112"/>
  <c r="D528" i="112"/>
  <c r="D529" i="112"/>
  <c r="D530" i="112"/>
  <c r="D531" i="112"/>
  <c r="D532" i="112"/>
  <c r="D533" i="112"/>
  <c r="D534" i="112"/>
  <c r="D535" i="112"/>
  <c r="D536" i="112"/>
  <c r="D537" i="112"/>
  <c r="D538" i="112"/>
  <c r="D539" i="112"/>
  <c r="D540" i="112"/>
  <c r="D541" i="112"/>
  <c r="D542" i="112"/>
  <c r="D543" i="112"/>
  <c r="D544" i="112"/>
  <c r="D545" i="112"/>
  <c r="D546" i="112"/>
  <c r="D547" i="112"/>
  <c r="D548" i="112"/>
  <c r="D549" i="112"/>
  <c r="D550" i="112"/>
  <c r="D551" i="112"/>
  <c r="D552" i="112"/>
  <c r="D553" i="112"/>
  <c r="D554" i="112"/>
  <c r="D555" i="112"/>
  <c r="D556" i="112"/>
  <c r="D557" i="112"/>
  <c r="D558" i="112"/>
  <c r="D559" i="112"/>
  <c r="D560" i="112"/>
  <c r="D561" i="112"/>
  <c r="D562" i="112"/>
  <c r="D563" i="112"/>
  <c r="D564" i="112"/>
  <c r="D565" i="112"/>
  <c r="D566" i="112"/>
  <c r="D567" i="112"/>
  <c r="D568" i="112"/>
  <c r="D569" i="112"/>
  <c r="D570" i="112"/>
  <c r="D571" i="112"/>
  <c r="D572" i="112"/>
  <c r="D573" i="112"/>
  <c r="D574" i="112"/>
  <c r="D575" i="112"/>
  <c r="D576" i="112"/>
  <c r="D577" i="112"/>
  <c r="D578" i="112"/>
  <c r="D579" i="112"/>
  <c r="D580" i="112"/>
  <c r="D581" i="112"/>
  <c r="D582" i="112"/>
  <c r="D583" i="112"/>
  <c r="D584" i="112"/>
  <c r="D585" i="112"/>
  <c r="D586" i="112"/>
  <c r="D587" i="112"/>
  <c r="D588" i="112"/>
  <c r="D589" i="112"/>
  <c r="D590" i="112"/>
  <c r="D591" i="112"/>
  <c r="D592" i="112"/>
  <c r="D593" i="112"/>
  <c r="D594" i="112"/>
  <c r="D595" i="112"/>
  <c r="D596" i="112"/>
  <c r="D597" i="112"/>
  <c r="D598" i="112"/>
  <c r="D599" i="112"/>
  <c r="D600" i="112"/>
  <c r="D601" i="112"/>
  <c r="D602" i="112"/>
  <c r="D603" i="112"/>
  <c r="D604" i="112"/>
  <c r="D605" i="112"/>
  <c r="D606" i="112"/>
  <c r="D607" i="112"/>
  <c r="D608" i="112"/>
  <c r="D10" i="112"/>
  <c r="D9" i="112"/>
  <c r="I9" i="109"/>
  <c r="I8" i="109"/>
  <c r="I7" i="109"/>
  <c r="F9" i="109"/>
  <c r="F8" i="109"/>
  <c r="F7" i="109"/>
  <c r="E9" i="109"/>
  <c r="E8" i="109"/>
  <c r="E7" i="109"/>
  <c r="D9" i="109"/>
  <c r="D8" i="109"/>
  <c r="D7" i="109"/>
  <c r="C9" i="109"/>
  <c r="C8" i="109"/>
  <c r="C7" i="109"/>
  <c r="F608" i="112" l="1"/>
  <c r="F607" i="112"/>
  <c r="F606" i="112"/>
  <c r="F605" i="112"/>
  <c r="F604" i="112"/>
  <c r="F603" i="112"/>
  <c r="F602" i="112"/>
  <c r="F601" i="112"/>
  <c r="F600" i="112"/>
  <c r="F599" i="112"/>
  <c r="F598" i="112"/>
  <c r="F597" i="112"/>
  <c r="F596" i="112"/>
  <c r="F595" i="112"/>
  <c r="F594" i="112"/>
  <c r="F593" i="112"/>
  <c r="F592" i="112"/>
  <c r="F591" i="112"/>
  <c r="F590" i="112"/>
  <c r="F589" i="112"/>
  <c r="F588" i="112"/>
  <c r="F587" i="112"/>
  <c r="F586" i="112"/>
  <c r="F585" i="112"/>
  <c r="F584" i="112"/>
  <c r="F583" i="112"/>
  <c r="F582" i="112"/>
  <c r="F581" i="112"/>
  <c r="F580" i="112"/>
  <c r="F579" i="112"/>
  <c r="F578" i="112"/>
  <c r="F577" i="112"/>
  <c r="F576" i="112"/>
  <c r="F575" i="112"/>
  <c r="F574" i="112"/>
  <c r="F573" i="112"/>
  <c r="F572" i="112"/>
  <c r="F571" i="112"/>
  <c r="F570" i="112"/>
  <c r="F569" i="112"/>
  <c r="F568" i="112"/>
  <c r="F567" i="112"/>
  <c r="F566" i="112"/>
  <c r="F565" i="112"/>
  <c r="F564" i="112"/>
  <c r="F563" i="112"/>
  <c r="F562" i="112"/>
  <c r="F561" i="112"/>
  <c r="F560" i="112"/>
  <c r="F559" i="112"/>
  <c r="F558" i="112"/>
  <c r="F557" i="112"/>
  <c r="F556" i="112"/>
  <c r="F555" i="112"/>
  <c r="F554" i="112"/>
  <c r="F553" i="112"/>
  <c r="F552" i="112"/>
  <c r="F551" i="112"/>
  <c r="F550" i="112"/>
  <c r="F549" i="112"/>
  <c r="F548" i="112"/>
  <c r="F547" i="112"/>
  <c r="F546" i="112"/>
  <c r="F545" i="112"/>
  <c r="F544" i="112"/>
  <c r="F543" i="112"/>
  <c r="F542" i="112"/>
  <c r="F541" i="112"/>
  <c r="F540" i="112"/>
  <c r="F539" i="112"/>
  <c r="F538" i="112"/>
  <c r="F537" i="112"/>
  <c r="F536" i="112"/>
  <c r="F535" i="112"/>
  <c r="F534" i="112"/>
  <c r="F533" i="112"/>
  <c r="F532" i="112"/>
  <c r="F531" i="112"/>
  <c r="F530" i="112"/>
  <c r="F529" i="112"/>
  <c r="F528" i="112"/>
  <c r="F527" i="112"/>
  <c r="F526" i="112"/>
  <c r="F525" i="112"/>
  <c r="F524" i="112"/>
  <c r="F523" i="112"/>
  <c r="F522" i="112"/>
  <c r="F521" i="112"/>
  <c r="F520" i="112"/>
  <c r="F519" i="112"/>
  <c r="F518" i="112"/>
  <c r="F517" i="112"/>
  <c r="F516" i="112"/>
  <c r="F515" i="112"/>
  <c r="F514" i="112"/>
  <c r="F513" i="112"/>
  <c r="F512" i="112"/>
  <c r="F511" i="112"/>
  <c r="F510" i="112"/>
  <c r="F509" i="112"/>
  <c r="F508" i="112"/>
  <c r="F507" i="112"/>
  <c r="F506" i="112"/>
  <c r="F505" i="112"/>
  <c r="F504" i="112"/>
  <c r="F503" i="112"/>
  <c r="F502" i="112"/>
  <c r="F501" i="112"/>
  <c r="F500" i="112"/>
  <c r="F499" i="112"/>
  <c r="F498" i="112"/>
  <c r="F497" i="112"/>
  <c r="F496" i="112"/>
  <c r="F495" i="112"/>
  <c r="F494" i="112"/>
  <c r="F493" i="112"/>
  <c r="F492" i="112"/>
  <c r="F491" i="112"/>
  <c r="F490" i="112"/>
  <c r="F489" i="112"/>
  <c r="F488" i="112"/>
  <c r="F487" i="112"/>
  <c r="F486" i="112"/>
  <c r="F485" i="112"/>
  <c r="F484" i="112"/>
  <c r="F483" i="112"/>
  <c r="F482" i="112"/>
  <c r="F481" i="112"/>
  <c r="F480" i="112"/>
  <c r="F479" i="112"/>
  <c r="F478" i="112"/>
  <c r="F477" i="112"/>
  <c r="F476" i="112"/>
  <c r="F475" i="112"/>
  <c r="F474" i="112"/>
  <c r="F473" i="112"/>
  <c r="F472" i="112"/>
  <c r="F471" i="112"/>
  <c r="F470" i="112"/>
  <c r="F469" i="112"/>
  <c r="F468" i="112"/>
  <c r="F467" i="112"/>
  <c r="F466" i="112"/>
  <c r="F465" i="112"/>
  <c r="F464" i="112"/>
  <c r="F463" i="112"/>
  <c r="F462" i="112"/>
  <c r="F461" i="112"/>
  <c r="F460" i="112"/>
  <c r="F459" i="112"/>
  <c r="F458" i="112"/>
  <c r="F457" i="112"/>
  <c r="F456" i="112"/>
  <c r="F455" i="112"/>
  <c r="F454" i="112"/>
  <c r="F453" i="112"/>
  <c r="F452" i="112"/>
  <c r="F451" i="112"/>
  <c r="F450" i="112"/>
  <c r="F449" i="112"/>
  <c r="F448" i="112"/>
  <c r="F447" i="112"/>
  <c r="F446" i="112"/>
  <c r="F445" i="112"/>
  <c r="F444" i="112"/>
  <c r="F443" i="112"/>
  <c r="F442" i="112"/>
  <c r="F441" i="112"/>
  <c r="F440" i="112"/>
  <c r="F439" i="112"/>
  <c r="F438" i="112"/>
  <c r="F437" i="112"/>
  <c r="F436" i="112"/>
  <c r="F435" i="112"/>
  <c r="F434" i="112"/>
  <c r="F433" i="112"/>
  <c r="F432" i="112"/>
  <c r="F431" i="112"/>
  <c r="F430" i="112"/>
  <c r="F429" i="112"/>
  <c r="F428" i="112"/>
  <c r="F427" i="112"/>
  <c r="F426" i="112"/>
  <c r="F425" i="112"/>
  <c r="F424" i="112"/>
  <c r="F423" i="112"/>
  <c r="F422" i="112"/>
  <c r="F421" i="112"/>
  <c r="F420" i="112"/>
  <c r="F419" i="112"/>
  <c r="F418" i="112"/>
  <c r="F417" i="112"/>
  <c r="F416" i="112"/>
  <c r="F415" i="112"/>
  <c r="F414" i="112"/>
  <c r="F413" i="112"/>
  <c r="F412" i="112"/>
  <c r="F411" i="112"/>
  <c r="F410" i="112"/>
  <c r="F409" i="112"/>
  <c r="F408" i="112"/>
  <c r="F407" i="112"/>
  <c r="F406" i="112"/>
  <c r="F405" i="112"/>
  <c r="F404" i="112"/>
  <c r="F403" i="112"/>
  <c r="F402" i="112"/>
  <c r="F401" i="112"/>
  <c r="F400" i="112"/>
  <c r="F399" i="112"/>
  <c r="F398" i="112"/>
  <c r="F397" i="112"/>
  <c r="F396" i="112"/>
  <c r="F395" i="112"/>
  <c r="F394" i="112"/>
  <c r="F393" i="112"/>
  <c r="F392" i="112"/>
  <c r="F391" i="112"/>
  <c r="F390" i="112"/>
  <c r="F389" i="112"/>
  <c r="F388" i="112"/>
  <c r="F387" i="112"/>
  <c r="F386" i="112"/>
  <c r="F385" i="112"/>
  <c r="F384" i="112"/>
  <c r="F383" i="112"/>
  <c r="F382" i="112"/>
  <c r="F381" i="112"/>
  <c r="F380" i="112"/>
  <c r="F379" i="112"/>
  <c r="F378" i="112"/>
  <c r="F377" i="112"/>
  <c r="F376" i="112"/>
  <c r="F375" i="112"/>
  <c r="F374" i="112"/>
  <c r="F373" i="112"/>
  <c r="F372" i="112"/>
  <c r="F371" i="112"/>
  <c r="F370" i="112"/>
  <c r="F369" i="112"/>
  <c r="F368" i="112"/>
  <c r="F367" i="112"/>
  <c r="F366" i="112"/>
  <c r="F365" i="112"/>
  <c r="F364" i="112"/>
  <c r="F363" i="112"/>
  <c r="F362" i="112"/>
  <c r="F361" i="112"/>
  <c r="F360" i="112"/>
  <c r="F359" i="112"/>
  <c r="F358" i="112"/>
  <c r="F357" i="112"/>
  <c r="F356" i="112"/>
  <c r="F355" i="112"/>
  <c r="F354" i="112"/>
  <c r="F353" i="112"/>
  <c r="F352" i="112"/>
  <c r="F351" i="112"/>
  <c r="F350" i="112"/>
  <c r="F349" i="112"/>
  <c r="F348" i="112"/>
  <c r="F347" i="112"/>
  <c r="F346" i="112"/>
  <c r="F345" i="112"/>
  <c r="F344" i="112"/>
  <c r="F343" i="112"/>
  <c r="F342" i="112"/>
  <c r="F341" i="112"/>
  <c r="F340" i="112"/>
  <c r="F339" i="112"/>
  <c r="F338" i="112"/>
  <c r="F337" i="112"/>
  <c r="F336" i="112"/>
  <c r="F335" i="112"/>
  <c r="F334" i="112"/>
  <c r="F333" i="112"/>
  <c r="F332" i="112"/>
  <c r="F331" i="112"/>
  <c r="F330" i="112"/>
  <c r="F329" i="112"/>
  <c r="F328" i="112"/>
  <c r="F327" i="112"/>
  <c r="F326" i="112"/>
  <c r="F325" i="112"/>
  <c r="F324" i="112"/>
  <c r="F323" i="112"/>
  <c r="F322" i="112"/>
  <c r="F321" i="112"/>
  <c r="F320" i="112"/>
  <c r="F319" i="112"/>
  <c r="F318" i="112"/>
  <c r="F317" i="112"/>
  <c r="F316" i="112"/>
  <c r="F315" i="112"/>
  <c r="F314" i="112"/>
  <c r="F313" i="112"/>
  <c r="F312" i="112"/>
  <c r="F311" i="112"/>
  <c r="F310" i="112"/>
  <c r="F309" i="112"/>
  <c r="F308" i="112"/>
  <c r="F307" i="112"/>
  <c r="F306" i="112"/>
  <c r="F305" i="112"/>
  <c r="F304" i="112"/>
  <c r="F303" i="112"/>
  <c r="F302" i="112"/>
  <c r="F301" i="112"/>
  <c r="F300" i="112"/>
  <c r="F299" i="112"/>
  <c r="F298" i="112"/>
  <c r="F297" i="112"/>
  <c r="F296" i="112"/>
  <c r="F295" i="112"/>
  <c r="F294" i="112"/>
  <c r="F293" i="112"/>
  <c r="F292" i="112"/>
  <c r="F291" i="112"/>
  <c r="F290" i="112"/>
  <c r="F289" i="112"/>
  <c r="F288" i="112"/>
  <c r="F287" i="112"/>
  <c r="F286" i="112"/>
  <c r="F285" i="112"/>
  <c r="F284" i="112"/>
  <c r="F283" i="112"/>
  <c r="F282" i="112"/>
  <c r="F281" i="112"/>
  <c r="F280" i="112"/>
  <c r="F279" i="112"/>
  <c r="F278" i="112"/>
  <c r="F277" i="112"/>
  <c r="F276" i="112"/>
  <c r="F275" i="112"/>
  <c r="F274" i="112"/>
  <c r="F273" i="112"/>
  <c r="F272" i="112"/>
  <c r="F271" i="112"/>
  <c r="F270" i="112"/>
  <c r="F269" i="112"/>
  <c r="F268" i="112"/>
  <c r="F267" i="112"/>
  <c r="F266" i="112"/>
  <c r="F265" i="112"/>
  <c r="F264" i="112"/>
  <c r="F263" i="112"/>
  <c r="F262" i="112"/>
  <c r="F261" i="112"/>
  <c r="F260" i="112"/>
  <c r="F259" i="112"/>
  <c r="F258" i="112"/>
  <c r="F257" i="112"/>
  <c r="F256" i="112"/>
  <c r="F255" i="112"/>
  <c r="F254" i="112"/>
  <c r="F253" i="112"/>
  <c r="F252" i="112"/>
  <c r="F251" i="112"/>
  <c r="F250" i="112"/>
  <c r="F249" i="112"/>
  <c r="F248" i="112"/>
  <c r="F247" i="112"/>
  <c r="F246" i="112"/>
  <c r="F245" i="112"/>
  <c r="F244" i="112"/>
  <c r="F243" i="112"/>
  <c r="F242" i="112"/>
  <c r="F241" i="112"/>
  <c r="F240" i="112"/>
  <c r="F239" i="112"/>
  <c r="F238" i="112"/>
  <c r="F237" i="112"/>
  <c r="F236" i="112"/>
  <c r="F235" i="112"/>
  <c r="F234" i="112"/>
  <c r="F233" i="112"/>
  <c r="F232" i="112"/>
  <c r="F231" i="112"/>
  <c r="F230" i="112"/>
  <c r="F229" i="112"/>
  <c r="F228" i="112"/>
  <c r="F227" i="112"/>
  <c r="F226" i="112"/>
  <c r="F225" i="112"/>
  <c r="F224" i="112"/>
  <c r="F223" i="112"/>
  <c r="F222" i="112"/>
  <c r="F221" i="112"/>
  <c r="F220" i="112"/>
  <c r="F219" i="112"/>
  <c r="F218" i="112"/>
  <c r="F217" i="112"/>
  <c r="F216" i="112"/>
  <c r="F215" i="112"/>
  <c r="F214" i="112"/>
  <c r="F213" i="112"/>
  <c r="F212" i="112"/>
  <c r="F211" i="112"/>
  <c r="F210" i="112"/>
  <c r="F209" i="112"/>
  <c r="F208" i="112"/>
  <c r="F207" i="112"/>
  <c r="F206" i="112"/>
  <c r="F205" i="112"/>
  <c r="F204" i="112"/>
  <c r="F203" i="112"/>
  <c r="F202" i="112"/>
  <c r="F201" i="112"/>
  <c r="F200" i="112"/>
  <c r="F199" i="112"/>
  <c r="F198" i="112"/>
  <c r="F197" i="112"/>
  <c r="F196" i="112"/>
  <c r="F195" i="112"/>
  <c r="F194" i="112"/>
  <c r="F193" i="112"/>
  <c r="F192" i="112"/>
  <c r="F191" i="112"/>
  <c r="F190" i="112"/>
  <c r="F189" i="112"/>
  <c r="F188" i="112"/>
  <c r="F187" i="112"/>
  <c r="F186" i="112"/>
  <c r="F185" i="112"/>
  <c r="F184" i="112"/>
  <c r="F183" i="112"/>
  <c r="F182" i="112"/>
  <c r="F181" i="112"/>
  <c r="F180" i="112"/>
  <c r="F179" i="112"/>
  <c r="F178" i="112"/>
  <c r="F177" i="112"/>
  <c r="F176" i="112"/>
  <c r="F175" i="112"/>
  <c r="F174" i="112"/>
  <c r="F173" i="112"/>
  <c r="F172" i="112"/>
  <c r="F171" i="112"/>
  <c r="F170" i="112"/>
  <c r="F169" i="112"/>
  <c r="F168" i="112"/>
  <c r="F167" i="112"/>
  <c r="F166" i="112"/>
  <c r="F165" i="112"/>
  <c r="F164" i="112"/>
  <c r="F163" i="112"/>
  <c r="F162" i="112"/>
  <c r="F161" i="112"/>
  <c r="F160" i="112"/>
  <c r="F159" i="112"/>
  <c r="F158" i="112"/>
  <c r="F157" i="112"/>
  <c r="F156" i="112"/>
  <c r="F155" i="112"/>
  <c r="F154" i="112"/>
  <c r="F153" i="112"/>
  <c r="F152" i="112"/>
  <c r="F151" i="112"/>
  <c r="F150" i="112"/>
  <c r="F149" i="112"/>
  <c r="F148" i="112"/>
  <c r="F147" i="112"/>
  <c r="F146" i="112"/>
  <c r="F145" i="112"/>
  <c r="F144" i="112"/>
  <c r="F143" i="112"/>
  <c r="F142" i="112"/>
  <c r="F141" i="112"/>
  <c r="F140" i="112"/>
  <c r="F139" i="112"/>
  <c r="F138" i="112"/>
  <c r="F137" i="112"/>
  <c r="F136" i="112"/>
  <c r="F135" i="112"/>
  <c r="F134" i="112"/>
  <c r="F133" i="112"/>
  <c r="F132" i="112"/>
  <c r="F131" i="112"/>
  <c r="F130" i="112"/>
  <c r="F129" i="112"/>
  <c r="F128" i="112"/>
  <c r="F127" i="112"/>
  <c r="F126" i="112"/>
  <c r="F125" i="112"/>
  <c r="F124" i="112"/>
  <c r="F123" i="112"/>
  <c r="F122" i="112"/>
  <c r="F121" i="112"/>
  <c r="F120" i="112"/>
  <c r="F119" i="112"/>
  <c r="F118" i="112"/>
  <c r="F117" i="112"/>
  <c r="F116" i="112"/>
  <c r="F115" i="112"/>
  <c r="F114" i="112"/>
  <c r="F113" i="112"/>
  <c r="F112" i="112"/>
  <c r="F111" i="112"/>
  <c r="F110" i="112"/>
  <c r="F109" i="112"/>
  <c r="F108" i="112"/>
  <c r="F107" i="112"/>
  <c r="F106" i="112"/>
  <c r="F105" i="112"/>
  <c r="F104" i="112"/>
  <c r="F103" i="112"/>
  <c r="F102" i="112"/>
  <c r="F101" i="112"/>
  <c r="F100" i="112"/>
  <c r="F99" i="112"/>
  <c r="F98" i="112"/>
  <c r="F97" i="112"/>
  <c r="F96" i="112"/>
  <c r="F95" i="112"/>
  <c r="F94" i="112"/>
  <c r="F93" i="112"/>
  <c r="F92" i="112"/>
  <c r="F91" i="112"/>
  <c r="F90" i="112"/>
  <c r="F89" i="112"/>
  <c r="F88" i="112"/>
  <c r="F87" i="112"/>
  <c r="F86" i="112"/>
  <c r="F85" i="112"/>
  <c r="F84" i="112"/>
  <c r="F83" i="112"/>
  <c r="F82" i="112"/>
  <c r="F81" i="112"/>
  <c r="F80" i="112"/>
  <c r="F79" i="112"/>
  <c r="F78" i="112"/>
  <c r="F77" i="112"/>
  <c r="F76" i="112"/>
  <c r="F75" i="112"/>
  <c r="F74" i="112"/>
  <c r="F73" i="112"/>
  <c r="F72" i="112"/>
  <c r="F71" i="112"/>
  <c r="F70" i="112"/>
  <c r="F69" i="112"/>
  <c r="F68" i="112"/>
  <c r="F67" i="112"/>
  <c r="F66" i="112"/>
  <c r="F65" i="112"/>
  <c r="F64" i="112"/>
  <c r="F63" i="112"/>
  <c r="F62" i="112"/>
  <c r="F61" i="112"/>
  <c r="F60" i="112"/>
  <c r="F59" i="112"/>
  <c r="F58" i="112"/>
  <c r="F57" i="112"/>
  <c r="F56" i="112"/>
  <c r="F55" i="112"/>
  <c r="F54" i="112"/>
  <c r="F53" i="112"/>
  <c r="F52" i="112"/>
  <c r="F51" i="112"/>
  <c r="F50" i="112"/>
  <c r="F49" i="112"/>
  <c r="F48" i="112"/>
  <c r="F47" i="112"/>
  <c r="F46" i="112"/>
  <c r="F45" i="112"/>
  <c r="F44" i="112"/>
  <c r="F43" i="112"/>
  <c r="F42" i="112"/>
  <c r="F41" i="112"/>
  <c r="F40" i="112"/>
  <c r="F39" i="112"/>
  <c r="F38" i="112"/>
  <c r="F37" i="112"/>
  <c r="F36" i="112"/>
  <c r="F35" i="112"/>
  <c r="F34" i="112"/>
  <c r="F33" i="112"/>
  <c r="F32" i="112"/>
  <c r="F31" i="112"/>
  <c r="F30" i="112"/>
  <c r="F29" i="112"/>
  <c r="F28" i="112"/>
  <c r="F27" i="112"/>
  <c r="F26" i="112"/>
  <c r="F25" i="112"/>
  <c r="F24" i="112"/>
  <c r="F23" i="112"/>
  <c r="F22" i="112"/>
  <c r="F21" i="112"/>
  <c r="F20" i="112"/>
  <c r="F19" i="112"/>
  <c r="F18" i="112"/>
  <c r="F17" i="112"/>
  <c r="F16" i="112"/>
  <c r="F15" i="112"/>
  <c r="F14" i="112"/>
  <c r="F13" i="112"/>
  <c r="F12" i="112"/>
  <c r="F11" i="112"/>
  <c r="H10" i="112"/>
  <c r="H11" i="112" s="1"/>
  <c r="H12" i="112" s="1"/>
  <c r="H13" i="112" s="1"/>
  <c r="H14" i="112" s="1"/>
  <c r="H15" i="112" s="1"/>
  <c r="H16" i="112" s="1"/>
  <c r="H17" i="112" s="1"/>
  <c r="H18" i="112" s="1"/>
  <c r="H19" i="112" s="1"/>
  <c r="H20" i="112" s="1"/>
  <c r="H21" i="112" s="1"/>
  <c r="H22" i="112" s="1"/>
  <c r="H23" i="112" s="1"/>
  <c r="H24" i="112" s="1"/>
  <c r="H25" i="112" s="1"/>
  <c r="H26" i="112" s="1"/>
  <c r="H27" i="112" s="1"/>
  <c r="H28" i="112" s="1"/>
  <c r="H29" i="112" s="1"/>
  <c r="H30" i="112" s="1"/>
  <c r="H31" i="112" s="1"/>
  <c r="H32" i="112" s="1"/>
  <c r="H33" i="112" s="1"/>
  <c r="H34" i="112" s="1"/>
  <c r="H35" i="112" s="1"/>
  <c r="H36" i="112" s="1"/>
  <c r="H37" i="112" s="1"/>
  <c r="H38" i="112" s="1"/>
  <c r="H39" i="112" s="1"/>
  <c r="H40" i="112" s="1"/>
  <c r="H41" i="112" s="1"/>
  <c r="H42" i="112" s="1"/>
  <c r="H43" i="112" s="1"/>
  <c r="H44" i="112" s="1"/>
  <c r="H45" i="112" s="1"/>
  <c r="H46" i="112" s="1"/>
  <c r="H47" i="112" s="1"/>
  <c r="H48" i="112" s="1"/>
  <c r="H49" i="112" s="1"/>
  <c r="H50" i="112" s="1"/>
  <c r="H51" i="112" s="1"/>
  <c r="H52" i="112" s="1"/>
  <c r="H53" i="112" s="1"/>
  <c r="H54" i="112" s="1"/>
  <c r="H55" i="112" s="1"/>
  <c r="H56" i="112" s="1"/>
  <c r="H57" i="112" s="1"/>
  <c r="H58" i="112" s="1"/>
  <c r="H59" i="112" s="1"/>
  <c r="H60" i="112" s="1"/>
  <c r="H61" i="112" s="1"/>
  <c r="H62" i="112" s="1"/>
  <c r="H63" i="112" s="1"/>
  <c r="H64" i="112" s="1"/>
  <c r="H65" i="112" s="1"/>
  <c r="H66" i="112" s="1"/>
  <c r="H67" i="112" s="1"/>
  <c r="H68" i="112" s="1"/>
  <c r="H69" i="112" s="1"/>
  <c r="H70" i="112" s="1"/>
  <c r="H71" i="112" s="1"/>
  <c r="H72" i="112" s="1"/>
  <c r="H73" i="112" s="1"/>
  <c r="H74" i="112" s="1"/>
  <c r="H75" i="112" s="1"/>
  <c r="H76" i="112" s="1"/>
  <c r="H77" i="112" s="1"/>
  <c r="H78" i="112" s="1"/>
  <c r="H79" i="112" s="1"/>
  <c r="H80" i="112" s="1"/>
  <c r="H81" i="112" s="1"/>
  <c r="H82" i="112" s="1"/>
  <c r="H83" i="112" s="1"/>
  <c r="H84" i="112" s="1"/>
  <c r="H85" i="112" s="1"/>
  <c r="H86" i="112" s="1"/>
  <c r="H87" i="112" s="1"/>
  <c r="H88" i="112" s="1"/>
  <c r="H89" i="112" s="1"/>
  <c r="H90" i="112" s="1"/>
  <c r="H91" i="112" s="1"/>
  <c r="H92" i="112" s="1"/>
  <c r="H93" i="112" s="1"/>
  <c r="H94" i="112" s="1"/>
  <c r="H95" i="112" s="1"/>
  <c r="H96" i="112" s="1"/>
  <c r="H97" i="112" s="1"/>
  <c r="H98" i="112" s="1"/>
  <c r="H99" i="112" s="1"/>
  <c r="H100" i="112" s="1"/>
  <c r="H101" i="112" s="1"/>
  <c r="H102" i="112" s="1"/>
  <c r="H103" i="112" s="1"/>
  <c r="H104" i="112" s="1"/>
  <c r="H105" i="112" s="1"/>
  <c r="H106" i="112" s="1"/>
  <c r="H107" i="112" s="1"/>
  <c r="H108" i="112" s="1"/>
  <c r="H109" i="112" s="1"/>
  <c r="H110" i="112" s="1"/>
  <c r="H111" i="112" s="1"/>
  <c r="H112" i="112" s="1"/>
  <c r="H113" i="112" s="1"/>
  <c r="H114" i="112" s="1"/>
  <c r="H115" i="112" s="1"/>
  <c r="H116" i="112" s="1"/>
  <c r="H117" i="112" s="1"/>
  <c r="H118" i="112" s="1"/>
  <c r="H119" i="112" s="1"/>
  <c r="H120" i="112" s="1"/>
  <c r="H121" i="112" s="1"/>
  <c r="H122" i="112" s="1"/>
  <c r="H123" i="112" s="1"/>
  <c r="H124" i="112" s="1"/>
  <c r="H125" i="112" s="1"/>
  <c r="H126" i="112" s="1"/>
  <c r="H127" i="112" s="1"/>
  <c r="H128" i="112" s="1"/>
  <c r="H129" i="112" s="1"/>
  <c r="H130" i="112" s="1"/>
  <c r="H131" i="112" s="1"/>
  <c r="H132" i="112" s="1"/>
  <c r="H133" i="112" s="1"/>
  <c r="H134" i="112" s="1"/>
  <c r="H135" i="112" s="1"/>
  <c r="H136" i="112" s="1"/>
  <c r="H137" i="112" s="1"/>
  <c r="H138" i="112" s="1"/>
  <c r="H139" i="112" s="1"/>
  <c r="H140" i="112" s="1"/>
  <c r="H141" i="112" s="1"/>
  <c r="H142" i="112" s="1"/>
  <c r="H143" i="112" s="1"/>
  <c r="H144" i="112" s="1"/>
  <c r="H145" i="112" s="1"/>
  <c r="H146" i="112" s="1"/>
  <c r="H147" i="112" s="1"/>
  <c r="H148" i="112" s="1"/>
  <c r="H149" i="112" s="1"/>
  <c r="H150" i="112" s="1"/>
  <c r="H151" i="112" s="1"/>
  <c r="H152" i="112" s="1"/>
  <c r="H153" i="112" s="1"/>
  <c r="H154" i="112" s="1"/>
  <c r="H155" i="112" s="1"/>
  <c r="H156" i="112" s="1"/>
  <c r="H157" i="112" s="1"/>
  <c r="H158" i="112" s="1"/>
  <c r="H159" i="112" s="1"/>
  <c r="H160" i="112" s="1"/>
  <c r="H161" i="112" s="1"/>
  <c r="H162" i="112" s="1"/>
  <c r="H163" i="112" s="1"/>
  <c r="H164" i="112" s="1"/>
  <c r="H165" i="112" s="1"/>
  <c r="H166" i="112" s="1"/>
  <c r="H167" i="112" s="1"/>
  <c r="H168" i="112" s="1"/>
  <c r="H169" i="112" s="1"/>
  <c r="H170" i="112" s="1"/>
  <c r="H171" i="112" s="1"/>
  <c r="H172" i="112" s="1"/>
  <c r="H173" i="112" s="1"/>
  <c r="H174" i="112" s="1"/>
  <c r="H175" i="112" s="1"/>
  <c r="H176" i="112" s="1"/>
  <c r="H177" i="112" s="1"/>
  <c r="H178" i="112" s="1"/>
  <c r="H179" i="112" s="1"/>
  <c r="H180" i="112" s="1"/>
  <c r="H181" i="112" s="1"/>
  <c r="H182" i="112" s="1"/>
  <c r="H183" i="112" s="1"/>
  <c r="H184" i="112" s="1"/>
  <c r="H185" i="112" s="1"/>
  <c r="H186" i="112" s="1"/>
  <c r="H187" i="112" s="1"/>
  <c r="H188" i="112" s="1"/>
  <c r="H189" i="112" s="1"/>
  <c r="H190" i="112" s="1"/>
  <c r="H191" i="112" s="1"/>
  <c r="H192" i="112" s="1"/>
  <c r="H193" i="112" s="1"/>
  <c r="H194" i="112" s="1"/>
  <c r="H195" i="112" s="1"/>
  <c r="H196" i="112" s="1"/>
  <c r="H197" i="112" s="1"/>
  <c r="H198" i="112" s="1"/>
  <c r="H199" i="112" s="1"/>
  <c r="H200" i="112" s="1"/>
  <c r="H201" i="112" s="1"/>
  <c r="H202" i="112" s="1"/>
  <c r="H203" i="112" s="1"/>
  <c r="H204" i="112" s="1"/>
  <c r="H205" i="112" s="1"/>
  <c r="H206" i="112" s="1"/>
  <c r="H207" i="112" s="1"/>
  <c r="H208" i="112" s="1"/>
  <c r="H209" i="112" s="1"/>
  <c r="H210" i="112" s="1"/>
  <c r="H211" i="112" s="1"/>
  <c r="H212" i="112" s="1"/>
  <c r="H213" i="112" s="1"/>
  <c r="H214" i="112" s="1"/>
  <c r="H215" i="112" s="1"/>
  <c r="H216" i="112" s="1"/>
  <c r="H217" i="112" s="1"/>
  <c r="H218" i="112" s="1"/>
  <c r="H219" i="112" s="1"/>
  <c r="H220" i="112" s="1"/>
  <c r="H221" i="112" s="1"/>
  <c r="H222" i="112" s="1"/>
  <c r="H223" i="112" s="1"/>
  <c r="H224" i="112" s="1"/>
  <c r="H225" i="112" s="1"/>
  <c r="H226" i="112" s="1"/>
  <c r="H227" i="112" s="1"/>
  <c r="H228" i="112" s="1"/>
  <c r="H229" i="112" s="1"/>
  <c r="H230" i="112" s="1"/>
  <c r="H231" i="112" s="1"/>
  <c r="H232" i="112" s="1"/>
  <c r="H233" i="112" s="1"/>
  <c r="H234" i="112" s="1"/>
  <c r="H235" i="112" s="1"/>
  <c r="H236" i="112" s="1"/>
  <c r="H237" i="112" s="1"/>
  <c r="H238" i="112" s="1"/>
  <c r="H239" i="112" s="1"/>
  <c r="H240" i="112" s="1"/>
  <c r="H241" i="112" s="1"/>
  <c r="H242" i="112" s="1"/>
  <c r="H243" i="112" s="1"/>
  <c r="H244" i="112" s="1"/>
  <c r="H245" i="112" s="1"/>
  <c r="H246" i="112" s="1"/>
  <c r="H247" i="112" s="1"/>
  <c r="H248" i="112" s="1"/>
  <c r="H249" i="112" s="1"/>
  <c r="H250" i="112" s="1"/>
  <c r="H251" i="112" s="1"/>
  <c r="H252" i="112" s="1"/>
  <c r="H253" i="112" s="1"/>
  <c r="H254" i="112" s="1"/>
  <c r="H255" i="112" s="1"/>
  <c r="H256" i="112" s="1"/>
  <c r="H257" i="112" s="1"/>
  <c r="H258" i="112" s="1"/>
  <c r="H259" i="112" s="1"/>
  <c r="H260" i="112" s="1"/>
  <c r="H261" i="112" s="1"/>
  <c r="H262" i="112" s="1"/>
  <c r="H263" i="112" s="1"/>
  <c r="H264" i="112" s="1"/>
  <c r="H265" i="112" s="1"/>
  <c r="H266" i="112" s="1"/>
  <c r="H267" i="112" s="1"/>
  <c r="H268" i="112" s="1"/>
  <c r="H269" i="112" s="1"/>
  <c r="H270" i="112" s="1"/>
  <c r="H271" i="112" s="1"/>
  <c r="H272" i="112" s="1"/>
  <c r="H273" i="112" s="1"/>
  <c r="H274" i="112" s="1"/>
  <c r="H275" i="112" s="1"/>
  <c r="H276" i="112" s="1"/>
  <c r="H277" i="112" s="1"/>
  <c r="H278" i="112" s="1"/>
  <c r="H279" i="112" s="1"/>
  <c r="H280" i="112" s="1"/>
  <c r="H281" i="112" s="1"/>
  <c r="H282" i="112" s="1"/>
  <c r="H283" i="112" s="1"/>
  <c r="H284" i="112" s="1"/>
  <c r="H285" i="112" s="1"/>
  <c r="H286" i="112" s="1"/>
  <c r="H287" i="112" s="1"/>
  <c r="H288" i="112" s="1"/>
  <c r="H289" i="112" s="1"/>
  <c r="H290" i="112" s="1"/>
  <c r="H291" i="112" s="1"/>
  <c r="H292" i="112" s="1"/>
  <c r="H293" i="112" s="1"/>
  <c r="H294" i="112" s="1"/>
  <c r="H295" i="112" s="1"/>
  <c r="H296" i="112" s="1"/>
  <c r="H297" i="112" s="1"/>
  <c r="H298" i="112" s="1"/>
  <c r="H299" i="112" s="1"/>
  <c r="H300" i="112" s="1"/>
  <c r="H301" i="112" s="1"/>
  <c r="H302" i="112" s="1"/>
  <c r="H303" i="112" s="1"/>
  <c r="H304" i="112" s="1"/>
  <c r="H305" i="112" s="1"/>
  <c r="H306" i="112" s="1"/>
  <c r="H307" i="112" s="1"/>
  <c r="H308" i="112" s="1"/>
  <c r="H309" i="112" s="1"/>
  <c r="H310" i="112" s="1"/>
  <c r="H311" i="112" s="1"/>
  <c r="H312" i="112" s="1"/>
  <c r="H313" i="112" s="1"/>
  <c r="H314" i="112" s="1"/>
  <c r="H315" i="112" s="1"/>
  <c r="H316" i="112" s="1"/>
  <c r="H317" i="112" s="1"/>
  <c r="H318" i="112" s="1"/>
  <c r="H319" i="112" s="1"/>
  <c r="H320" i="112" s="1"/>
  <c r="H321" i="112" s="1"/>
  <c r="H322" i="112" s="1"/>
  <c r="H323" i="112" s="1"/>
  <c r="H324" i="112" s="1"/>
  <c r="H325" i="112" s="1"/>
  <c r="H326" i="112" s="1"/>
  <c r="H327" i="112" s="1"/>
  <c r="H328" i="112" s="1"/>
  <c r="H329" i="112" s="1"/>
  <c r="H330" i="112" s="1"/>
  <c r="H331" i="112" s="1"/>
  <c r="H332" i="112" s="1"/>
  <c r="H333" i="112" s="1"/>
  <c r="H334" i="112" s="1"/>
  <c r="H335" i="112" s="1"/>
  <c r="H336" i="112" s="1"/>
  <c r="H337" i="112" s="1"/>
  <c r="H338" i="112" s="1"/>
  <c r="H339" i="112" s="1"/>
  <c r="H340" i="112" s="1"/>
  <c r="H341" i="112" s="1"/>
  <c r="H342" i="112" s="1"/>
  <c r="H343" i="112" s="1"/>
  <c r="H344" i="112" s="1"/>
  <c r="H345" i="112" s="1"/>
  <c r="H346" i="112" s="1"/>
  <c r="H347" i="112" s="1"/>
  <c r="H348" i="112" s="1"/>
  <c r="H349" i="112" s="1"/>
  <c r="H350" i="112" s="1"/>
  <c r="H351" i="112" s="1"/>
  <c r="H352" i="112" s="1"/>
  <c r="H353" i="112" s="1"/>
  <c r="H354" i="112" s="1"/>
  <c r="H355" i="112" s="1"/>
  <c r="H356" i="112" s="1"/>
  <c r="H357" i="112" s="1"/>
  <c r="H358" i="112" s="1"/>
  <c r="H359" i="112" s="1"/>
  <c r="H360" i="112" s="1"/>
  <c r="H361" i="112" s="1"/>
  <c r="H362" i="112" s="1"/>
  <c r="H363" i="112" s="1"/>
  <c r="H364" i="112" s="1"/>
  <c r="H365" i="112" s="1"/>
  <c r="H366" i="112" s="1"/>
  <c r="H367" i="112" s="1"/>
  <c r="H368" i="112" s="1"/>
  <c r="H369" i="112" s="1"/>
  <c r="H370" i="112" s="1"/>
  <c r="H371" i="112" s="1"/>
  <c r="H372" i="112" s="1"/>
  <c r="H373" i="112" s="1"/>
  <c r="H374" i="112" s="1"/>
  <c r="H375" i="112" s="1"/>
  <c r="H376" i="112" s="1"/>
  <c r="H377" i="112" s="1"/>
  <c r="H378" i="112" s="1"/>
  <c r="H379" i="112" s="1"/>
  <c r="H380" i="112" s="1"/>
  <c r="H381" i="112" s="1"/>
  <c r="H382" i="112" s="1"/>
  <c r="H383" i="112" s="1"/>
  <c r="H384" i="112" s="1"/>
  <c r="H385" i="112" s="1"/>
  <c r="H386" i="112" s="1"/>
  <c r="H387" i="112" s="1"/>
  <c r="H388" i="112" s="1"/>
  <c r="H389" i="112" s="1"/>
  <c r="H390" i="112" s="1"/>
  <c r="H391" i="112" s="1"/>
  <c r="H392" i="112" s="1"/>
  <c r="H393" i="112" s="1"/>
  <c r="H394" i="112" s="1"/>
  <c r="H395" i="112" s="1"/>
  <c r="H396" i="112" s="1"/>
  <c r="H397" i="112" s="1"/>
  <c r="H398" i="112" s="1"/>
  <c r="H399" i="112" s="1"/>
  <c r="H400" i="112" s="1"/>
  <c r="H401" i="112" s="1"/>
  <c r="H402" i="112" s="1"/>
  <c r="H403" i="112" s="1"/>
  <c r="H404" i="112" s="1"/>
  <c r="H405" i="112" s="1"/>
  <c r="H406" i="112" s="1"/>
  <c r="H407" i="112" s="1"/>
  <c r="H408" i="112" s="1"/>
  <c r="H409" i="112" s="1"/>
  <c r="H410" i="112" s="1"/>
  <c r="H411" i="112" s="1"/>
  <c r="H412" i="112" s="1"/>
  <c r="H413" i="112" s="1"/>
  <c r="H414" i="112" s="1"/>
  <c r="H415" i="112" s="1"/>
  <c r="H416" i="112" s="1"/>
  <c r="H417" i="112" s="1"/>
  <c r="H418" i="112" s="1"/>
  <c r="H419" i="112" s="1"/>
  <c r="H420" i="112" s="1"/>
  <c r="H421" i="112" s="1"/>
  <c r="H422" i="112" s="1"/>
  <c r="H423" i="112" s="1"/>
  <c r="H424" i="112" s="1"/>
  <c r="H425" i="112" s="1"/>
  <c r="H426" i="112" s="1"/>
  <c r="H427" i="112" s="1"/>
  <c r="H428" i="112" s="1"/>
  <c r="H429" i="112" s="1"/>
  <c r="H430" i="112" s="1"/>
  <c r="H431" i="112" s="1"/>
  <c r="H432" i="112" s="1"/>
  <c r="H433" i="112" s="1"/>
  <c r="H434" i="112" s="1"/>
  <c r="H435" i="112" s="1"/>
  <c r="H436" i="112" s="1"/>
  <c r="H437" i="112" s="1"/>
  <c r="H438" i="112" s="1"/>
  <c r="H439" i="112" s="1"/>
  <c r="H440" i="112" s="1"/>
  <c r="H441" i="112" s="1"/>
  <c r="H442" i="112" s="1"/>
  <c r="H443" i="112" s="1"/>
  <c r="H444" i="112" s="1"/>
  <c r="H445" i="112" s="1"/>
  <c r="H446" i="112" s="1"/>
  <c r="H447" i="112" s="1"/>
  <c r="H448" i="112" s="1"/>
  <c r="H449" i="112" s="1"/>
  <c r="H450" i="112" s="1"/>
  <c r="H451" i="112" s="1"/>
  <c r="H452" i="112" s="1"/>
  <c r="H453" i="112" s="1"/>
  <c r="H454" i="112" s="1"/>
  <c r="H455" i="112" s="1"/>
  <c r="H456" i="112" s="1"/>
  <c r="H457" i="112" s="1"/>
  <c r="H458" i="112" s="1"/>
  <c r="H459" i="112" s="1"/>
  <c r="H460" i="112" s="1"/>
  <c r="H461" i="112" s="1"/>
  <c r="H462" i="112" s="1"/>
  <c r="H463" i="112" s="1"/>
  <c r="H464" i="112" s="1"/>
  <c r="H465" i="112" s="1"/>
  <c r="H466" i="112" s="1"/>
  <c r="H467" i="112" s="1"/>
  <c r="H468" i="112" s="1"/>
  <c r="H469" i="112" s="1"/>
  <c r="H470" i="112" s="1"/>
  <c r="H471" i="112" s="1"/>
  <c r="H472" i="112" s="1"/>
  <c r="H473" i="112" s="1"/>
  <c r="H474" i="112" s="1"/>
  <c r="H475" i="112" s="1"/>
  <c r="H476" i="112" s="1"/>
  <c r="H477" i="112" s="1"/>
  <c r="H478" i="112" s="1"/>
  <c r="H479" i="112" s="1"/>
  <c r="H480" i="112" s="1"/>
  <c r="H481" i="112" s="1"/>
  <c r="H482" i="112" s="1"/>
  <c r="H483" i="112" s="1"/>
  <c r="H484" i="112" s="1"/>
  <c r="H485" i="112" s="1"/>
  <c r="H486" i="112" s="1"/>
  <c r="H487" i="112" s="1"/>
  <c r="H488" i="112" s="1"/>
  <c r="H489" i="112" s="1"/>
  <c r="H490" i="112" s="1"/>
  <c r="H491" i="112" s="1"/>
  <c r="H492" i="112" s="1"/>
  <c r="H493" i="112" s="1"/>
  <c r="H494" i="112" s="1"/>
  <c r="H495" i="112" s="1"/>
  <c r="H496" i="112" s="1"/>
  <c r="H497" i="112" s="1"/>
  <c r="H498" i="112" s="1"/>
  <c r="H499" i="112" s="1"/>
  <c r="H500" i="112" s="1"/>
  <c r="H501" i="112" s="1"/>
  <c r="H502" i="112" s="1"/>
  <c r="H503" i="112" s="1"/>
  <c r="H504" i="112" s="1"/>
  <c r="H505" i="112" s="1"/>
  <c r="H506" i="112" s="1"/>
  <c r="H507" i="112" s="1"/>
  <c r="H508" i="112" s="1"/>
  <c r="H509" i="112" s="1"/>
  <c r="H510" i="112" s="1"/>
  <c r="H511" i="112" s="1"/>
  <c r="H512" i="112" s="1"/>
  <c r="H513" i="112" s="1"/>
  <c r="H514" i="112" s="1"/>
  <c r="H515" i="112" s="1"/>
  <c r="H516" i="112" s="1"/>
  <c r="H517" i="112" s="1"/>
  <c r="H518" i="112" s="1"/>
  <c r="H519" i="112" s="1"/>
  <c r="H520" i="112" s="1"/>
  <c r="H521" i="112" s="1"/>
  <c r="H522" i="112" s="1"/>
  <c r="H523" i="112" s="1"/>
  <c r="H524" i="112" s="1"/>
  <c r="H525" i="112" s="1"/>
  <c r="H526" i="112" s="1"/>
  <c r="H527" i="112" s="1"/>
  <c r="H528" i="112" s="1"/>
  <c r="H529" i="112" s="1"/>
  <c r="H530" i="112" s="1"/>
  <c r="H531" i="112" s="1"/>
  <c r="H532" i="112" s="1"/>
  <c r="H533" i="112" s="1"/>
  <c r="H534" i="112" s="1"/>
  <c r="H535" i="112" s="1"/>
  <c r="H536" i="112" s="1"/>
  <c r="H537" i="112" s="1"/>
  <c r="H538" i="112" s="1"/>
  <c r="H539" i="112" s="1"/>
  <c r="H540" i="112" s="1"/>
  <c r="H541" i="112" s="1"/>
  <c r="H542" i="112" s="1"/>
  <c r="H543" i="112" s="1"/>
  <c r="H544" i="112" s="1"/>
  <c r="H545" i="112" s="1"/>
  <c r="H546" i="112" s="1"/>
  <c r="H547" i="112" s="1"/>
  <c r="H548" i="112" s="1"/>
  <c r="H549" i="112" s="1"/>
  <c r="H550" i="112" s="1"/>
  <c r="H551" i="112" s="1"/>
  <c r="H552" i="112" s="1"/>
  <c r="H553" i="112" s="1"/>
  <c r="H554" i="112" s="1"/>
  <c r="H555" i="112" s="1"/>
  <c r="H556" i="112" s="1"/>
  <c r="H557" i="112" s="1"/>
  <c r="H558" i="112" s="1"/>
  <c r="H559" i="112" s="1"/>
  <c r="H560" i="112" s="1"/>
  <c r="H561" i="112" s="1"/>
  <c r="H562" i="112" s="1"/>
  <c r="H563" i="112" s="1"/>
  <c r="H564" i="112" s="1"/>
  <c r="H565" i="112" s="1"/>
  <c r="H566" i="112" s="1"/>
  <c r="H567" i="112" s="1"/>
  <c r="H568" i="112" s="1"/>
  <c r="H569" i="112" s="1"/>
  <c r="H570" i="112" s="1"/>
  <c r="H571" i="112" s="1"/>
  <c r="H572" i="112" s="1"/>
  <c r="H573" i="112" s="1"/>
  <c r="H574" i="112" s="1"/>
  <c r="H575" i="112" s="1"/>
  <c r="H576" i="112" s="1"/>
  <c r="H577" i="112" s="1"/>
  <c r="H578" i="112" s="1"/>
  <c r="H579" i="112" s="1"/>
  <c r="H580" i="112" s="1"/>
  <c r="H581" i="112" s="1"/>
  <c r="H582" i="112" s="1"/>
  <c r="H583" i="112" s="1"/>
  <c r="H584" i="112" s="1"/>
  <c r="H585" i="112" s="1"/>
  <c r="H586" i="112" s="1"/>
  <c r="H587" i="112" s="1"/>
  <c r="H588" i="112" s="1"/>
  <c r="H589" i="112" s="1"/>
  <c r="H590" i="112" s="1"/>
  <c r="H591" i="112" s="1"/>
  <c r="H592" i="112" s="1"/>
  <c r="H593" i="112" s="1"/>
  <c r="H594" i="112" s="1"/>
  <c r="H595" i="112" s="1"/>
  <c r="H596" i="112" s="1"/>
  <c r="H597" i="112" s="1"/>
  <c r="H598" i="112" s="1"/>
  <c r="H599" i="112" s="1"/>
  <c r="H600" i="112" s="1"/>
  <c r="H601" i="112" s="1"/>
  <c r="H602" i="112" s="1"/>
  <c r="H603" i="112" s="1"/>
  <c r="H604" i="112" s="1"/>
  <c r="H605" i="112" s="1"/>
  <c r="H606" i="112" s="1"/>
  <c r="H607" i="112" s="1"/>
  <c r="H608" i="112" s="1"/>
  <c r="F10" i="112"/>
  <c r="H9" i="112"/>
  <c r="F9" i="112"/>
  <c r="C6" i="112"/>
  <c r="B6" i="112"/>
  <c r="C428" i="112" s="1"/>
  <c r="C578" i="111"/>
  <c r="C553" i="111"/>
  <c r="C541" i="111"/>
  <c r="C518" i="111"/>
  <c r="C504" i="111"/>
  <c r="C481" i="111"/>
  <c r="C359" i="111"/>
  <c r="C301" i="111"/>
  <c r="C269" i="111"/>
  <c r="C220" i="111"/>
  <c r="C212" i="111"/>
  <c r="C197" i="111"/>
  <c r="C191" i="111"/>
  <c r="C185" i="111"/>
  <c r="C151" i="111"/>
  <c r="C149" i="111"/>
  <c r="C148" i="111"/>
  <c r="C147" i="111"/>
  <c r="C146" i="111"/>
  <c r="C142" i="111"/>
  <c r="C135" i="111"/>
  <c r="C133" i="111"/>
  <c r="C132" i="111"/>
  <c r="C131" i="111"/>
  <c r="C130" i="111"/>
  <c r="C126" i="111"/>
  <c r="C119" i="111"/>
  <c r="C117" i="111"/>
  <c r="C116" i="111"/>
  <c r="C115" i="111"/>
  <c r="C114" i="111"/>
  <c r="C110" i="111"/>
  <c r="C103" i="111"/>
  <c r="C101" i="111"/>
  <c r="C100" i="111"/>
  <c r="C99" i="111"/>
  <c r="C98" i="111"/>
  <c r="C94" i="111"/>
  <c r="C93" i="111"/>
  <c r="C89" i="111"/>
  <c r="C88" i="111"/>
  <c r="C84" i="111"/>
  <c r="C83" i="111"/>
  <c r="C82" i="111"/>
  <c r="C80" i="111"/>
  <c r="C79" i="111"/>
  <c r="C78" i="111"/>
  <c r="C77" i="111"/>
  <c r="C74" i="111"/>
  <c r="C73" i="111"/>
  <c r="C72" i="111"/>
  <c r="C68" i="111"/>
  <c r="C67" i="111"/>
  <c r="C63" i="111"/>
  <c r="C62" i="111"/>
  <c r="C58" i="111"/>
  <c r="C57" i="111"/>
  <c r="C56" i="111"/>
  <c r="C54" i="111"/>
  <c r="C53" i="111"/>
  <c r="C52" i="111"/>
  <c r="C51" i="111"/>
  <c r="C47" i="111"/>
  <c r="C46" i="111"/>
  <c r="C45" i="111"/>
  <c r="C42" i="111"/>
  <c r="C41" i="111"/>
  <c r="C40" i="111"/>
  <c r="C38" i="111"/>
  <c r="C37" i="111"/>
  <c r="C36" i="111"/>
  <c r="C35" i="111"/>
  <c r="C31" i="111"/>
  <c r="C30" i="111"/>
  <c r="C26" i="111"/>
  <c r="C25" i="111"/>
  <c r="C24" i="111"/>
  <c r="C21" i="111"/>
  <c r="C20" i="111"/>
  <c r="C19" i="111"/>
  <c r="C17" i="111"/>
  <c r="C16" i="111"/>
  <c r="C15" i="111"/>
  <c r="C14" i="111"/>
  <c r="C10" i="111"/>
  <c r="C9" i="111"/>
  <c r="C6" i="111"/>
  <c r="B6" i="111"/>
  <c r="C519" i="111" s="1"/>
  <c r="C186" i="110"/>
  <c r="C6" i="110"/>
  <c r="B6" i="110"/>
  <c r="C81" i="110" s="1"/>
  <c r="H9" i="109"/>
  <c r="G8" i="109"/>
  <c r="H7" i="109"/>
  <c r="C283" i="110" l="1"/>
  <c r="C36" i="110"/>
  <c r="C513" i="110"/>
  <c r="E19" i="110"/>
  <c r="E35" i="110"/>
  <c r="E51" i="110"/>
  <c r="E67" i="110"/>
  <c r="E83" i="110"/>
  <c r="E99" i="110"/>
  <c r="E115" i="110"/>
  <c r="E131" i="110"/>
  <c r="E147" i="110"/>
  <c r="E163" i="110"/>
  <c r="E179" i="110"/>
  <c r="E195" i="110"/>
  <c r="E211" i="110"/>
  <c r="E227" i="110"/>
  <c r="E243" i="110"/>
  <c r="E259" i="110"/>
  <c r="E275" i="110"/>
  <c r="E291" i="110"/>
  <c r="E307" i="110"/>
  <c r="E323" i="110"/>
  <c r="E339" i="110"/>
  <c r="E355" i="110"/>
  <c r="E371" i="110"/>
  <c r="E387" i="110"/>
  <c r="E403" i="110"/>
  <c r="E419" i="110"/>
  <c r="E435" i="110"/>
  <c r="E451" i="110"/>
  <c r="E467" i="110"/>
  <c r="E483" i="110"/>
  <c r="E499" i="110"/>
  <c r="E515" i="110"/>
  <c r="E531" i="110"/>
  <c r="E547" i="110"/>
  <c r="E563" i="110"/>
  <c r="E579" i="110"/>
  <c r="E595" i="110"/>
  <c r="D11" i="110"/>
  <c r="D27" i="110"/>
  <c r="D43" i="110"/>
  <c r="D59" i="110"/>
  <c r="D75" i="110"/>
  <c r="D91" i="110"/>
  <c r="D107" i="110"/>
  <c r="D123" i="110"/>
  <c r="D139" i="110"/>
  <c r="D155" i="110"/>
  <c r="D187" i="110"/>
  <c r="D203" i="110"/>
  <c r="D219" i="110"/>
  <c r="D251" i="110"/>
  <c r="D283" i="110"/>
  <c r="D315" i="110"/>
  <c r="D363" i="110"/>
  <c r="D411" i="110"/>
  <c r="D459" i="110"/>
  <c r="D507" i="110"/>
  <c r="D555" i="110"/>
  <c r="E20" i="110"/>
  <c r="E36" i="110"/>
  <c r="E52" i="110"/>
  <c r="E68" i="110"/>
  <c r="E84" i="110"/>
  <c r="E100" i="110"/>
  <c r="E116" i="110"/>
  <c r="E132" i="110"/>
  <c r="E148" i="110"/>
  <c r="E164" i="110"/>
  <c r="E180" i="110"/>
  <c r="E196" i="110"/>
  <c r="E212" i="110"/>
  <c r="E228" i="110"/>
  <c r="E244" i="110"/>
  <c r="E260" i="110"/>
  <c r="E276" i="110"/>
  <c r="E292" i="110"/>
  <c r="E308" i="110"/>
  <c r="E324" i="110"/>
  <c r="E340" i="110"/>
  <c r="E356" i="110"/>
  <c r="E372" i="110"/>
  <c r="E388" i="110"/>
  <c r="E404" i="110"/>
  <c r="E420" i="110"/>
  <c r="E436" i="110"/>
  <c r="E452" i="110"/>
  <c r="E468" i="110"/>
  <c r="E484" i="110"/>
  <c r="E500" i="110"/>
  <c r="E516" i="110"/>
  <c r="E532" i="110"/>
  <c r="E548" i="110"/>
  <c r="E564" i="110"/>
  <c r="E580" i="110"/>
  <c r="E596" i="110"/>
  <c r="D12" i="110"/>
  <c r="D28" i="110"/>
  <c r="D44" i="110"/>
  <c r="D60" i="110"/>
  <c r="D76" i="110"/>
  <c r="D92" i="110"/>
  <c r="D108" i="110"/>
  <c r="D124" i="110"/>
  <c r="D140" i="110"/>
  <c r="D156" i="110"/>
  <c r="D172" i="110"/>
  <c r="D188" i="110"/>
  <c r="D204" i="110"/>
  <c r="D220" i="110"/>
  <c r="D236" i="110"/>
  <c r="D252" i="110"/>
  <c r="D268" i="110"/>
  <c r="D284" i="110"/>
  <c r="D300" i="110"/>
  <c r="D316" i="110"/>
  <c r="D332" i="110"/>
  <c r="D348" i="110"/>
  <c r="D364" i="110"/>
  <c r="D380" i="110"/>
  <c r="E21" i="110"/>
  <c r="E37" i="110"/>
  <c r="E53" i="110"/>
  <c r="E69" i="110"/>
  <c r="E85" i="110"/>
  <c r="E101" i="110"/>
  <c r="E117" i="110"/>
  <c r="E133" i="110"/>
  <c r="E149" i="110"/>
  <c r="E165" i="110"/>
  <c r="E181" i="110"/>
  <c r="E197" i="110"/>
  <c r="E213" i="110"/>
  <c r="E229" i="110"/>
  <c r="E245" i="110"/>
  <c r="E261" i="110"/>
  <c r="E277" i="110"/>
  <c r="E293" i="110"/>
  <c r="E309" i="110"/>
  <c r="E325" i="110"/>
  <c r="E341" i="110"/>
  <c r="E357" i="110"/>
  <c r="E373" i="110"/>
  <c r="E389" i="110"/>
  <c r="E405" i="110"/>
  <c r="E421" i="110"/>
  <c r="E437" i="110"/>
  <c r="E453" i="110"/>
  <c r="E469" i="110"/>
  <c r="E485" i="110"/>
  <c r="E501" i="110"/>
  <c r="E517" i="110"/>
  <c r="E533" i="110"/>
  <c r="E549" i="110"/>
  <c r="E565" i="110"/>
  <c r="E581" i="110"/>
  <c r="E597" i="110"/>
  <c r="D13" i="110"/>
  <c r="D29" i="110"/>
  <c r="D45" i="110"/>
  <c r="D61" i="110"/>
  <c r="D77" i="110"/>
  <c r="D93" i="110"/>
  <c r="D109" i="110"/>
  <c r="D125" i="110"/>
  <c r="D141" i="110"/>
  <c r="D157" i="110"/>
  <c r="D173" i="110"/>
  <c r="D189" i="110"/>
  <c r="D205" i="110"/>
  <c r="D221" i="110"/>
  <c r="D237" i="110"/>
  <c r="D253" i="110"/>
  <c r="D269" i="110"/>
  <c r="D285" i="110"/>
  <c r="D301" i="110"/>
  <c r="D317" i="110"/>
  <c r="D333" i="110"/>
  <c r="D349" i="110"/>
  <c r="D365" i="110"/>
  <c r="D381" i="110"/>
  <c r="D397" i="110"/>
  <c r="D413" i="110"/>
  <c r="D429" i="110"/>
  <c r="D445" i="110"/>
  <c r="D461" i="110"/>
  <c r="D477" i="110"/>
  <c r="D493" i="110"/>
  <c r="D509" i="110"/>
  <c r="D525" i="110"/>
  <c r="D541" i="110"/>
  <c r="D557" i="110"/>
  <c r="D573" i="110"/>
  <c r="D589" i="110"/>
  <c r="D605" i="110"/>
  <c r="E22" i="110"/>
  <c r="E38" i="110"/>
  <c r="E54" i="110"/>
  <c r="E70" i="110"/>
  <c r="E102" i="110"/>
  <c r="E118" i="110"/>
  <c r="E134" i="110"/>
  <c r="E150" i="110"/>
  <c r="E166" i="110"/>
  <c r="E182" i="110"/>
  <c r="E86" i="110"/>
  <c r="E14" i="110"/>
  <c r="E30" i="110"/>
  <c r="E46" i="110"/>
  <c r="E62" i="110"/>
  <c r="E78" i="110"/>
  <c r="E94" i="110"/>
  <c r="E110" i="110"/>
  <c r="E126" i="110"/>
  <c r="E142" i="110"/>
  <c r="E158" i="110"/>
  <c r="E174" i="110"/>
  <c r="E190" i="110"/>
  <c r="E206" i="110"/>
  <c r="E222" i="110"/>
  <c r="E238" i="110"/>
  <c r="E254" i="110"/>
  <c r="E270" i="110"/>
  <c r="E286" i="110"/>
  <c r="E302" i="110"/>
  <c r="E318" i="110"/>
  <c r="E334" i="110"/>
  <c r="E350" i="110"/>
  <c r="E366" i="110"/>
  <c r="E382" i="110"/>
  <c r="E398" i="110"/>
  <c r="E414" i="110"/>
  <c r="E430" i="110"/>
  <c r="E446" i="110"/>
  <c r="E462" i="110"/>
  <c r="E478" i="110"/>
  <c r="E494" i="110"/>
  <c r="E510" i="110"/>
  <c r="E526" i="110"/>
  <c r="E542" i="110"/>
  <c r="E558" i="110"/>
  <c r="E574" i="110"/>
  <c r="E590" i="110"/>
  <c r="E606" i="110"/>
  <c r="D22" i="110"/>
  <c r="D38" i="110"/>
  <c r="D54" i="110"/>
  <c r="D70" i="110"/>
  <c r="D86" i="110"/>
  <c r="D102" i="110"/>
  <c r="D118" i="110"/>
  <c r="D134" i="110"/>
  <c r="D150" i="110"/>
  <c r="D166" i="110"/>
  <c r="D182" i="110"/>
  <c r="D198" i="110"/>
  <c r="D214" i="110"/>
  <c r="D230" i="110"/>
  <c r="D246" i="110"/>
  <c r="D262" i="110"/>
  <c r="D278" i="110"/>
  <c r="D294" i="110"/>
  <c r="D310" i="110"/>
  <c r="D326" i="110"/>
  <c r="D342" i="110"/>
  <c r="D358" i="110"/>
  <c r="D374" i="110"/>
  <c r="D390" i="110"/>
  <c r="D406" i="110"/>
  <c r="D422" i="110"/>
  <c r="D438" i="110"/>
  <c r="D454" i="110"/>
  <c r="D470" i="110"/>
  <c r="D486" i="110"/>
  <c r="D502" i="110"/>
  <c r="D518" i="110"/>
  <c r="D534" i="110"/>
  <c r="D550" i="110"/>
  <c r="D566" i="110"/>
  <c r="D582" i="110"/>
  <c r="D598" i="110"/>
  <c r="D247" i="110"/>
  <c r="D279" i="110"/>
  <c r="D311" i="110"/>
  <c r="D343" i="110"/>
  <c r="D375" i="110"/>
  <c r="D407" i="110"/>
  <c r="D439" i="110"/>
  <c r="D471" i="110"/>
  <c r="E15" i="110"/>
  <c r="E31" i="110"/>
  <c r="E47" i="110"/>
  <c r="E63" i="110"/>
  <c r="E79" i="110"/>
  <c r="E95" i="110"/>
  <c r="E111" i="110"/>
  <c r="E127" i="110"/>
  <c r="E143" i="110"/>
  <c r="E159" i="110"/>
  <c r="E175" i="110"/>
  <c r="E191" i="110"/>
  <c r="E207" i="110"/>
  <c r="E223" i="110"/>
  <c r="E239" i="110"/>
  <c r="E255" i="110"/>
  <c r="E271" i="110"/>
  <c r="E287" i="110"/>
  <c r="E303" i="110"/>
  <c r="E319" i="110"/>
  <c r="E335" i="110"/>
  <c r="E351" i="110"/>
  <c r="E367" i="110"/>
  <c r="E383" i="110"/>
  <c r="E399" i="110"/>
  <c r="E415" i="110"/>
  <c r="E431" i="110"/>
  <c r="E447" i="110"/>
  <c r="E463" i="110"/>
  <c r="E479" i="110"/>
  <c r="E495" i="110"/>
  <c r="E511" i="110"/>
  <c r="E527" i="110"/>
  <c r="E543" i="110"/>
  <c r="E559" i="110"/>
  <c r="E575" i="110"/>
  <c r="E591" i="110"/>
  <c r="E607" i="110"/>
  <c r="D23" i="110"/>
  <c r="D39" i="110"/>
  <c r="D55" i="110"/>
  <c r="D71" i="110"/>
  <c r="D87" i="110"/>
  <c r="D103" i="110"/>
  <c r="D119" i="110"/>
  <c r="D135" i="110"/>
  <c r="D151" i="110"/>
  <c r="D167" i="110"/>
  <c r="D183" i="110"/>
  <c r="D199" i="110"/>
  <c r="D215" i="110"/>
  <c r="D231" i="110"/>
  <c r="D263" i="110"/>
  <c r="D295" i="110"/>
  <c r="D327" i="110"/>
  <c r="D359" i="110"/>
  <c r="D391" i="110"/>
  <c r="D423" i="110"/>
  <c r="D455" i="110"/>
  <c r="D487" i="110"/>
  <c r="E16" i="110"/>
  <c r="E32" i="110"/>
  <c r="E48" i="110"/>
  <c r="E64" i="110"/>
  <c r="E80" i="110"/>
  <c r="E96" i="110"/>
  <c r="E112" i="110"/>
  <c r="E128" i="110"/>
  <c r="E144" i="110"/>
  <c r="E160" i="110"/>
  <c r="E176" i="110"/>
  <c r="E192" i="110"/>
  <c r="E208" i="110"/>
  <c r="E224" i="110"/>
  <c r="E240" i="110"/>
  <c r="E256" i="110"/>
  <c r="E272" i="110"/>
  <c r="E288" i="110"/>
  <c r="E304" i="110"/>
  <c r="E320" i="110"/>
  <c r="E336" i="110"/>
  <c r="E352" i="110"/>
  <c r="E368" i="110"/>
  <c r="E384" i="110"/>
  <c r="E400" i="110"/>
  <c r="E416" i="110"/>
  <c r="E432" i="110"/>
  <c r="E448" i="110"/>
  <c r="E464" i="110"/>
  <c r="E480" i="110"/>
  <c r="E496" i="110"/>
  <c r="E512" i="110"/>
  <c r="E528" i="110"/>
  <c r="E544" i="110"/>
  <c r="E560" i="110"/>
  <c r="E576" i="110"/>
  <c r="E592" i="110"/>
  <c r="E608" i="110"/>
  <c r="D24" i="110"/>
  <c r="D40" i="110"/>
  <c r="D56" i="110"/>
  <c r="D72" i="110"/>
  <c r="D88" i="110"/>
  <c r="D104" i="110"/>
  <c r="D120" i="110"/>
  <c r="D136" i="110"/>
  <c r="D152" i="110"/>
  <c r="D168" i="110"/>
  <c r="D184" i="110"/>
  <c r="D200" i="110"/>
  <c r="D216" i="110"/>
  <c r="D232" i="110"/>
  <c r="D248" i="110"/>
  <c r="D264" i="110"/>
  <c r="D280" i="110"/>
  <c r="D296" i="110"/>
  <c r="E17" i="110"/>
  <c r="E33" i="110"/>
  <c r="E49" i="110"/>
  <c r="E65" i="110"/>
  <c r="E81" i="110"/>
  <c r="E97" i="110"/>
  <c r="E113" i="110"/>
  <c r="E129" i="110"/>
  <c r="E145" i="110"/>
  <c r="E161" i="110"/>
  <c r="E177" i="110"/>
  <c r="E193" i="110"/>
  <c r="E209" i="110"/>
  <c r="E225" i="110"/>
  <c r="E241" i="110"/>
  <c r="E257" i="110"/>
  <c r="E273" i="110"/>
  <c r="E289" i="110"/>
  <c r="E305" i="110"/>
  <c r="E321" i="110"/>
  <c r="E337" i="110"/>
  <c r="E353" i="110"/>
  <c r="E369" i="110"/>
  <c r="E385" i="110"/>
  <c r="E401" i="110"/>
  <c r="E417" i="110"/>
  <c r="E433" i="110"/>
  <c r="E449" i="110"/>
  <c r="E465" i="110"/>
  <c r="E481" i="110"/>
  <c r="E497" i="110"/>
  <c r="E513" i="110"/>
  <c r="E529" i="110"/>
  <c r="E545" i="110"/>
  <c r="E561" i="110"/>
  <c r="E577" i="110"/>
  <c r="E593" i="110"/>
  <c r="E10" i="110"/>
  <c r="D25" i="110"/>
  <c r="D41" i="110"/>
  <c r="D57" i="110"/>
  <c r="D73" i="110"/>
  <c r="D89" i="110"/>
  <c r="D105" i="110"/>
  <c r="D121" i="110"/>
  <c r="D137" i="110"/>
  <c r="D153" i="110"/>
  <c r="D169" i="110"/>
  <c r="D185" i="110"/>
  <c r="D201" i="110"/>
  <c r="D217" i="110"/>
  <c r="D233" i="110"/>
  <c r="D249" i="110"/>
  <c r="D265" i="110"/>
  <c r="D281" i="110"/>
  <c r="D297" i="110"/>
  <c r="D313" i="110"/>
  <c r="D329" i="110"/>
  <c r="D345" i="110"/>
  <c r="D361" i="110"/>
  <c r="D377" i="110"/>
  <c r="D393" i="110"/>
  <c r="D409" i="110"/>
  <c r="D425" i="110"/>
  <c r="D441" i="110"/>
  <c r="D457" i="110"/>
  <c r="D473" i="110"/>
  <c r="D489" i="110"/>
  <c r="D505" i="110"/>
  <c r="D521" i="110"/>
  <c r="D537" i="110"/>
  <c r="D553" i="110"/>
  <c r="D569" i="110"/>
  <c r="D585" i="110"/>
  <c r="D601" i="110"/>
  <c r="D458" i="110"/>
  <c r="D490" i="110"/>
  <c r="D522" i="110"/>
  <c r="D554" i="110"/>
  <c r="D586" i="110"/>
  <c r="D235" i="110"/>
  <c r="D331" i="110"/>
  <c r="D379" i="110"/>
  <c r="D427" i="110"/>
  <c r="D475" i="110"/>
  <c r="E18" i="110"/>
  <c r="E34" i="110"/>
  <c r="E50" i="110"/>
  <c r="E66" i="110"/>
  <c r="E82" i="110"/>
  <c r="E98" i="110"/>
  <c r="E114" i="110"/>
  <c r="E130" i="110"/>
  <c r="E146" i="110"/>
  <c r="E162" i="110"/>
  <c r="E178" i="110"/>
  <c r="E194" i="110"/>
  <c r="E210" i="110"/>
  <c r="E226" i="110"/>
  <c r="E242" i="110"/>
  <c r="E258" i="110"/>
  <c r="E274" i="110"/>
  <c r="E290" i="110"/>
  <c r="E306" i="110"/>
  <c r="E322" i="110"/>
  <c r="E338" i="110"/>
  <c r="E354" i="110"/>
  <c r="E370" i="110"/>
  <c r="E386" i="110"/>
  <c r="E402" i="110"/>
  <c r="E418" i="110"/>
  <c r="E434" i="110"/>
  <c r="E450" i="110"/>
  <c r="E466" i="110"/>
  <c r="E482" i="110"/>
  <c r="E498" i="110"/>
  <c r="E514" i="110"/>
  <c r="E530" i="110"/>
  <c r="E546" i="110"/>
  <c r="E562" i="110"/>
  <c r="E578" i="110"/>
  <c r="E594" i="110"/>
  <c r="E9" i="110"/>
  <c r="D26" i="110"/>
  <c r="D42" i="110"/>
  <c r="D58" i="110"/>
  <c r="D74" i="110"/>
  <c r="D90" i="110"/>
  <c r="D106" i="110"/>
  <c r="D122" i="110"/>
  <c r="D138" i="110"/>
  <c r="D154" i="110"/>
  <c r="D170" i="110"/>
  <c r="D186" i="110"/>
  <c r="D202" i="110"/>
  <c r="D218" i="110"/>
  <c r="D234" i="110"/>
  <c r="D250" i="110"/>
  <c r="D266" i="110"/>
  <c r="D282" i="110"/>
  <c r="D298" i="110"/>
  <c r="D314" i="110"/>
  <c r="D330" i="110"/>
  <c r="D346" i="110"/>
  <c r="D362" i="110"/>
  <c r="D378" i="110"/>
  <c r="D394" i="110"/>
  <c r="D410" i="110"/>
  <c r="D426" i="110"/>
  <c r="D442" i="110"/>
  <c r="D474" i="110"/>
  <c r="D506" i="110"/>
  <c r="D538" i="110"/>
  <c r="D570" i="110"/>
  <c r="D602" i="110"/>
  <c r="D171" i="110"/>
  <c r="D267" i="110"/>
  <c r="D299" i="110"/>
  <c r="D347" i="110"/>
  <c r="D395" i="110"/>
  <c r="D443" i="110"/>
  <c r="D491" i="110"/>
  <c r="D539" i="110"/>
  <c r="E28" i="110"/>
  <c r="E71" i="110"/>
  <c r="E105" i="110"/>
  <c r="E139" i="110"/>
  <c r="E173" i="110"/>
  <c r="E214" i="110"/>
  <c r="E246" i="110"/>
  <c r="E278" i="110"/>
  <c r="E310" i="110"/>
  <c r="E342" i="110"/>
  <c r="E374" i="110"/>
  <c r="E406" i="110"/>
  <c r="E438" i="110"/>
  <c r="E470" i="110"/>
  <c r="E502" i="110"/>
  <c r="E534" i="110"/>
  <c r="E566" i="110"/>
  <c r="E598" i="110"/>
  <c r="D30" i="110"/>
  <c r="D62" i="110"/>
  <c r="D94" i="110"/>
  <c r="D126" i="110"/>
  <c r="D158" i="110"/>
  <c r="D190" i="110"/>
  <c r="D222" i="110"/>
  <c r="D254" i="110"/>
  <c r="D286" i="110"/>
  <c r="D312" i="110"/>
  <c r="D340" i="110"/>
  <c r="D370" i="110"/>
  <c r="D399" i="110"/>
  <c r="D421" i="110"/>
  <c r="D449" i="110"/>
  <c r="D476" i="110"/>
  <c r="D499" i="110"/>
  <c r="D523" i="110"/>
  <c r="D545" i="110"/>
  <c r="D567" i="110"/>
  <c r="D590" i="110"/>
  <c r="D9" i="110"/>
  <c r="E73" i="110"/>
  <c r="E141" i="110"/>
  <c r="E248" i="110"/>
  <c r="E312" i="110"/>
  <c r="E376" i="110"/>
  <c r="E440" i="110"/>
  <c r="E504" i="110"/>
  <c r="E568" i="110"/>
  <c r="D32" i="110"/>
  <c r="D96" i="110"/>
  <c r="D192" i="110"/>
  <c r="D256" i="110"/>
  <c r="D319" i="110"/>
  <c r="D372" i="110"/>
  <c r="D428" i="110"/>
  <c r="D479" i="110"/>
  <c r="D526" i="110"/>
  <c r="D571" i="110"/>
  <c r="E108" i="110"/>
  <c r="E281" i="110"/>
  <c r="E345" i="110"/>
  <c r="E473" i="110"/>
  <c r="D97" i="110"/>
  <c r="D257" i="110"/>
  <c r="D402" i="110"/>
  <c r="D572" i="110"/>
  <c r="E152" i="110"/>
  <c r="D66" i="110"/>
  <c r="D376" i="110"/>
  <c r="E443" i="110"/>
  <c r="D131" i="110"/>
  <c r="D352" i="110"/>
  <c r="D575" i="110"/>
  <c r="D100" i="110"/>
  <c r="D405" i="110"/>
  <c r="D197" i="110"/>
  <c r="D434" i="110"/>
  <c r="D302" i="110"/>
  <c r="D532" i="110"/>
  <c r="D356" i="110"/>
  <c r="D600" i="110"/>
  <c r="E29" i="110"/>
  <c r="E72" i="110"/>
  <c r="E106" i="110"/>
  <c r="E140" i="110"/>
  <c r="E183" i="110"/>
  <c r="E215" i="110"/>
  <c r="E247" i="110"/>
  <c r="E279" i="110"/>
  <c r="E311" i="110"/>
  <c r="E343" i="110"/>
  <c r="E375" i="110"/>
  <c r="E407" i="110"/>
  <c r="E439" i="110"/>
  <c r="E471" i="110"/>
  <c r="E503" i="110"/>
  <c r="E535" i="110"/>
  <c r="E567" i="110"/>
  <c r="E599" i="110"/>
  <c r="D31" i="110"/>
  <c r="D63" i="110"/>
  <c r="D95" i="110"/>
  <c r="D127" i="110"/>
  <c r="D159" i="110"/>
  <c r="D191" i="110"/>
  <c r="D223" i="110"/>
  <c r="D255" i="110"/>
  <c r="D287" i="110"/>
  <c r="D318" i="110"/>
  <c r="D341" i="110"/>
  <c r="D371" i="110"/>
  <c r="D400" i="110"/>
  <c r="D424" i="110"/>
  <c r="D450" i="110"/>
  <c r="D478" i="110"/>
  <c r="D500" i="110"/>
  <c r="D524" i="110"/>
  <c r="D546" i="110"/>
  <c r="D568" i="110"/>
  <c r="D591" i="110"/>
  <c r="E39" i="110"/>
  <c r="E107" i="110"/>
  <c r="E184" i="110"/>
  <c r="E216" i="110"/>
  <c r="E280" i="110"/>
  <c r="E344" i="110"/>
  <c r="E408" i="110"/>
  <c r="E472" i="110"/>
  <c r="E536" i="110"/>
  <c r="E600" i="110"/>
  <c r="D64" i="110"/>
  <c r="D128" i="110"/>
  <c r="D224" i="110"/>
  <c r="D288" i="110"/>
  <c r="D344" i="110"/>
  <c r="D401" i="110"/>
  <c r="D451" i="110"/>
  <c r="D501" i="110"/>
  <c r="D547" i="110"/>
  <c r="D592" i="110"/>
  <c r="E151" i="110"/>
  <c r="E249" i="110"/>
  <c r="E313" i="110"/>
  <c r="E409" i="110"/>
  <c r="E601" i="110"/>
  <c r="D129" i="110"/>
  <c r="D320" i="110"/>
  <c r="D503" i="110"/>
  <c r="E282" i="110"/>
  <c r="E570" i="110"/>
  <c r="D226" i="110"/>
  <c r="D431" i="110"/>
  <c r="D549" i="110"/>
  <c r="E347" i="110"/>
  <c r="D99" i="110"/>
  <c r="D382" i="110"/>
  <c r="E572" i="110"/>
  <c r="D460" i="110"/>
  <c r="D293" i="110"/>
  <c r="D577" i="110"/>
  <c r="D435" i="110"/>
  <c r="D558" i="110"/>
  <c r="D239" i="110"/>
  <c r="D559" i="110"/>
  <c r="D160" i="110"/>
  <c r="D452" i="110"/>
  <c r="E250" i="110"/>
  <c r="D321" i="110"/>
  <c r="E571" i="110"/>
  <c r="D508" i="110"/>
  <c r="D228" i="110"/>
  <c r="D596" i="110"/>
  <c r="D511" i="110"/>
  <c r="D463" i="110"/>
  <c r="D271" i="110"/>
  <c r="E40" i="110"/>
  <c r="E74" i="110"/>
  <c r="E185" i="110"/>
  <c r="E217" i="110"/>
  <c r="E377" i="110"/>
  <c r="D65" i="110"/>
  <c r="D527" i="110"/>
  <c r="E474" i="110"/>
  <c r="D504" i="110"/>
  <c r="E603" i="110"/>
  <c r="D529" i="110"/>
  <c r="D292" i="110"/>
  <c r="D530" i="110"/>
  <c r="D354" i="110"/>
  <c r="D238" i="110"/>
  <c r="D488" i="110"/>
  <c r="E41" i="110"/>
  <c r="E75" i="110"/>
  <c r="E109" i="110"/>
  <c r="E314" i="110"/>
  <c r="E442" i="110"/>
  <c r="D194" i="110"/>
  <c r="D528" i="110"/>
  <c r="D35" i="110"/>
  <c r="D595" i="110"/>
  <c r="D260" i="110"/>
  <c r="D576" i="110"/>
  <c r="D462" i="110"/>
  <c r="D270" i="110"/>
  <c r="D414" i="110"/>
  <c r="E42" i="110"/>
  <c r="E76" i="110"/>
  <c r="E119" i="110"/>
  <c r="E153" i="110"/>
  <c r="E187" i="110"/>
  <c r="E219" i="110"/>
  <c r="E251" i="110"/>
  <c r="E315" i="110"/>
  <c r="E539" i="110"/>
  <c r="D291" i="110"/>
  <c r="D196" i="110"/>
  <c r="D552" i="110"/>
  <c r="D384" i="110"/>
  <c r="D385" i="110"/>
  <c r="D328" i="110"/>
  <c r="E43" i="110"/>
  <c r="E77" i="110"/>
  <c r="E120" i="110"/>
  <c r="E154" i="110"/>
  <c r="E188" i="110"/>
  <c r="E220" i="110"/>
  <c r="E252" i="110"/>
  <c r="E284" i="110"/>
  <c r="E316" i="110"/>
  <c r="E348" i="110"/>
  <c r="E380" i="110"/>
  <c r="E412" i="110"/>
  <c r="E444" i="110"/>
  <c r="E476" i="110"/>
  <c r="E508" i="110"/>
  <c r="D36" i="110"/>
  <c r="D510" i="110"/>
  <c r="D142" i="110"/>
  <c r="D513" i="110"/>
  <c r="E44" i="110"/>
  <c r="E87" i="110"/>
  <c r="E121" i="110"/>
  <c r="E155" i="110"/>
  <c r="E189" i="110"/>
  <c r="E221" i="110"/>
  <c r="E253" i="110"/>
  <c r="E285" i="110"/>
  <c r="E317" i="110"/>
  <c r="E349" i="110"/>
  <c r="E381" i="110"/>
  <c r="E413" i="110"/>
  <c r="E445" i="110"/>
  <c r="E477" i="110"/>
  <c r="E509" i="110"/>
  <c r="E541" i="110"/>
  <c r="E573" i="110"/>
  <c r="E605" i="110"/>
  <c r="D37" i="110"/>
  <c r="D69" i="110"/>
  <c r="D229" i="110"/>
  <c r="D599" i="110"/>
  <c r="D386" i="110"/>
  <c r="E11" i="110"/>
  <c r="E45" i="110"/>
  <c r="E88" i="110"/>
  <c r="E122" i="110"/>
  <c r="E156" i="110"/>
  <c r="E198" i="110"/>
  <c r="E230" i="110"/>
  <c r="E262" i="110"/>
  <c r="E294" i="110"/>
  <c r="E326" i="110"/>
  <c r="E358" i="110"/>
  <c r="E390" i="110"/>
  <c r="E422" i="110"/>
  <c r="E454" i="110"/>
  <c r="E486" i="110"/>
  <c r="E518" i="110"/>
  <c r="E550" i="110"/>
  <c r="E582" i="110"/>
  <c r="D14" i="110"/>
  <c r="D46" i="110"/>
  <c r="D78" i="110"/>
  <c r="D110" i="110"/>
  <c r="D174" i="110"/>
  <c r="D512" i="110"/>
  <c r="E12" i="110"/>
  <c r="E55" i="110"/>
  <c r="E89" i="110"/>
  <c r="E123" i="110"/>
  <c r="E157" i="110"/>
  <c r="E199" i="110"/>
  <c r="E231" i="110"/>
  <c r="E263" i="110"/>
  <c r="E295" i="110"/>
  <c r="E327" i="110"/>
  <c r="E359" i="110"/>
  <c r="E391" i="110"/>
  <c r="E423" i="110"/>
  <c r="E455" i="110"/>
  <c r="E487" i="110"/>
  <c r="E519" i="110"/>
  <c r="E551" i="110"/>
  <c r="E583" i="110"/>
  <c r="D15" i="110"/>
  <c r="D47" i="110"/>
  <c r="D79" i="110"/>
  <c r="D111" i="110"/>
  <c r="D464" i="110"/>
  <c r="E13" i="110"/>
  <c r="E56" i="110"/>
  <c r="E90" i="110"/>
  <c r="E124" i="110"/>
  <c r="E167" i="110"/>
  <c r="E200" i="110"/>
  <c r="E232" i="110"/>
  <c r="E264" i="110"/>
  <c r="E296" i="110"/>
  <c r="E328" i="110"/>
  <c r="E360" i="110"/>
  <c r="E392" i="110"/>
  <c r="E424" i="110"/>
  <c r="E456" i="110"/>
  <c r="E488" i="110"/>
  <c r="E520" i="110"/>
  <c r="E552" i="110"/>
  <c r="E584" i="110"/>
  <c r="D16" i="110"/>
  <c r="D48" i="110"/>
  <c r="D80" i="110"/>
  <c r="D112" i="110"/>
  <c r="D144" i="110"/>
  <c r="D176" i="110"/>
  <c r="D208" i="110"/>
  <c r="D240" i="110"/>
  <c r="D272" i="110"/>
  <c r="D304" i="110"/>
  <c r="D334" i="110"/>
  <c r="D357" i="110"/>
  <c r="D387" i="110"/>
  <c r="D415" i="110"/>
  <c r="D437" i="110"/>
  <c r="D465" i="110"/>
  <c r="D492" i="110"/>
  <c r="D514" i="110"/>
  <c r="D535" i="110"/>
  <c r="D560" i="110"/>
  <c r="D580" i="110"/>
  <c r="D603" i="110"/>
  <c r="D561" i="110"/>
  <c r="D495" i="110"/>
  <c r="D606" i="110"/>
  <c r="D607" i="110"/>
  <c r="E138" i="110"/>
  <c r="E461" i="110"/>
  <c r="D85" i="110"/>
  <c r="D309" i="110"/>
  <c r="D448" i="110"/>
  <c r="D565" i="110"/>
  <c r="E537" i="110"/>
  <c r="D193" i="110"/>
  <c r="D430" i="110"/>
  <c r="E378" i="110"/>
  <c r="D34" i="110"/>
  <c r="D290" i="110"/>
  <c r="D574" i="110"/>
  <c r="E507" i="110"/>
  <c r="D259" i="110"/>
  <c r="D404" i="110"/>
  <c r="E540" i="110"/>
  <c r="D383" i="110"/>
  <c r="D324" i="110"/>
  <c r="D597" i="110"/>
  <c r="D485" i="110"/>
  <c r="D143" i="110"/>
  <c r="E23" i="110"/>
  <c r="E57" i="110"/>
  <c r="F57" i="110" s="1"/>
  <c r="E91" i="110"/>
  <c r="E125" i="110"/>
  <c r="E168" i="110"/>
  <c r="E201" i="110"/>
  <c r="E233" i="110"/>
  <c r="E265" i="110"/>
  <c r="E297" i="110"/>
  <c r="E329" i="110"/>
  <c r="E361" i="110"/>
  <c r="E393" i="110"/>
  <c r="E425" i="110"/>
  <c r="E457" i="110"/>
  <c r="E489" i="110"/>
  <c r="E521" i="110"/>
  <c r="E553" i="110"/>
  <c r="E585" i="110"/>
  <c r="D17" i="110"/>
  <c r="D49" i="110"/>
  <c r="D81" i="110"/>
  <c r="F81" i="110" s="1"/>
  <c r="D113" i="110"/>
  <c r="D145" i="110"/>
  <c r="D177" i="110"/>
  <c r="D209" i="110"/>
  <c r="D241" i="110"/>
  <c r="D273" i="110"/>
  <c r="D305" i="110"/>
  <c r="D335" i="110"/>
  <c r="D360" i="110"/>
  <c r="D388" i="110"/>
  <c r="D416" i="110"/>
  <c r="D440" i="110"/>
  <c r="D466" i="110"/>
  <c r="D494" i="110"/>
  <c r="D515" i="110"/>
  <c r="D536" i="110"/>
  <c r="D581" i="110"/>
  <c r="D604" i="110"/>
  <c r="D516" i="110"/>
  <c r="D562" i="110"/>
  <c r="D563" i="110"/>
  <c r="E61" i="110"/>
  <c r="E237" i="110"/>
  <c r="E301" i="110"/>
  <c r="E397" i="110"/>
  <c r="E525" i="110"/>
  <c r="D21" i="110"/>
  <c r="D149" i="110"/>
  <c r="D277" i="110"/>
  <c r="D398" i="110"/>
  <c r="D520" i="110"/>
  <c r="E505" i="110"/>
  <c r="D225" i="110"/>
  <c r="D480" i="110"/>
  <c r="E218" i="110"/>
  <c r="D98" i="110"/>
  <c r="D403" i="110"/>
  <c r="E411" i="110"/>
  <c r="D195" i="110"/>
  <c r="D456" i="110"/>
  <c r="D132" i="110"/>
  <c r="D353" i="110"/>
  <c r="D133" i="110"/>
  <c r="D408" i="110"/>
  <c r="D355" i="110"/>
  <c r="D578" i="110"/>
  <c r="D436" i="110"/>
  <c r="E24" i="110"/>
  <c r="E58" i="110"/>
  <c r="E92" i="110"/>
  <c r="E135" i="110"/>
  <c r="E169" i="110"/>
  <c r="E202" i="110"/>
  <c r="E234" i="110"/>
  <c r="E266" i="110"/>
  <c r="E298" i="110"/>
  <c r="E330" i="110"/>
  <c r="E362" i="110"/>
  <c r="E394" i="110"/>
  <c r="E426" i="110"/>
  <c r="E458" i="110"/>
  <c r="E490" i="110"/>
  <c r="E522" i="110"/>
  <c r="E554" i="110"/>
  <c r="E586" i="110"/>
  <c r="D18" i="110"/>
  <c r="D50" i="110"/>
  <c r="D82" i="110"/>
  <c r="D114" i="110"/>
  <c r="D146" i="110"/>
  <c r="D178" i="110"/>
  <c r="D210" i="110"/>
  <c r="D242" i="110"/>
  <c r="D274" i="110"/>
  <c r="D306" i="110"/>
  <c r="D336" i="110"/>
  <c r="D366" i="110"/>
  <c r="D389" i="110"/>
  <c r="D417" i="110"/>
  <c r="D444" i="110"/>
  <c r="D467" i="110"/>
  <c r="D540" i="110"/>
  <c r="D583" i="110"/>
  <c r="E172" i="110"/>
  <c r="E429" i="110"/>
  <c r="D53" i="110"/>
  <c r="D245" i="110"/>
  <c r="D420" i="110"/>
  <c r="D544" i="110"/>
  <c r="E441" i="110"/>
  <c r="D161" i="110"/>
  <c r="D373" i="110"/>
  <c r="E346" i="110"/>
  <c r="E506" i="110"/>
  <c r="D130" i="110"/>
  <c r="D258" i="110"/>
  <c r="D481" i="110"/>
  <c r="E283" i="110"/>
  <c r="D163" i="110"/>
  <c r="D432" i="110"/>
  <c r="E604" i="110"/>
  <c r="D483" i="110"/>
  <c r="D261" i="110"/>
  <c r="D556" i="110"/>
  <c r="D412" i="110"/>
  <c r="D207" i="110"/>
  <c r="E25" i="110"/>
  <c r="E59" i="110"/>
  <c r="E93" i="110"/>
  <c r="E136" i="110"/>
  <c r="E170" i="110"/>
  <c r="E203" i="110"/>
  <c r="E235" i="110"/>
  <c r="E267" i="110"/>
  <c r="E299" i="110"/>
  <c r="E331" i="110"/>
  <c r="E363" i="110"/>
  <c r="E395" i="110"/>
  <c r="E427" i="110"/>
  <c r="E459" i="110"/>
  <c r="E491" i="110"/>
  <c r="E523" i="110"/>
  <c r="E555" i="110"/>
  <c r="E587" i="110"/>
  <c r="D19" i="110"/>
  <c r="D51" i="110"/>
  <c r="D83" i="110"/>
  <c r="D115" i="110"/>
  <c r="D147" i="110"/>
  <c r="D179" i="110"/>
  <c r="D211" i="110"/>
  <c r="D243" i="110"/>
  <c r="D275" i="110"/>
  <c r="D307" i="110"/>
  <c r="D337" i="110"/>
  <c r="D367" i="110"/>
  <c r="D392" i="110"/>
  <c r="D418" i="110"/>
  <c r="D446" i="110"/>
  <c r="D468" i="110"/>
  <c r="D496" i="110"/>
  <c r="D517" i="110"/>
  <c r="D542" i="110"/>
  <c r="D584" i="110"/>
  <c r="E104" i="110"/>
  <c r="E333" i="110"/>
  <c r="E557" i="110"/>
  <c r="D181" i="110"/>
  <c r="D369" i="110"/>
  <c r="D498" i="110"/>
  <c r="D588" i="110"/>
  <c r="E569" i="110"/>
  <c r="D289" i="110"/>
  <c r="D548" i="110"/>
  <c r="E186" i="110"/>
  <c r="E602" i="110"/>
  <c r="D351" i="110"/>
  <c r="D594" i="110"/>
  <c r="E475" i="110"/>
  <c r="D67" i="110"/>
  <c r="D322" i="110"/>
  <c r="F322" i="110" s="1"/>
  <c r="D551" i="110"/>
  <c r="D68" i="110"/>
  <c r="D433" i="110"/>
  <c r="D165" i="110"/>
  <c r="D484" i="110"/>
  <c r="D206" i="110"/>
  <c r="D303" i="110"/>
  <c r="D533" i="110"/>
  <c r="E26" i="110"/>
  <c r="E60" i="110"/>
  <c r="E103" i="110"/>
  <c r="E137" i="110"/>
  <c r="E171" i="110"/>
  <c r="E204" i="110"/>
  <c r="E236" i="110"/>
  <c r="E268" i="110"/>
  <c r="E300" i="110"/>
  <c r="E332" i="110"/>
  <c r="E364" i="110"/>
  <c r="E396" i="110"/>
  <c r="E428" i="110"/>
  <c r="E460" i="110"/>
  <c r="E492" i="110"/>
  <c r="E524" i="110"/>
  <c r="E556" i="110"/>
  <c r="E588" i="110"/>
  <c r="D20" i="110"/>
  <c r="D52" i="110"/>
  <c r="D84" i="110"/>
  <c r="D116" i="110"/>
  <c r="D148" i="110"/>
  <c r="D180" i="110"/>
  <c r="D212" i="110"/>
  <c r="D244" i="110"/>
  <c r="D276" i="110"/>
  <c r="D308" i="110"/>
  <c r="D338" i="110"/>
  <c r="D368" i="110"/>
  <c r="D396" i="110"/>
  <c r="D419" i="110"/>
  <c r="D447" i="110"/>
  <c r="D469" i="110"/>
  <c r="D497" i="110"/>
  <c r="D519" i="110"/>
  <c r="D543" i="110"/>
  <c r="D564" i="110"/>
  <c r="D587" i="110"/>
  <c r="D608" i="110"/>
  <c r="E27" i="110"/>
  <c r="E205" i="110"/>
  <c r="E269" i="110"/>
  <c r="E365" i="110"/>
  <c r="E493" i="110"/>
  <c r="E589" i="110"/>
  <c r="D117" i="110"/>
  <c r="D213" i="110"/>
  <c r="D339" i="110"/>
  <c r="D472" i="110"/>
  <c r="D10" i="110"/>
  <c r="D33" i="110"/>
  <c r="F33" i="110" s="1"/>
  <c r="D350" i="110"/>
  <c r="D593" i="110"/>
  <c r="E410" i="110"/>
  <c r="E538" i="110"/>
  <c r="D162" i="110"/>
  <c r="D453" i="110"/>
  <c r="E379" i="110"/>
  <c r="D227" i="110"/>
  <c r="D482" i="110"/>
  <c r="D164" i="110"/>
  <c r="D323" i="110"/>
  <c r="D101" i="110"/>
  <c r="D531" i="110"/>
  <c r="D325" i="110"/>
  <c r="D175" i="110"/>
  <c r="D579" i="110"/>
  <c r="C20" i="110"/>
  <c r="C21" i="110"/>
  <c r="C107" i="110"/>
  <c r="C215" i="110"/>
  <c r="C108" i="110"/>
  <c r="C127" i="110"/>
  <c r="C220" i="110"/>
  <c r="C567" i="110"/>
  <c r="C79" i="110"/>
  <c r="C136" i="110"/>
  <c r="C293" i="110"/>
  <c r="C57" i="110"/>
  <c r="C65" i="110"/>
  <c r="C28" i="112"/>
  <c r="C72" i="112"/>
  <c r="C112" i="112"/>
  <c r="C179" i="112"/>
  <c r="C9" i="112"/>
  <c r="C16" i="112"/>
  <c r="C39" i="112"/>
  <c r="C60" i="112"/>
  <c r="C86" i="112"/>
  <c r="C50" i="112"/>
  <c r="C101" i="112"/>
  <c r="C168" i="112"/>
  <c r="C59" i="112"/>
  <c r="C49" i="112"/>
  <c r="C40" i="112"/>
  <c r="C391" i="112"/>
  <c r="C10" i="112"/>
  <c r="C18" i="112"/>
  <c r="C31" i="112"/>
  <c r="C128" i="112"/>
  <c r="C142" i="112"/>
  <c r="C210" i="112"/>
  <c r="C124" i="112"/>
  <c r="C52" i="112"/>
  <c r="C170" i="112"/>
  <c r="C444" i="112"/>
  <c r="C129" i="112"/>
  <c r="C460" i="112"/>
  <c r="C65" i="112"/>
  <c r="C78" i="112"/>
  <c r="C158" i="112"/>
  <c r="C199" i="112"/>
  <c r="C275" i="112"/>
  <c r="C476" i="112"/>
  <c r="C11" i="112"/>
  <c r="C33" i="112"/>
  <c r="C21" i="112"/>
  <c r="C54" i="112"/>
  <c r="C106" i="112"/>
  <c r="C119" i="112"/>
  <c r="C45" i="112"/>
  <c r="C80" i="112"/>
  <c r="C189" i="112"/>
  <c r="C202" i="112"/>
  <c r="C57" i="112"/>
  <c r="C34" i="112"/>
  <c r="C13" i="112"/>
  <c r="C95" i="112"/>
  <c r="C47" i="112"/>
  <c r="C280" i="112"/>
  <c r="C359" i="112"/>
  <c r="C561" i="112"/>
  <c r="C36" i="112"/>
  <c r="C122" i="112"/>
  <c r="C149" i="112"/>
  <c r="C176" i="112"/>
  <c r="C249" i="112"/>
  <c r="C14" i="112"/>
  <c r="C37" i="112"/>
  <c r="C48" i="112"/>
  <c r="C71" i="112"/>
  <c r="C111" i="112"/>
  <c r="C150" i="112"/>
  <c r="C375" i="112"/>
  <c r="C577" i="112"/>
  <c r="C75" i="112"/>
  <c r="C90" i="112"/>
  <c r="C97" i="112"/>
  <c r="C144" i="112"/>
  <c r="C163" i="112"/>
  <c r="C524" i="112"/>
  <c r="C12" i="112"/>
  <c r="C24" i="112"/>
  <c r="C69" i="112"/>
  <c r="C107" i="112"/>
  <c r="C116" i="112"/>
  <c r="C173" i="112"/>
  <c r="C228" i="112"/>
  <c r="C98" i="112"/>
  <c r="C145" i="112"/>
  <c r="C154" i="112"/>
  <c r="C215" i="112"/>
  <c r="C540" i="112"/>
  <c r="C19" i="112"/>
  <c r="C44" i="112"/>
  <c r="C76" i="112"/>
  <c r="C91" i="112"/>
  <c r="C184" i="112"/>
  <c r="C194" i="112"/>
  <c r="C38" i="112"/>
  <c r="C70" i="112"/>
  <c r="C127" i="112"/>
  <c r="C137" i="112"/>
  <c r="C155" i="112"/>
  <c r="C259" i="112"/>
  <c r="C343" i="112"/>
  <c r="G608" i="112"/>
  <c r="E11" i="112"/>
  <c r="E27" i="112"/>
  <c r="E43" i="112"/>
  <c r="E59" i="112"/>
  <c r="E75" i="112"/>
  <c r="E91" i="112"/>
  <c r="E107" i="112"/>
  <c r="E123" i="112"/>
  <c r="E139" i="112"/>
  <c r="E155" i="112"/>
  <c r="E171" i="112"/>
  <c r="E187" i="112"/>
  <c r="E203" i="112"/>
  <c r="E219" i="112"/>
  <c r="E235" i="112"/>
  <c r="E251" i="112"/>
  <c r="E267" i="112"/>
  <c r="E283" i="112"/>
  <c r="E299" i="112"/>
  <c r="E315" i="112"/>
  <c r="E331" i="112"/>
  <c r="E347" i="112"/>
  <c r="E363" i="112"/>
  <c r="E379" i="112"/>
  <c r="E395" i="112"/>
  <c r="E411" i="112"/>
  <c r="E427" i="112"/>
  <c r="E443" i="112"/>
  <c r="E459" i="112"/>
  <c r="E475" i="112"/>
  <c r="E491" i="112"/>
  <c r="E507" i="112"/>
  <c r="E523" i="112"/>
  <c r="E539" i="112"/>
  <c r="E555" i="112"/>
  <c r="E571" i="112"/>
  <c r="E587" i="112"/>
  <c r="E603" i="112"/>
  <c r="E12" i="112"/>
  <c r="E28" i="112"/>
  <c r="E44" i="112"/>
  <c r="E60" i="112"/>
  <c r="E76" i="112"/>
  <c r="E92" i="112"/>
  <c r="E108" i="112"/>
  <c r="E124" i="112"/>
  <c r="E140" i="112"/>
  <c r="E156" i="112"/>
  <c r="E172" i="112"/>
  <c r="E188" i="112"/>
  <c r="E204" i="112"/>
  <c r="E220" i="112"/>
  <c r="E236" i="112"/>
  <c r="E252" i="112"/>
  <c r="E268" i="112"/>
  <c r="E284" i="112"/>
  <c r="E300" i="112"/>
  <c r="E316" i="112"/>
  <c r="E332" i="112"/>
  <c r="E348" i="112"/>
  <c r="E364" i="112"/>
  <c r="E380" i="112"/>
  <c r="E396" i="112"/>
  <c r="E412" i="112"/>
  <c r="E428" i="112"/>
  <c r="E444" i="112"/>
  <c r="E460" i="112"/>
  <c r="E476" i="112"/>
  <c r="E492" i="112"/>
  <c r="E508" i="112"/>
  <c r="E524" i="112"/>
  <c r="E540" i="112"/>
  <c r="E556" i="112"/>
  <c r="E572" i="112"/>
  <c r="E588" i="112"/>
  <c r="E604" i="112"/>
  <c r="E110" i="112"/>
  <c r="E238" i="112"/>
  <c r="E286" i="112"/>
  <c r="E334" i="112"/>
  <c r="E382" i="112"/>
  <c r="E430" i="112"/>
  <c r="E478" i="112"/>
  <c r="E526" i="112"/>
  <c r="E606" i="112"/>
  <c r="E559" i="112"/>
  <c r="E13" i="112"/>
  <c r="E29" i="112"/>
  <c r="E45" i="112"/>
  <c r="E61" i="112"/>
  <c r="E77" i="112"/>
  <c r="E93" i="112"/>
  <c r="E109" i="112"/>
  <c r="E125" i="112"/>
  <c r="E141" i="112"/>
  <c r="E157" i="112"/>
  <c r="E173" i="112"/>
  <c r="E189" i="112"/>
  <c r="E205" i="112"/>
  <c r="E221" i="112"/>
  <c r="E237" i="112"/>
  <c r="E253" i="112"/>
  <c r="E269" i="112"/>
  <c r="E285" i="112"/>
  <c r="E301" i="112"/>
  <c r="E317" i="112"/>
  <c r="E333" i="112"/>
  <c r="E349" i="112"/>
  <c r="E365" i="112"/>
  <c r="E381" i="112"/>
  <c r="E397" i="112"/>
  <c r="E413" i="112"/>
  <c r="E429" i="112"/>
  <c r="E445" i="112"/>
  <c r="E461" i="112"/>
  <c r="E477" i="112"/>
  <c r="E493" i="112"/>
  <c r="E509" i="112"/>
  <c r="E525" i="112"/>
  <c r="E541" i="112"/>
  <c r="E557" i="112"/>
  <c r="E573" i="112"/>
  <c r="E589" i="112"/>
  <c r="E605" i="112"/>
  <c r="E94" i="112"/>
  <c r="E254" i="112"/>
  <c r="E302" i="112"/>
  <c r="E350" i="112"/>
  <c r="E398" i="112"/>
  <c r="E446" i="112"/>
  <c r="E494" i="112"/>
  <c r="E542" i="112"/>
  <c r="E591" i="112"/>
  <c r="E14" i="112"/>
  <c r="E30" i="112"/>
  <c r="E46" i="112"/>
  <c r="E62" i="112"/>
  <c r="E78" i="112"/>
  <c r="E126" i="112"/>
  <c r="E142" i="112"/>
  <c r="E158" i="112"/>
  <c r="E174" i="112"/>
  <c r="E190" i="112"/>
  <c r="E206" i="112"/>
  <c r="E222" i="112"/>
  <c r="E270" i="112"/>
  <c r="E318" i="112"/>
  <c r="E366" i="112"/>
  <c r="E414" i="112"/>
  <c r="E462" i="112"/>
  <c r="E510" i="112"/>
  <c r="E558" i="112"/>
  <c r="E15" i="112"/>
  <c r="E31" i="112"/>
  <c r="E47" i="112"/>
  <c r="E63" i="112"/>
  <c r="E79" i="112"/>
  <c r="E95" i="112"/>
  <c r="E111" i="112"/>
  <c r="E127" i="112"/>
  <c r="E143" i="112"/>
  <c r="E159" i="112"/>
  <c r="E175" i="112"/>
  <c r="E191" i="112"/>
  <c r="E207" i="112"/>
  <c r="E223" i="112"/>
  <c r="E239" i="112"/>
  <c r="E255" i="112"/>
  <c r="E271" i="112"/>
  <c r="E287" i="112"/>
  <c r="E303" i="112"/>
  <c r="E319" i="112"/>
  <c r="E335" i="112"/>
  <c r="E351" i="112"/>
  <c r="E367" i="112"/>
  <c r="E383" i="112"/>
  <c r="E399" i="112"/>
  <c r="E415" i="112"/>
  <c r="E431" i="112"/>
  <c r="E447" i="112"/>
  <c r="E463" i="112"/>
  <c r="E479" i="112"/>
  <c r="E495" i="112"/>
  <c r="E511" i="112"/>
  <c r="E527" i="112"/>
  <c r="E16" i="112"/>
  <c r="E32" i="112"/>
  <c r="E48" i="112"/>
  <c r="E64" i="112"/>
  <c r="E80" i="112"/>
  <c r="E96" i="112"/>
  <c r="E112" i="112"/>
  <c r="E128" i="112"/>
  <c r="E144" i="112"/>
  <c r="E160" i="112"/>
  <c r="E176" i="112"/>
  <c r="E192" i="112"/>
  <c r="E208" i="112"/>
  <c r="E224" i="112"/>
  <c r="E240" i="112"/>
  <c r="E256" i="112"/>
  <c r="E272" i="112"/>
  <c r="E288" i="112"/>
  <c r="E304" i="112"/>
  <c r="E320" i="112"/>
  <c r="E336" i="112"/>
  <c r="E352" i="112"/>
  <c r="E368" i="112"/>
  <c r="E384" i="112"/>
  <c r="E400" i="112"/>
  <c r="E416" i="112"/>
  <c r="E432" i="112"/>
  <c r="E448" i="112"/>
  <c r="E464" i="112"/>
  <c r="E480" i="112"/>
  <c r="E496" i="112"/>
  <c r="E512" i="112"/>
  <c r="E528" i="112"/>
  <c r="E544" i="112"/>
  <c r="E560" i="112"/>
  <c r="E576" i="112"/>
  <c r="E592" i="112"/>
  <c r="E608" i="112"/>
  <c r="E17" i="112"/>
  <c r="E33" i="112"/>
  <c r="E49" i="112"/>
  <c r="E65" i="112"/>
  <c r="E81" i="112"/>
  <c r="E97" i="112"/>
  <c r="E113" i="112"/>
  <c r="E129" i="112"/>
  <c r="E145" i="112"/>
  <c r="E161" i="112"/>
  <c r="E177" i="112"/>
  <c r="E193" i="112"/>
  <c r="E209" i="112"/>
  <c r="E225" i="112"/>
  <c r="E241" i="112"/>
  <c r="E257" i="112"/>
  <c r="E273" i="112"/>
  <c r="E289" i="112"/>
  <c r="E305" i="112"/>
  <c r="E321" i="112"/>
  <c r="E337" i="112"/>
  <c r="E353" i="112"/>
  <c r="E369" i="112"/>
  <c r="E385" i="112"/>
  <c r="E401" i="112"/>
  <c r="E417" i="112"/>
  <c r="E433" i="112"/>
  <c r="E449" i="112"/>
  <c r="E465" i="112"/>
  <c r="E481" i="112"/>
  <c r="E497" i="112"/>
  <c r="E513" i="112"/>
  <c r="E529" i="112"/>
  <c r="E545" i="112"/>
  <c r="E561" i="112"/>
  <c r="E577" i="112"/>
  <c r="E593" i="112"/>
  <c r="E10" i="112"/>
  <c r="E18" i="112"/>
  <c r="E34" i="112"/>
  <c r="E50" i="112"/>
  <c r="E66" i="112"/>
  <c r="E82" i="112"/>
  <c r="E98" i="112"/>
  <c r="E114" i="112"/>
  <c r="E130" i="112"/>
  <c r="E146" i="112"/>
  <c r="E162" i="112"/>
  <c r="E178" i="112"/>
  <c r="E194" i="112"/>
  <c r="E210" i="112"/>
  <c r="E226" i="112"/>
  <c r="E242" i="112"/>
  <c r="E258" i="112"/>
  <c r="E274" i="112"/>
  <c r="E290" i="112"/>
  <c r="E306" i="112"/>
  <c r="E322" i="112"/>
  <c r="E338" i="112"/>
  <c r="E354" i="112"/>
  <c r="E370" i="112"/>
  <c r="E386" i="112"/>
  <c r="E402" i="112"/>
  <c r="E418" i="112"/>
  <c r="E434" i="112"/>
  <c r="E450" i="112"/>
  <c r="E466" i="112"/>
  <c r="E482" i="112"/>
  <c r="E498" i="112"/>
  <c r="E514" i="112"/>
  <c r="E530" i="112"/>
  <c r="E546" i="112"/>
  <c r="E562" i="112"/>
  <c r="E578" i="112"/>
  <c r="E594" i="112"/>
  <c r="E9" i="112"/>
  <c r="E19" i="112"/>
  <c r="E35" i="112"/>
  <c r="E51" i="112"/>
  <c r="E67" i="112"/>
  <c r="E83" i="112"/>
  <c r="E99" i="112"/>
  <c r="E115" i="112"/>
  <c r="E131" i="112"/>
  <c r="E147" i="112"/>
  <c r="E163" i="112"/>
  <c r="E179" i="112"/>
  <c r="E195" i="112"/>
  <c r="E211" i="112"/>
  <c r="E227" i="112"/>
  <c r="E243" i="112"/>
  <c r="E259" i="112"/>
  <c r="E275" i="112"/>
  <c r="E291" i="112"/>
  <c r="E307" i="112"/>
  <c r="E323" i="112"/>
  <c r="E339" i="112"/>
  <c r="E355" i="112"/>
  <c r="E371" i="112"/>
  <c r="E387" i="112"/>
  <c r="E403" i="112"/>
  <c r="E419" i="112"/>
  <c r="E435" i="112"/>
  <c r="E451" i="112"/>
  <c r="E467" i="112"/>
  <c r="E483" i="112"/>
  <c r="E499" i="112"/>
  <c r="E515" i="112"/>
  <c r="E531" i="112"/>
  <c r="E547" i="112"/>
  <c r="E563" i="112"/>
  <c r="E579" i="112"/>
  <c r="E595" i="112"/>
  <c r="E20" i="112"/>
  <c r="E36" i="112"/>
  <c r="E52" i="112"/>
  <c r="E68" i="112"/>
  <c r="E84" i="112"/>
  <c r="E100" i="112"/>
  <c r="E116" i="112"/>
  <c r="E132" i="112"/>
  <c r="E148" i="112"/>
  <c r="E164" i="112"/>
  <c r="E180" i="112"/>
  <c r="E196" i="112"/>
  <c r="E212" i="112"/>
  <c r="E228" i="112"/>
  <c r="E244" i="112"/>
  <c r="E260" i="112"/>
  <c r="E276" i="112"/>
  <c r="E292" i="112"/>
  <c r="E308" i="112"/>
  <c r="E324" i="112"/>
  <c r="E340" i="112"/>
  <c r="E356" i="112"/>
  <c r="E372" i="112"/>
  <c r="E388" i="112"/>
  <c r="E404" i="112"/>
  <c r="E420" i="112"/>
  <c r="E436" i="112"/>
  <c r="E452" i="112"/>
  <c r="E468" i="112"/>
  <c r="E484" i="112"/>
  <c r="E500" i="112"/>
  <c r="E516" i="112"/>
  <c r="E532" i="112"/>
  <c r="E548" i="112"/>
  <c r="E564" i="112"/>
  <c r="E580" i="112"/>
  <c r="E596" i="112"/>
  <c r="E21" i="112"/>
  <c r="E37" i="112"/>
  <c r="E53" i="112"/>
  <c r="E69" i="112"/>
  <c r="E85" i="112"/>
  <c r="E101" i="112"/>
  <c r="E117" i="112"/>
  <c r="E133" i="112"/>
  <c r="E149" i="112"/>
  <c r="E165" i="112"/>
  <c r="E181" i="112"/>
  <c r="E197" i="112"/>
  <c r="E213" i="112"/>
  <c r="E229" i="112"/>
  <c r="E245" i="112"/>
  <c r="E261" i="112"/>
  <c r="E277" i="112"/>
  <c r="E293" i="112"/>
  <c r="E309" i="112"/>
  <c r="E325" i="112"/>
  <c r="E341" i="112"/>
  <c r="E357" i="112"/>
  <c r="E373" i="112"/>
  <c r="E389" i="112"/>
  <c r="E405" i="112"/>
  <c r="E421" i="112"/>
  <c r="E437" i="112"/>
  <c r="E453" i="112"/>
  <c r="E469" i="112"/>
  <c r="E485" i="112"/>
  <c r="E501" i="112"/>
  <c r="E517" i="112"/>
  <c r="E533" i="112"/>
  <c r="E549" i="112"/>
  <c r="E565" i="112"/>
  <c r="E581" i="112"/>
  <c r="E597" i="112"/>
  <c r="E607" i="112"/>
  <c r="E22" i="112"/>
  <c r="E38" i="112"/>
  <c r="E54" i="112"/>
  <c r="E70" i="112"/>
  <c r="E86" i="112"/>
  <c r="E102" i="112"/>
  <c r="E118" i="112"/>
  <c r="E134" i="112"/>
  <c r="E150" i="112"/>
  <c r="E166" i="112"/>
  <c r="E182" i="112"/>
  <c r="E198" i="112"/>
  <c r="E214" i="112"/>
  <c r="E230" i="112"/>
  <c r="E246" i="112"/>
  <c r="E262" i="112"/>
  <c r="E278" i="112"/>
  <c r="E294" i="112"/>
  <c r="E310" i="112"/>
  <c r="E326" i="112"/>
  <c r="E342" i="112"/>
  <c r="E358" i="112"/>
  <c r="E374" i="112"/>
  <c r="E390" i="112"/>
  <c r="E406" i="112"/>
  <c r="E422" i="112"/>
  <c r="E438" i="112"/>
  <c r="E454" i="112"/>
  <c r="E470" i="112"/>
  <c r="E486" i="112"/>
  <c r="E502" i="112"/>
  <c r="E518" i="112"/>
  <c r="E534" i="112"/>
  <c r="E550" i="112"/>
  <c r="E566" i="112"/>
  <c r="E582" i="112"/>
  <c r="E598" i="112"/>
  <c r="E590" i="112"/>
  <c r="E575" i="112"/>
  <c r="E23" i="112"/>
  <c r="E39" i="112"/>
  <c r="E55" i="112"/>
  <c r="E71" i="112"/>
  <c r="E87" i="112"/>
  <c r="E103" i="112"/>
  <c r="E119" i="112"/>
  <c r="E135" i="112"/>
  <c r="E151" i="112"/>
  <c r="E167" i="112"/>
  <c r="E183" i="112"/>
  <c r="E199" i="112"/>
  <c r="E215" i="112"/>
  <c r="E231" i="112"/>
  <c r="E247" i="112"/>
  <c r="E263" i="112"/>
  <c r="E279" i="112"/>
  <c r="E295" i="112"/>
  <c r="E311" i="112"/>
  <c r="E327" i="112"/>
  <c r="E343" i="112"/>
  <c r="E359" i="112"/>
  <c r="E375" i="112"/>
  <c r="E391" i="112"/>
  <c r="E407" i="112"/>
  <c r="E423" i="112"/>
  <c r="E439" i="112"/>
  <c r="E455" i="112"/>
  <c r="E471" i="112"/>
  <c r="E487" i="112"/>
  <c r="E503" i="112"/>
  <c r="E519" i="112"/>
  <c r="E535" i="112"/>
  <c r="E551" i="112"/>
  <c r="E567" i="112"/>
  <c r="E583" i="112"/>
  <c r="E599" i="112"/>
  <c r="E543" i="112"/>
  <c r="E24" i="112"/>
  <c r="E40" i="112"/>
  <c r="E56" i="112"/>
  <c r="E72" i="112"/>
  <c r="E88" i="112"/>
  <c r="E104" i="112"/>
  <c r="E120" i="112"/>
  <c r="E136" i="112"/>
  <c r="E152" i="112"/>
  <c r="E168" i="112"/>
  <c r="E184" i="112"/>
  <c r="E200" i="112"/>
  <c r="E216" i="112"/>
  <c r="E232" i="112"/>
  <c r="E248" i="112"/>
  <c r="E264" i="112"/>
  <c r="E280" i="112"/>
  <c r="E296" i="112"/>
  <c r="E312" i="112"/>
  <c r="E328" i="112"/>
  <c r="E344" i="112"/>
  <c r="E360" i="112"/>
  <c r="E376" i="112"/>
  <c r="E392" i="112"/>
  <c r="E408" i="112"/>
  <c r="E424" i="112"/>
  <c r="E440" i="112"/>
  <c r="E456" i="112"/>
  <c r="E472" i="112"/>
  <c r="E488" i="112"/>
  <c r="E504" i="112"/>
  <c r="E520" i="112"/>
  <c r="E536" i="112"/>
  <c r="E552" i="112"/>
  <c r="E568" i="112"/>
  <c r="E584" i="112"/>
  <c r="E600" i="112"/>
  <c r="E25" i="112"/>
  <c r="E41" i="112"/>
  <c r="E57" i="112"/>
  <c r="E73" i="112"/>
  <c r="E89" i="112"/>
  <c r="E105" i="112"/>
  <c r="E121" i="112"/>
  <c r="E137" i="112"/>
  <c r="E153" i="112"/>
  <c r="E169" i="112"/>
  <c r="E185" i="112"/>
  <c r="E201" i="112"/>
  <c r="E217" i="112"/>
  <c r="E233" i="112"/>
  <c r="E249" i="112"/>
  <c r="E265" i="112"/>
  <c r="E281" i="112"/>
  <c r="E297" i="112"/>
  <c r="E313" i="112"/>
  <c r="E329" i="112"/>
  <c r="E345" i="112"/>
  <c r="E361" i="112"/>
  <c r="E377" i="112"/>
  <c r="E393" i="112"/>
  <c r="E409" i="112"/>
  <c r="E425" i="112"/>
  <c r="E441" i="112"/>
  <c r="E457" i="112"/>
  <c r="E473" i="112"/>
  <c r="E489" i="112"/>
  <c r="E505" i="112"/>
  <c r="E521" i="112"/>
  <c r="E537" i="112"/>
  <c r="E553" i="112"/>
  <c r="E569" i="112"/>
  <c r="E585" i="112"/>
  <c r="E601" i="112"/>
  <c r="E26" i="112"/>
  <c r="E42" i="112"/>
  <c r="E58" i="112"/>
  <c r="E74" i="112"/>
  <c r="E90" i="112"/>
  <c r="E106" i="112"/>
  <c r="E122" i="112"/>
  <c r="E138" i="112"/>
  <c r="E154" i="112"/>
  <c r="E170" i="112"/>
  <c r="E186" i="112"/>
  <c r="E202" i="112"/>
  <c r="E218" i="112"/>
  <c r="E234" i="112"/>
  <c r="E250" i="112"/>
  <c r="E266" i="112"/>
  <c r="E282" i="112"/>
  <c r="E298" i="112"/>
  <c r="E314" i="112"/>
  <c r="E330" i="112"/>
  <c r="E346" i="112"/>
  <c r="E362" i="112"/>
  <c r="E378" i="112"/>
  <c r="E394" i="112"/>
  <c r="E410" i="112"/>
  <c r="E426" i="112"/>
  <c r="E442" i="112"/>
  <c r="E458" i="112"/>
  <c r="E474" i="112"/>
  <c r="E490" i="112"/>
  <c r="E506" i="112"/>
  <c r="E522" i="112"/>
  <c r="E538" i="112"/>
  <c r="E554" i="112"/>
  <c r="E570" i="112"/>
  <c r="E586" i="112"/>
  <c r="E602" i="112"/>
  <c r="E574" i="112"/>
  <c r="C598" i="112"/>
  <c r="C582" i="112"/>
  <c r="C566" i="112"/>
  <c r="C550" i="112"/>
  <c r="C545" i="112"/>
  <c r="C529" i="112"/>
  <c r="C513" i="112"/>
  <c r="C497" i="112"/>
  <c r="C481" i="112"/>
  <c r="C465" i="112"/>
  <c r="C449" i="112"/>
  <c r="C433" i="112"/>
  <c r="C412" i="112"/>
  <c r="C396" i="112"/>
  <c r="C380" i="112"/>
  <c r="C364" i="112"/>
  <c r="C348" i="112"/>
  <c r="C332" i="112"/>
  <c r="C327" i="112"/>
  <c r="C306" i="112"/>
  <c r="C285" i="112"/>
  <c r="C264" i="112"/>
  <c r="C238" i="112"/>
  <c r="C233" i="112"/>
  <c r="C217" i="112"/>
  <c r="C212" i="112"/>
  <c r="C207" i="112"/>
  <c r="C181" i="112"/>
  <c r="C160" i="112"/>
  <c r="C134" i="112"/>
  <c r="C108" i="112"/>
  <c r="C103" i="112"/>
  <c r="C77" i="112"/>
  <c r="C51" i="112"/>
  <c r="C46" i="112"/>
  <c r="C41" i="112"/>
  <c r="C25" i="112"/>
  <c r="C20" i="112"/>
  <c r="C15" i="112"/>
  <c r="C603" i="112"/>
  <c r="C587" i="112"/>
  <c r="C571" i="112"/>
  <c r="C555" i="112"/>
  <c r="C534" i="112"/>
  <c r="C518" i="112"/>
  <c r="C502" i="112"/>
  <c r="C486" i="112"/>
  <c r="C470" i="112"/>
  <c r="C454" i="112"/>
  <c r="C438" i="112"/>
  <c r="C422" i="112"/>
  <c r="C417" i="112"/>
  <c r="C401" i="112"/>
  <c r="C385" i="112"/>
  <c r="C369" i="112"/>
  <c r="C353" i="112"/>
  <c r="C337" i="112"/>
  <c r="C316" i="112"/>
  <c r="C311" i="112"/>
  <c r="C295" i="112"/>
  <c r="C290" i="112"/>
  <c r="C269" i="112"/>
  <c r="C243" i="112"/>
  <c r="C222" i="112"/>
  <c r="C196" i="112"/>
  <c r="C191" i="112"/>
  <c r="C186" i="112"/>
  <c r="C165" i="112"/>
  <c r="C139" i="112"/>
  <c r="C113" i="112"/>
  <c r="C92" i="112"/>
  <c r="C87" i="112"/>
  <c r="C82" i="112"/>
  <c r="C66" i="112"/>
  <c r="C61" i="112"/>
  <c r="C56" i="112"/>
  <c r="C30" i="112"/>
  <c r="C608" i="112"/>
  <c r="C592" i="112"/>
  <c r="C576" i="112"/>
  <c r="C560" i="112"/>
  <c r="C539" i="112"/>
  <c r="C523" i="112"/>
  <c r="C507" i="112"/>
  <c r="C491" i="112"/>
  <c r="C475" i="112"/>
  <c r="C459" i="112"/>
  <c r="C443" i="112"/>
  <c r="C427" i="112"/>
  <c r="C406" i="112"/>
  <c r="C390" i="112"/>
  <c r="C374" i="112"/>
  <c r="C358" i="112"/>
  <c r="C342" i="112"/>
  <c r="C321" i="112"/>
  <c r="C300" i="112"/>
  <c r="C279" i="112"/>
  <c r="C274" i="112"/>
  <c r="C258" i="112"/>
  <c r="C253" i="112"/>
  <c r="C248" i="112"/>
  <c r="C227" i="112"/>
  <c r="C201" i="112"/>
  <c r="C597" i="112"/>
  <c r="C581" i="112"/>
  <c r="C565" i="112"/>
  <c r="C549" i="112"/>
  <c r="C544" i="112"/>
  <c r="C528" i="112"/>
  <c r="C512" i="112"/>
  <c r="C496" i="112"/>
  <c r="C480" i="112"/>
  <c r="C464" i="112"/>
  <c r="C448" i="112"/>
  <c r="C432" i="112"/>
  <c r="C411" i="112"/>
  <c r="C395" i="112"/>
  <c r="C379" i="112"/>
  <c r="C363" i="112"/>
  <c r="C347" i="112"/>
  <c r="C326" i="112"/>
  <c r="C305" i="112"/>
  <c r="C284" i="112"/>
  <c r="C263" i="112"/>
  <c r="C237" i="112"/>
  <c r="C232" i="112"/>
  <c r="C216" i="112"/>
  <c r="C206" i="112"/>
  <c r="C180" i="112"/>
  <c r="C159" i="112"/>
  <c r="C133" i="112"/>
  <c r="C123" i="112"/>
  <c r="C102" i="112"/>
  <c r="C602" i="112"/>
  <c r="C586" i="112"/>
  <c r="C570" i="112"/>
  <c r="C554" i="112"/>
  <c r="C533" i="112"/>
  <c r="C517" i="112"/>
  <c r="C501" i="112"/>
  <c r="C485" i="112"/>
  <c r="C469" i="112"/>
  <c r="C453" i="112"/>
  <c r="C437" i="112"/>
  <c r="C421" i="112"/>
  <c r="C416" i="112"/>
  <c r="C400" i="112"/>
  <c r="C384" i="112"/>
  <c r="C368" i="112"/>
  <c r="C352" i="112"/>
  <c r="C336" i="112"/>
  <c r="C331" i="112"/>
  <c r="C310" i="112"/>
  <c r="C294" i="112"/>
  <c r="C289" i="112"/>
  <c r="C268" i="112"/>
  <c r="C242" i="112"/>
  <c r="C221" i="112"/>
  <c r="C211" i="112"/>
  <c r="C195" i="112"/>
  <c r="C190" i="112"/>
  <c r="C185" i="112"/>
  <c r="C164" i="112"/>
  <c r="C138" i="112"/>
  <c r="C607" i="112"/>
  <c r="C591" i="112"/>
  <c r="C575" i="112"/>
  <c r="C559" i="112"/>
  <c r="C538" i="112"/>
  <c r="C522" i="112"/>
  <c r="C506" i="112"/>
  <c r="C490" i="112"/>
  <c r="C474" i="112"/>
  <c r="C458" i="112"/>
  <c r="C442" i="112"/>
  <c r="C426" i="112"/>
  <c r="C405" i="112"/>
  <c r="C389" i="112"/>
  <c r="C373" i="112"/>
  <c r="C357" i="112"/>
  <c r="C341" i="112"/>
  <c r="C320" i="112"/>
  <c r="C315" i="112"/>
  <c r="C299" i="112"/>
  <c r="C278" i="112"/>
  <c r="C273" i="112"/>
  <c r="C257" i="112"/>
  <c r="C252" i="112"/>
  <c r="C247" i="112"/>
  <c r="C226" i="112"/>
  <c r="C200" i="112"/>
  <c r="C174" i="112"/>
  <c r="C169" i="112"/>
  <c r="C153" i="112"/>
  <c r="C148" i="112"/>
  <c r="C143" i="112"/>
  <c r="C117" i="112"/>
  <c r="C596" i="112"/>
  <c r="C580" i="112"/>
  <c r="C564" i="112"/>
  <c r="C548" i="112"/>
  <c r="C543" i="112"/>
  <c r="C527" i="112"/>
  <c r="C511" i="112"/>
  <c r="C495" i="112"/>
  <c r="C479" i="112"/>
  <c r="C463" i="112"/>
  <c r="C447" i="112"/>
  <c r="C431" i="112"/>
  <c r="C410" i="112"/>
  <c r="C394" i="112"/>
  <c r="C378" i="112"/>
  <c r="C362" i="112"/>
  <c r="C346" i="112"/>
  <c r="C325" i="112"/>
  <c r="C304" i="112"/>
  <c r="C283" i="112"/>
  <c r="C262" i="112"/>
  <c r="C236" i="112"/>
  <c r="C231" i="112"/>
  <c r="C205" i="112"/>
  <c r="C601" i="112"/>
  <c r="C585" i="112"/>
  <c r="C569" i="112"/>
  <c r="C553" i="112"/>
  <c r="C532" i="112"/>
  <c r="C516" i="112"/>
  <c r="C500" i="112"/>
  <c r="C484" i="112"/>
  <c r="C468" i="112"/>
  <c r="C452" i="112"/>
  <c r="C436" i="112"/>
  <c r="C420" i="112"/>
  <c r="C415" i="112"/>
  <c r="C399" i="112"/>
  <c r="C383" i="112"/>
  <c r="C367" i="112"/>
  <c r="C351" i="112"/>
  <c r="C335" i="112"/>
  <c r="C330" i="112"/>
  <c r="C309" i="112"/>
  <c r="C293" i="112"/>
  <c r="C288" i="112"/>
  <c r="C267" i="112"/>
  <c r="C241" i="112"/>
  <c r="C220" i="112"/>
  <c r="C606" i="112"/>
  <c r="C590" i="112"/>
  <c r="C574" i="112"/>
  <c r="C558" i="112"/>
  <c r="G547" i="112"/>
  <c r="C537" i="112"/>
  <c r="C521" i="112"/>
  <c r="C505" i="112"/>
  <c r="C489" i="112"/>
  <c r="C473" i="112"/>
  <c r="C457" i="112"/>
  <c r="C441" i="112"/>
  <c r="C425" i="112"/>
  <c r="C404" i="112"/>
  <c r="C388" i="112"/>
  <c r="C372" i="112"/>
  <c r="C356" i="112"/>
  <c r="C340" i="112"/>
  <c r="C319" i="112"/>
  <c r="C314" i="112"/>
  <c r="C298" i="112"/>
  <c r="C277" i="112"/>
  <c r="C272" i="112"/>
  <c r="C256" i="112"/>
  <c r="C246" i="112"/>
  <c r="C225" i="112"/>
  <c r="C595" i="112"/>
  <c r="C579" i="112"/>
  <c r="C563" i="112"/>
  <c r="C542" i="112"/>
  <c r="C526" i="112"/>
  <c r="C510" i="112"/>
  <c r="C494" i="112"/>
  <c r="C478" i="112"/>
  <c r="C462" i="112"/>
  <c r="C446" i="112"/>
  <c r="C430" i="112"/>
  <c r="C409" i="112"/>
  <c r="C393" i="112"/>
  <c r="C377" i="112"/>
  <c r="C361" i="112"/>
  <c r="C345" i="112"/>
  <c r="C324" i="112"/>
  <c r="C303" i="112"/>
  <c r="C282" i="112"/>
  <c r="C261" i="112"/>
  <c r="C251" i="112"/>
  <c r="C230" i="112"/>
  <c r="C204" i="112"/>
  <c r="C178" i="112"/>
  <c r="C157" i="112"/>
  <c r="C147" i="112"/>
  <c r="C131" i="112"/>
  <c r="C126" i="112"/>
  <c r="C121" i="112"/>
  <c r="C100" i="112"/>
  <c r="C600" i="112"/>
  <c r="C584" i="112"/>
  <c r="C568" i="112"/>
  <c r="C552" i="112"/>
  <c r="C547" i="112"/>
  <c r="C531" i="112"/>
  <c r="C515" i="112"/>
  <c r="C499" i="112"/>
  <c r="C483" i="112"/>
  <c r="C467" i="112"/>
  <c r="C451" i="112"/>
  <c r="C435" i="112"/>
  <c r="C414" i="112"/>
  <c r="C398" i="112"/>
  <c r="C382" i="112"/>
  <c r="C366" i="112"/>
  <c r="C350" i="112"/>
  <c r="C334" i="112"/>
  <c r="C329" i="112"/>
  <c r="C308" i="112"/>
  <c r="C292" i="112"/>
  <c r="C287" i="112"/>
  <c r="C266" i="112"/>
  <c r="C240" i="112"/>
  <c r="C235" i="112"/>
  <c r="C219" i="112"/>
  <c r="C214" i="112"/>
  <c r="C209" i="112"/>
  <c r="C193" i="112"/>
  <c r="C188" i="112"/>
  <c r="C183" i="112"/>
  <c r="C162" i="112"/>
  <c r="C136" i="112"/>
  <c r="C110" i="112"/>
  <c r="C105" i="112"/>
  <c r="C89" i="112"/>
  <c r="C84" i="112"/>
  <c r="C79" i="112"/>
  <c r="C53" i="112"/>
  <c r="C43" i="112"/>
  <c r="C27" i="112"/>
  <c r="C22" i="112"/>
  <c r="C17" i="112"/>
  <c r="C68" i="112"/>
  <c r="C58" i="112"/>
  <c r="C32" i="112"/>
  <c r="C605" i="112"/>
  <c r="C589" i="112"/>
  <c r="C573" i="112"/>
  <c r="C557" i="112"/>
  <c r="C536" i="112"/>
  <c r="C520" i="112"/>
  <c r="C504" i="112"/>
  <c r="C488" i="112"/>
  <c r="C472" i="112"/>
  <c r="C456" i="112"/>
  <c r="C440" i="112"/>
  <c r="C424" i="112"/>
  <c r="C419" i="112"/>
  <c r="C403" i="112"/>
  <c r="C387" i="112"/>
  <c r="C371" i="112"/>
  <c r="C355" i="112"/>
  <c r="C339" i="112"/>
  <c r="C318" i="112"/>
  <c r="C313" i="112"/>
  <c r="C297" i="112"/>
  <c r="C276" i="112"/>
  <c r="C271" i="112"/>
  <c r="C245" i="112"/>
  <c r="C224" i="112"/>
  <c r="C198" i="112"/>
  <c r="C172" i="112"/>
  <c r="C167" i="112"/>
  <c r="C141" i="112"/>
  <c r="C115" i="112"/>
  <c r="C94" i="112"/>
  <c r="C63" i="112"/>
  <c r="C594" i="112"/>
  <c r="C578" i="112"/>
  <c r="C562" i="112"/>
  <c r="C541" i="112"/>
  <c r="C525" i="112"/>
  <c r="C509" i="112"/>
  <c r="C493" i="112"/>
  <c r="C477" i="112"/>
  <c r="C461" i="112"/>
  <c r="C445" i="112"/>
  <c r="C429" i="112"/>
  <c r="C408" i="112"/>
  <c r="C392" i="112"/>
  <c r="C376" i="112"/>
  <c r="C360" i="112"/>
  <c r="C344" i="112"/>
  <c r="C323" i="112"/>
  <c r="C302" i="112"/>
  <c r="C281" i="112"/>
  <c r="C260" i="112"/>
  <c r="C255" i="112"/>
  <c r="C250" i="112"/>
  <c r="C229" i="112"/>
  <c r="C203" i="112"/>
  <c r="C177" i="112"/>
  <c r="C156" i="112"/>
  <c r="C151" i="112"/>
  <c r="C146" i="112"/>
  <c r="C130" i="112"/>
  <c r="C125" i="112"/>
  <c r="C120" i="112"/>
  <c r="C99" i="112"/>
  <c r="C73" i="112"/>
  <c r="C599" i="112"/>
  <c r="C583" i="112"/>
  <c r="C567" i="112"/>
  <c r="C551" i="112"/>
  <c r="C546" i="112"/>
  <c r="C530" i="112"/>
  <c r="C514" i="112"/>
  <c r="C498" i="112"/>
  <c r="C482" i="112"/>
  <c r="C466" i="112"/>
  <c r="C450" i="112"/>
  <c r="C434" i="112"/>
  <c r="C413" i="112"/>
  <c r="C397" i="112"/>
  <c r="C381" i="112"/>
  <c r="C365" i="112"/>
  <c r="C349" i="112"/>
  <c r="C333" i="112"/>
  <c r="C328" i="112"/>
  <c r="C307" i="112"/>
  <c r="C286" i="112"/>
  <c r="C265" i="112"/>
  <c r="C239" i="112"/>
  <c r="C234" i="112"/>
  <c r="C218" i="112"/>
  <c r="C213" i="112"/>
  <c r="C208" i="112"/>
  <c r="C192" i="112"/>
  <c r="C182" i="112"/>
  <c r="C161" i="112"/>
  <c r="C135" i="112"/>
  <c r="C109" i="112"/>
  <c r="C104" i="112"/>
  <c r="C88" i="112"/>
  <c r="C604" i="112"/>
  <c r="C588" i="112"/>
  <c r="C572" i="112"/>
  <c r="C556" i="112"/>
  <c r="C535" i="112"/>
  <c r="C519" i="112"/>
  <c r="C503" i="112"/>
  <c r="C487" i="112"/>
  <c r="C471" i="112"/>
  <c r="C455" i="112"/>
  <c r="C439" i="112"/>
  <c r="C423" i="112"/>
  <c r="C418" i="112"/>
  <c r="C402" i="112"/>
  <c r="C386" i="112"/>
  <c r="C370" i="112"/>
  <c r="C354" i="112"/>
  <c r="C338" i="112"/>
  <c r="C317" i="112"/>
  <c r="C312" i="112"/>
  <c r="C296" i="112"/>
  <c r="C291" i="112"/>
  <c r="C270" i="112"/>
  <c r="C244" i="112"/>
  <c r="C223" i="112"/>
  <c r="C197" i="112"/>
  <c r="C187" i="112"/>
  <c r="C166" i="112"/>
  <c r="C140" i="112"/>
  <c r="C114" i="112"/>
  <c r="C93" i="112"/>
  <c r="C83" i="112"/>
  <c r="C67" i="112"/>
  <c r="C62" i="112"/>
  <c r="C26" i="112"/>
  <c r="C64" i="112"/>
  <c r="C85" i="112"/>
  <c r="C118" i="112"/>
  <c r="C175" i="112"/>
  <c r="C301" i="112"/>
  <c r="C407" i="112"/>
  <c r="C492" i="112"/>
  <c r="C23" i="112"/>
  <c r="C29" i="112"/>
  <c r="C35" i="112"/>
  <c r="C55" i="112"/>
  <c r="C74" i="112"/>
  <c r="C81" i="112"/>
  <c r="C96" i="112"/>
  <c r="C132" i="112"/>
  <c r="C322" i="112"/>
  <c r="C593" i="112"/>
  <c r="C42" i="112"/>
  <c r="C152" i="112"/>
  <c r="C171" i="112"/>
  <c r="C254" i="112"/>
  <c r="C508" i="112"/>
  <c r="G491" i="112"/>
  <c r="G563" i="112"/>
  <c r="G507" i="112"/>
  <c r="G451" i="112"/>
  <c r="G579" i="112"/>
  <c r="G523" i="112"/>
  <c r="G467" i="112"/>
  <c r="G595" i="112"/>
  <c r="G539" i="112"/>
  <c r="G483" i="112"/>
  <c r="G555" i="112"/>
  <c r="G499" i="112"/>
  <c r="G443" i="112"/>
  <c r="G571" i="112"/>
  <c r="G515" i="112"/>
  <c r="G459" i="112"/>
  <c r="G587" i="112"/>
  <c r="G531" i="112"/>
  <c r="G475" i="112"/>
  <c r="G603" i="112"/>
  <c r="F6" i="112"/>
  <c r="K9" i="109" s="1"/>
  <c r="C12" i="111"/>
  <c r="C28" i="111"/>
  <c r="C33" i="111"/>
  <c r="C49" i="111"/>
  <c r="C70" i="111"/>
  <c r="C75" i="111"/>
  <c r="C91" i="111"/>
  <c r="C96" i="111"/>
  <c r="C112" i="111"/>
  <c r="C128" i="111"/>
  <c r="C144" i="111"/>
  <c r="C161" i="111"/>
  <c r="C167" i="111"/>
  <c r="C173" i="111"/>
  <c r="C179" i="111"/>
  <c r="C228" i="111"/>
  <c r="C236" i="111"/>
  <c r="C280" i="111"/>
  <c r="C312" i="111"/>
  <c r="C433" i="111"/>
  <c r="C456" i="111"/>
  <c r="C470" i="111"/>
  <c r="C493" i="111"/>
  <c r="C505" i="111"/>
  <c r="C530" i="111"/>
  <c r="C567" i="111"/>
  <c r="C44" i="111"/>
  <c r="C60" i="111"/>
  <c r="C65" i="111"/>
  <c r="C86" i="111"/>
  <c r="C107" i="111"/>
  <c r="C123" i="111"/>
  <c r="C139" i="111"/>
  <c r="C198" i="111"/>
  <c r="C205" i="111"/>
  <c r="C244" i="111"/>
  <c r="C252" i="111"/>
  <c r="C281" i="111"/>
  <c r="C313" i="111"/>
  <c r="C385" i="111"/>
  <c r="C408" i="111"/>
  <c r="C422" i="111"/>
  <c r="C445" i="111"/>
  <c r="C457" i="111"/>
  <c r="C482" i="111"/>
  <c r="G227" i="111"/>
  <c r="E11" i="111"/>
  <c r="E27" i="111"/>
  <c r="E43" i="111"/>
  <c r="E59" i="111"/>
  <c r="E75" i="111"/>
  <c r="E91" i="111"/>
  <c r="E107" i="111"/>
  <c r="E123" i="111"/>
  <c r="E139" i="111"/>
  <c r="E155" i="111"/>
  <c r="E171" i="111"/>
  <c r="E187" i="111"/>
  <c r="E203" i="111"/>
  <c r="E219" i="111"/>
  <c r="E235" i="111"/>
  <c r="E251" i="111"/>
  <c r="E267" i="111"/>
  <c r="E283" i="111"/>
  <c r="E299" i="111"/>
  <c r="E315" i="111"/>
  <c r="E331" i="111"/>
  <c r="E347" i="111"/>
  <c r="E363" i="111"/>
  <c r="E379" i="111"/>
  <c r="E395" i="111"/>
  <c r="E411" i="111"/>
  <c r="E427" i="111"/>
  <c r="E443" i="111"/>
  <c r="E459" i="111"/>
  <c r="E475" i="111"/>
  <c r="E491" i="111"/>
  <c r="E507" i="111"/>
  <c r="E523" i="111"/>
  <c r="E539" i="111"/>
  <c r="E555" i="111"/>
  <c r="E571" i="111"/>
  <c r="E587" i="111"/>
  <c r="E603" i="111"/>
  <c r="D19" i="111"/>
  <c r="D35" i="111"/>
  <c r="D51" i="111"/>
  <c r="D67" i="111"/>
  <c r="D83" i="111"/>
  <c r="D99" i="111"/>
  <c r="D115" i="111"/>
  <c r="D131" i="111"/>
  <c r="D147" i="111"/>
  <c r="D163" i="111"/>
  <c r="D179" i="111"/>
  <c r="D195" i="111"/>
  <c r="F195" i="111" s="1"/>
  <c r="D211" i="111"/>
  <c r="D227" i="111"/>
  <c r="D243" i="111"/>
  <c r="D259" i="111"/>
  <c r="D275" i="111"/>
  <c r="D291" i="111"/>
  <c r="D307" i="111"/>
  <c r="D323" i="111"/>
  <c r="D339" i="111"/>
  <c r="D355" i="111"/>
  <c r="D371" i="111"/>
  <c r="D387" i="111"/>
  <c r="D403" i="111"/>
  <c r="D419" i="111"/>
  <c r="D435" i="111"/>
  <c r="D451" i="111"/>
  <c r="F451" i="111" s="1"/>
  <c r="D467" i="111"/>
  <c r="D483" i="111"/>
  <c r="D499" i="111"/>
  <c r="D515" i="111"/>
  <c r="D531" i="111"/>
  <c r="D547" i="111"/>
  <c r="D563" i="111"/>
  <c r="D579" i="111"/>
  <c r="D595" i="111"/>
  <c r="D213" i="111"/>
  <c r="D325" i="111"/>
  <c r="D373" i="111"/>
  <c r="D421" i="111"/>
  <c r="D469" i="111"/>
  <c r="D517" i="111"/>
  <c r="D565" i="111"/>
  <c r="F565" i="111" s="1"/>
  <c r="D518" i="111"/>
  <c r="E12" i="111"/>
  <c r="E28" i="111"/>
  <c r="E44" i="111"/>
  <c r="E60" i="111"/>
  <c r="E76" i="111"/>
  <c r="E92" i="111"/>
  <c r="E108" i="111"/>
  <c r="E124" i="111"/>
  <c r="E140" i="111"/>
  <c r="E156" i="111"/>
  <c r="E172" i="111"/>
  <c r="E188" i="111"/>
  <c r="E204" i="111"/>
  <c r="E220" i="111"/>
  <c r="E236" i="111"/>
  <c r="E252" i="111"/>
  <c r="E268" i="111"/>
  <c r="E284" i="111"/>
  <c r="E300" i="111"/>
  <c r="E316" i="111"/>
  <c r="E332" i="111"/>
  <c r="E348" i="111"/>
  <c r="E364" i="111"/>
  <c r="E380" i="111"/>
  <c r="E396" i="111"/>
  <c r="E412" i="111"/>
  <c r="E428" i="111"/>
  <c r="E444" i="111"/>
  <c r="E460" i="111"/>
  <c r="E476" i="111"/>
  <c r="E492" i="111"/>
  <c r="E508" i="111"/>
  <c r="E524" i="111"/>
  <c r="E540" i="111"/>
  <c r="E556" i="111"/>
  <c r="E572" i="111"/>
  <c r="E588" i="111"/>
  <c r="E604" i="111"/>
  <c r="D20" i="111"/>
  <c r="D36" i="111"/>
  <c r="D52" i="111"/>
  <c r="D68" i="111"/>
  <c r="D84" i="111"/>
  <c r="D100" i="111"/>
  <c r="D116" i="111"/>
  <c r="D132" i="111"/>
  <c r="D148" i="111"/>
  <c r="F148" i="111" s="1"/>
  <c r="D164" i="111"/>
  <c r="D180" i="111"/>
  <c r="D196" i="111"/>
  <c r="D212" i="111"/>
  <c r="D228" i="111"/>
  <c r="D244" i="111"/>
  <c r="D260" i="111"/>
  <c r="D276" i="111"/>
  <c r="D292" i="111"/>
  <c r="D308" i="111"/>
  <c r="D324" i="111"/>
  <c r="D340" i="111"/>
  <c r="D356" i="111"/>
  <c r="D372" i="111"/>
  <c r="D388" i="111"/>
  <c r="D404" i="111"/>
  <c r="F404" i="111" s="1"/>
  <c r="D420" i="111"/>
  <c r="D436" i="111"/>
  <c r="D452" i="111"/>
  <c r="D468" i="111"/>
  <c r="D484" i="111"/>
  <c r="D500" i="111"/>
  <c r="D516" i="111"/>
  <c r="D532" i="111"/>
  <c r="D548" i="111"/>
  <c r="D564" i="111"/>
  <c r="D580" i="111"/>
  <c r="D596" i="111"/>
  <c r="D197" i="111"/>
  <c r="D341" i="111"/>
  <c r="D389" i="111"/>
  <c r="D437" i="111"/>
  <c r="F437" i="111" s="1"/>
  <c r="D485" i="111"/>
  <c r="D549" i="111"/>
  <c r="D597" i="111"/>
  <c r="D534" i="111"/>
  <c r="D599" i="111"/>
  <c r="E13" i="111"/>
  <c r="E29" i="111"/>
  <c r="E45" i="111"/>
  <c r="E61" i="111"/>
  <c r="E77" i="111"/>
  <c r="E93" i="111"/>
  <c r="E109" i="111"/>
  <c r="E125" i="111"/>
  <c r="E141" i="111"/>
  <c r="E157" i="111"/>
  <c r="E173" i="111"/>
  <c r="E189" i="111"/>
  <c r="E205" i="111"/>
  <c r="E221" i="111"/>
  <c r="E237" i="111"/>
  <c r="E253" i="111"/>
  <c r="E269" i="111"/>
  <c r="E285" i="111"/>
  <c r="E301" i="111"/>
  <c r="E317" i="111"/>
  <c r="E333" i="111"/>
  <c r="E349" i="111"/>
  <c r="E365" i="111"/>
  <c r="E381" i="111"/>
  <c r="E397" i="111"/>
  <c r="E413" i="111"/>
  <c r="E429" i="111"/>
  <c r="E445" i="111"/>
  <c r="E461" i="111"/>
  <c r="E477" i="111"/>
  <c r="E493" i="111"/>
  <c r="E509" i="111"/>
  <c r="E525" i="111"/>
  <c r="E541" i="111"/>
  <c r="E557" i="111"/>
  <c r="E573" i="111"/>
  <c r="E589" i="111"/>
  <c r="E605" i="111"/>
  <c r="D21" i="111"/>
  <c r="D37" i="111"/>
  <c r="D53" i="111"/>
  <c r="D69" i="111"/>
  <c r="D85" i="111"/>
  <c r="F85" i="111" s="1"/>
  <c r="D101" i="111"/>
  <c r="D117" i="111"/>
  <c r="D133" i="111"/>
  <c r="D149" i="111"/>
  <c r="D165" i="111"/>
  <c r="D181" i="111"/>
  <c r="D229" i="111"/>
  <c r="D245" i="111"/>
  <c r="D261" i="111"/>
  <c r="D277" i="111"/>
  <c r="D293" i="111"/>
  <c r="D309" i="111"/>
  <c r="D357" i="111"/>
  <c r="D405" i="111"/>
  <c r="D453" i="111"/>
  <c r="D501" i="111"/>
  <c r="F501" i="111" s="1"/>
  <c r="D533" i="111"/>
  <c r="D581" i="111"/>
  <c r="D566" i="111"/>
  <c r="E14" i="111"/>
  <c r="E30" i="111"/>
  <c r="E46" i="111"/>
  <c r="E62" i="111"/>
  <c r="E78" i="111"/>
  <c r="E94" i="111"/>
  <c r="E110" i="111"/>
  <c r="E126" i="111"/>
  <c r="E142" i="111"/>
  <c r="E158" i="111"/>
  <c r="E174" i="111"/>
  <c r="E190" i="111"/>
  <c r="E206" i="111"/>
  <c r="E222" i="111"/>
  <c r="E238" i="111"/>
  <c r="E254" i="111"/>
  <c r="E270" i="111"/>
  <c r="E286" i="111"/>
  <c r="E302" i="111"/>
  <c r="E318" i="111"/>
  <c r="E334" i="111"/>
  <c r="E350" i="111"/>
  <c r="E366" i="111"/>
  <c r="E382" i="111"/>
  <c r="E398" i="111"/>
  <c r="E414" i="111"/>
  <c r="E430" i="111"/>
  <c r="E446" i="111"/>
  <c r="E462" i="111"/>
  <c r="E478" i="111"/>
  <c r="E494" i="111"/>
  <c r="E510" i="111"/>
  <c r="E526" i="111"/>
  <c r="E542" i="111"/>
  <c r="E558" i="111"/>
  <c r="E574" i="111"/>
  <c r="E590" i="111"/>
  <c r="E606" i="111"/>
  <c r="D22" i="111"/>
  <c r="D38" i="111"/>
  <c r="D54" i="111"/>
  <c r="D70" i="111"/>
  <c r="D86" i="111"/>
  <c r="D102" i="111"/>
  <c r="D118" i="111"/>
  <c r="F118" i="111" s="1"/>
  <c r="D134" i="111"/>
  <c r="D150" i="111"/>
  <c r="D166" i="111"/>
  <c r="D182" i="111"/>
  <c r="D198" i="111"/>
  <c r="D214" i="111"/>
  <c r="D230" i="111"/>
  <c r="D246" i="111"/>
  <c r="D262" i="111"/>
  <c r="D278" i="111"/>
  <c r="D294" i="111"/>
  <c r="D310" i="111"/>
  <c r="D326" i="111"/>
  <c r="D342" i="111"/>
  <c r="D358" i="111"/>
  <c r="D374" i="111"/>
  <c r="F374" i="111" s="1"/>
  <c r="D390" i="111"/>
  <c r="D406" i="111"/>
  <c r="D422" i="111"/>
  <c r="D438" i="111"/>
  <c r="D454" i="111"/>
  <c r="D470" i="111"/>
  <c r="D486" i="111"/>
  <c r="D502" i="111"/>
  <c r="D550" i="111"/>
  <c r="D582" i="111"/>
  <c r="D598" i="111"/>
  <c r="E15" i="111"/>
  <c r="E31" i="111"/>
  <c r="E47" i="111"/>
  <c r="E63" i="111"/>
  <c r="E79" i="111"/>
  <c r="E95" i="111"/>
  <c r="E111" i="111"/>
  <c r="E127" i="111"/>
  <c r="E143" i="111"/>
  <c r="E159" i="111"/>
  <c r="E175" i="111"/>
  <c r="E191" i="111"/>
  <c r="E207" i="111"/>
  <c r="E223" i="111"/>
  <c r="E239" i="111"/>
  <c r="E255" i="111"/>
  <c r="E271" i="111"/>
  <c r="E287" i="111"/>
  <c r="E303" i="111"/>
  <c r="E319" i="111"/>
  <c r="E335" i="111"/>
  <c r="E351" i="111"/>
  <c r="E367" i="111"/>
  <c r="E383" i="111"/>
  <c r="E399" i="111"/>
  <c r="E415" i="111"/>
  <c r="E431" i="111"/>
  <c r="E447" i="111"/>
  <c r="E463" i="111"/>
  <c r="E479" i="111"/>
  <c r="E495" i="111"/>
  <c r="E511" i="111"/>
  <c r="E527" i="111"/>
  <c r="E543" i="111"/>
  <c r="E559" i="111"/>
  <c r="E575" i="111"/>
  <c r="E591" i="111"/>
  <c r="E607" i="111"/>
  <c r="D23" i="111"/>
  <c r="D39" i="111"/>
  <c r="D55" i="111"/>
  <c r="D71" i="111"/>
  <c r="D87" i="111"/>
  <c r="D103" i="111"/>
  <c r="D119" i="111"/>
  <c r="D135" i="111"/>
  <c r="D151" i="111"/>
  <c r="D167" i="111"/>
  <c r="D183" i="111"/>
  <c r="D199" i="111"/>
  <c r="D215" i="111"/>
  <c r="D231" i="111"/>
  <c r="D247" i="111"/>
  <c r="F247" i="111" s="1"/>
  <c r="D263" i="111"/>
  <c r="D279" i="111"/>
  <c r="D295" i="111"/>
  <c r="D311" i="111"/>
  <c r="D327" i="111"/>
  <c r="D343" i="111"/>
  <c r="D359" i="111"/>
  <c r="D375" i="111"/>
  <c r="D391" i="111"/>
  <c r="D407" i="111"/>
  <c r="D423" i="111"/>
  <c r="D439" i="111"/>
  <c r="D455" i="111"/>
  <c r="D471" i="111"/>
  <c r="D487" i="111"/>
  <c r="D503" i="111"/>
  <c r="F503" i="111" s="1"/>
  <c r="D519" i="111"/>
  <c r="D535" i="111"/>
  <c r="D551" i="111"/>
  <c r="D567" i="111"/>
  <c r="D583" i="111"/>
  <c r="E16" i="111"/>
  <c r="E32" i="111"/>
  <c r="E48" i="111"/>
  <c r="E64" i="111"/>
  <c r="E80" i="111"/>
  <c r="E96" i="111"/>
  <c r="E112" i="111"/>
  <c r="E128" i="111"/>
  <c r="E144" i="111"/>
  <c r="E160" i="111"/>
  <c r="E176" i="111"/>
  <c r="E192" i="111"/>
  <c r="E208" i="111"/>
  <c r="E224" i="111"/>
  <c r="E240" i="111"/>
  <c r="E256" i="111"/>
  <c r="E272" i="111"/>
  <c r="E288" i="111"/>
  <c r="E304" i="111"/>
  <c r="E320" i="111"/>
  <c r="E336" i="111"/>
  <c r="E352" i="111"/>
  <c r="E368" i="111"/>
  <c r="E384" i="111"/>
  <c r="E400" i="111"/>
  <c r="E416" i="111"/>
  <c r="E432" i="111"/>
  <c r="E448" i="111"/>
  <c r="E464" i="111"/>
  <c r="E480" i="111"/>
  <c r="E496" i="111"/>
  <c r="E512" i="111"/>
  <c r="E528" i="111"/>
  <c r="E544" i="111"/>
  <c r="E560" i="111"/>
  <c r="E576" i="111"/>
  <c r="E592" i="111"/>
  <c r="E608" i="111"/>
  <c r="D24" i="111"/>
  <c r="D40" i="111"/>
  <c r="D56" i="111"/>
  <c r="D72" i="111"/>
  <c r="D88" i="111"/>
  <c r="F88" i="111" s="1"/>
  <c r="D104" i="111"/>
  <c r="D120" i="111"/>
  <c r="D136" i="111"/>
  <c r="D152" i="111"/>
  <c r="D168" i="111"/>
  <c r="D184" i="111"/>
  <c r="D200" i="111"/>
  <c r="D216" i="111"/>
  <c r="D232" i="111"/>
  <c r="D248" i="111"/>
  <c r="D264" i="111"/>
  <c r="D280" i="111"/>
  <c r="D296" i="111"/>
  <c r="D312" i="111"/>
  <c r="D328" i="111"/>
  <c r="D344" i="111"/>
  <c r="F344" i="111" s="1"/>
  <c r="D360" i="111"/>
  <c r="D376" i="111"/>
  <c r="D392" i="111"/>
  <c r="D408" i="111"/>
  <c r="D424" i="111"/>
  <c r="D440" i="111"/>
  <c r="D456" i="111"/>
  <c r="D472" i="111"/>
  <c r="D488" i="111"/>
  <c r="D504" i="111"/>
  <c r="D520" i="111"/>
  <c r="D536" i="111"/>
  <c r="D552" i="111"/>
  <c r="D568" i="111"/>
  <c r="D584" i="111"/>
  <c r="D600" i="111"/>
  <c r="F600" i="111" s="1"/>
  <c r="E17" i="111"/>
  <c r="E33" i="111"/>
  <c r="E49" i="111"/>
  <c r="E65" i="111"/>
  <c r="E81" i="111"/>
  <c r="E97" i="111"/>
  <c r="E113" i="111"/>
  <c r="E129" i="111"/>
  <c r="E145" i="111"/>
  <c r="E161" i="111"/>
  <c r="E177" i="111"/>
  <c r="E193" i="111"/>
  <c r="E209" i="111"/>
  <c r="E225" i="111"/>
  <c r="E241" i="111"/>
  <c r="E257" i="111"/>
  <c r="E273" i="111"/>
  <c r="E289" i="111"/>
  <c r="E305" i="111"/>
  <c r="E321" i="111"/>
  <c r="E337" i="111"/>
  <c r="E353" i="111"/>
  <c r="E369" i="111"/>
  <c r="E385" i="111"/>
  <c r="E401" i="111"/>
  <c r="E417" i="111"/>
  <c r="E433" i="111"/>
  <c r="E449" i="111"/>
  <c r="E465" i="111"/>
  <c r="E481" i="111"/>
  <c r="E497" i="111"/>
  <c r="E513" i="111"/>
  <c r="E529" i="111"/>
  <c r="E545" i="111"/>
  <c r="E561" i="111"/>
  <c r="E577" i="111"/>
  <c r="E593" i="111"/>
  <c r="E10" i="111"/>
  <c r="D25" i="111"/>
  <c r="D41" i="111"/>
  <c r="D57" i="111"/>
  <c r="D73" i="111"/>
  <c r="D89" i="111"/>
  <c r="D105" i="111"/>
  <c r="D121" i="111"/>
  <c r="D137" i="111"/>
  <c r="D153" i="111"/>
  <c r="D169" i="111"/>
  <c r="F169" i="111" s="1"/>
  <c r="D185" i="111"/>
  <c r="D201" i="111"/>
  <c r="D217" i="111"/>
  <c r="D233" i="111"/>
  <c r="D249" i="111"/>
  <c r="D265" i="111"/>
  <c r="D281" i="111"/>
  <c r="D297" i="111"/>
  <c r="D313" i="111"/>
  <c r="D329" i="111"/>
  <c r="D345" i="111"/>
  <c r="D361" i="111"/>
  <c r="D377" i="111"/>
  <c r="D393" i="111"/>
  <c r="D409" i="111"/>
  <c r="D425" i="111"/>
  <c r="F425" i="111" s="1"/>
  <c r="D441" i="111"/>
  <c r="D457" i="111"/>
  <c r="D473" i="111"/>
  <c r="D489" i="111"/>
  <c r="D505" i="111"/>
  <c r="D521" i="111"/>
  <c r="D537" i="111"/>
  <c r="D553" i="111"/>
  <c r="D569" i="111"/>
  <c r="D585" i="111"/>
  <c r="D601" i="111"/>
  <c r="E18" i="111"/>
  <c r="E34" i="111"/>
  <c r="E50" i="111"/>
  <c r="E66" i="111"/>
  <c r="E82" i="111"/>
  <c r="E98" i="111"/>
  <c r="E114" i="111"/>
  <c r="E130" i="111"/>
  <c r="E146" i="111"/>
  <c r="E162" i="111"/>
  <c r="E178" i="111"/>
  <c r="E194" i="111"/>
  <c r="E210" i="111"/>
  <c r="E226" i="111"/>
  <c r="E242" i="111"/>
  <c r="E258" i="111"/>
  <c r="E274" i="111"/>
  <c r="E290" i="111"/>
  <c r="E306" i="111"/>
  <c r="E322" i="111"/>
  <c r="E338" i="111"/>
  <c r="E354" i="111"/>
  <c r="E370" i="111"/>
  <c r="E386" i="111"/>
  <c r="E402" i="111"/>
  <c r="E418" i="111"/>
  <c r="E434" i="111"/>
  <c r="E450" i="111"/>
  <c r="E466" i="111"/>
  <c r="E482" i="111"/>
  <c r="E498" i="111"/>
  <c r="E514" i="111"/>
  <c r="E530" i="111"/>
  <c r="E546" i="111"/>
  <c r="E562" i="111"/>
  <c r="E578" i="111"/>
  <c r="E594" i="111"/>
  <c r="E9" i="111"/>
  <c r="D26" i="111"/>
  <c r="D42" i="111"/>
  <c r="D58" i="111"/>
  <c r="D74" i="111"/>
  <c r="D90" i="111"/>
  <c r="D106" i="111"/>
  <c r="D122" i="111"/>
  <c r="D138" i="111"/>
  <c r="D154" i="111"/>
  <c r="D170" i="111"/>
  <c r="D186" i="111"/>
  <c r="D202" i="111"/>
  <c r="D218" i="111"/>
  <c r="D234" i="111"/>
  <c r="D250" i="111"/>
  <c r="F250" i="111" s="1"/>
  <c r="D266" i="111"/>
  <c r="D282" i="111"/>
  <c r="D298" i="111"/>
  <c r="D314" i="111"/>
  <c r="D330" i="111"/>
  <c r="D346" i="111"/>
  <c r="D362" i="111"/>
  <c r="D378" i="111"/>
  <c r="D394" i="111"/>
  <c r="D410" i="111"/>
  <c r="D426" i="111"/>
  <c r="D442" i="111"/>
  <c r="D458" i="111"/>
  <c r="D474" i="111"/>
  <c r="D490" i="111"/>
  <c r="D506" i="111"/>
  <c r="F506" i="111" s="1"/>
  <c r="D522" i="111"/>
  <c r="D538" i="111"/>
  <c r="D554" i="111"/>
  <c r="D570" i="111"/>
  <c r="D586" i="111"/>
  <c r="D602" i="111"/>
  <c r="E19" i="111"/>
  <c r="E35" i="111"/>
  <c r="E51" i="111"/>
  <c r="E67" i="111"/>
  <c r="E83" i="111"/>
  <c r="E99" i="111"/>
  <c r="E115" i="111"/>
  <c r="E131" i="111"/>
  <c r="E147" i="111"/>
  <c r="E163" i="111"/>
  <c r="E179" i="111"/>
  <c r="E195" i="111"/>
  <c r="E211" i="111"/>
  <c r="E227" i="111"/>
  <c r="E243" i="111"/>
  <c r="E259" i="111"/>
  <c r="E275" i="111"/>
  <c r="E291" i="111"/>
  <c r="E307" i="111"/>
  <c r="E323" i="111"/>
  <c r="E339" i="111"/>
  <c r="E355" i="111"/>
  <c r="E371" i="111"/>
  <c r="E387" i="111"/>
  <c r="E403" i="111"/>
  <c r="E419" i="111"/>
  <c r="E435" i="111"/>
  <c r="E451" i="111"/>
  <c r="E467" i="111"/>
  <c r="E483" i="111"/>
  <c r="E499" i="111"/>
  <c r="E515" i="111"/>
  <c r="E531" i="111"/>
  <c r="E547" i="111"/>
  <c r="E563" i="111"/>
  <c r="E579" i="111"/>
  <c r="E595" i="111"/>
  <c r="D11" i="111"/>
  <c r="F11" i="111" s="1"/>
  <c r="D27" i="111"/>
  <c r="D43" i="111"/>
  <c r="F43" i="111" s="1"/>
  <c r="D59" i="111"/>
  <c r="F59" i="111" s="1"/>
  <c r="D75" i="111"/>
  <c r="F75" i="111" s="1"/>
  <c r="D91" i="111"/>
  <c r="F91" i="111" s="1"/>
  <c r="D107" i="111"/>
  <c r="F107" i="111" s="1"/>
  <c r="D123" i="111"/>
  <c r="F123" i="111" s="1"/>
  <c r="D139" i="111"/>
  <c r="F139" i="111" s="1"/>
  <c r="D155" i="111"/>
  <c r="F155" i="111" s="1"/>
  <c r="D171" i="111"/>
  <c r="F171" i="111" s="1"/>
  <c r="D187" i="111"/>
  <c r="F187" i="111" s="1"/>
  <c r="D203" i="111"/>
  <c r="F203" i="111" s="1"/>
  <c r="D219" i="111"/>
  <c r="F219" i="111" s="1"/>
  <c r="D235" i="111"/>
  <c r="F235" i="111" s="1"/>
  <c r="D251" i="111"/>
  <c r="F251" i="111" s="1"/>
  <c r="D267" i="111"/>
  <c r="F267" i="111" s="1"/>
  <c r="D283" i="111"/>
  <c r="D299" i="111"/>
  <c r="F299" i="111" s="1"/>
  <c r="D315" i="111"/>
  <c r="F315" i="111" s="1"/>
  <c r="D331" i="111"/>
  <c r="F331" i="111" s="1"/>
  <c r="D347" i="111"/>
  <c r="F347" i="111" s="1"/>
  <c r="D363" i="111"/>
  <c r="F363" i="111" s="1"/>
  <c r="D379" i="111"/>
  <c r="F379" i="111" s="1"/>
  <c r="D395" i="111"/>
  <c r="F395" i="111" s="1"/>
  <c r="D411" i="111"/>
  <c r="F411" i="111" s="1"/>
  <c r="D427" i="111"/>
  <c r="F427" i="111" s="1"/>
  <c r="D443" i="111"/>
  <c r="F443" i="111" s="1"/>
  <c r="D459" i="111"/>
  <c r="F459" i="111" s="1"/>
  <c r="D475" i="111"/>
  <c r="F475" i="111" s="1"/>
  <c r="D491" i="111"/>
  <c r="F491" i="111" s="1"/>
  <c r="D507" i="111"/>
  <c r="F507" i="111" s="1"/>
  <c r="D523" i="111"/>
  <c r="F523" i="111" s="1"/>
  <c r="D539" i="111"/>
  <c r="D555" i="111"/>
  <c r="F555" i="111" s="1"/>
  <c r="D571" i="111"/>
  <c r="F571" i="111" s="1"/>
  <c r="D587" i="111"/>
  <c r="F587" i="111" s="1"/>
  <c r="D603" i="111"/>
  <c r="F603" i="111" s="1"/>
  <c r="E20" i="111"/>
  <c r="E36" i="111"/>
  <c r="E52" i="111"/>
  <c r="E68" i="111"/>
  <c r="E84" i="111"/>
  <c r="E100" i="111"/>
  <c r="E116" i="111"/>
  <c r="E132" i="111"/>
  <c r="E148" i="111"/>
  <c r="E164" i="111"/>
  <c r="E180" i="111"/>
  <c r="E196" i="111"/>
  <c r="E212" i="111"/>
  <c r="E228" i="111"/>
  <c r="E244" i="111"/>
  <c r="E260" i="111"/>
  <c r="E276" i="111"/>
  <c r="E292" i="111"/>
  <c r="E308" i="111"/>
  <c r="E324" i="111"/>
  <c r="E340" i="111"/>
  <c r="E356" i="111"/>
  <c r="E372" i="111"/>
  <c r="E388" i="111"/>
  <c r="E404" i="111"/>
  <c r="E420" i="111"/>
  <c r="E436" i="111"/>
  <c r="E452" i="111"/>
  <c r="E468" i="111"/>
  <c r="E484" i="111"/>
  <c r="E500" i="111"/>
  <c r="E516" i="111"/>
  <c r="E532" i="111"/>
  <c r="E548" i="111"/>
  <c r="E564" i="111"/>
  <c r="E580" i="111"/>
  <c r="E596" i="111"/>
  <c r="D12" i="111"/>
  <c r="F12" i="111" s="1"/>
  <c r="D28" i="111"/>
  <c r="F28" i="111" s="1"/>
  <c r="D44" i="111"/>
  <c r="F44" i="111" s="1"/>
  <c r="D60" i="111"/>
  <c r="F60" i="111" s="1"/>
  <c r="D76" i="111"/>
  <c r="F76" i="111" s="1"/>
  <c r="D92" i="111"/>
  <c r="F92" i="111" s="1"/>
  <c r="D108" i="111"/>
  <c r="F108" i="111" s="1"/>
  <c r="D124" i="111"/>
  <c r="F124" i="111" s="1"/>
  <c r="D140" i="111"/>
  <c r="F140" i="111" s="1"/>
  <c r="D156" i="111"/>
  <c r="F156" i="111" s="1"/>
  <c r="D172" i="111"/>
  <c r="F172" i="111" s="1"/>
  <c r="D188" i="111"/>
  <c r="F188" i="111" s="1"/>
  <c r="D204" i="111"/>
  <c r="F204" i="111" s="1"/>
  <c r="D220" i="111"/>
  <c r="F220" i="111" s="1"/>
  <c r="D236" i="111"/>
  <c r="D252" i="111"/>
  <c r="F252" i="111" s="1"/>
  <c r="D268" i="111"/>
  <c r="F268" i="111" s="1"/>
  <c r="D284" i="111"/>
  <c r="F284" i="111" s="1"/>
  <c r="D300" i="111"/>
  <c r="F300" i="111" s="1"/>
  <c r="D316" i="111"/>
  <c r="F316" i="111" s="1"/>
  <c r="D332" i="111"/>
  <c r="F332" i="111" s="1"/>
  <c r="D348" i="111"/>
  <c r="F348" i="111" s="1"/>
  <c r="D364" i="111"/>
  <c r="F364" i="111" s="1"/>
  <c r="D380" i="111"/>
  <c r="F380" i="111" s="1"/>
  <c r="D396" i="111"/>
  <c r="F396" i="111" s="1"/>
  <c r="D412" i="111"/>
  <c r="F412" i="111" s="1"/>
  <c r="D428" i="111"/>
  <c r="F428" i="111" s="1"/>
  <c r="D444" i="111"/>
  <c r="F444" i="111" s="1"/>
  <c r="D460" i="111"/>
  <c r="F460" i="111" s="1"/>
  <c r="D476" i="111"/>
  <c r="F476" i="111" s="1"/>
  <c r="D492" i="111"/>
  <c r="D508" i="111"/>
  <c r="F508" i="111" s="1"/>
  <c r="D524" i="111"/>
  <c r="F524" i="111" s="1"/>
  <c r="D540" i="111"/>
  <c r="F540" i="111" s="1"/>
  <c r="D556" i="111"/>
  <c r="F556" i="111" s="1"/>
  <c r="D572" i="111"/>
  <c r="F572" i="111" s="1"/>
  <c r="D588" i="111"/>
  <c r="F588" i="111" s="1"/>
  <c r="D604" i="111"/>
  <c r="F604" i="111" s="1"/>
  <c r="D590" i="111"/>
  <c r="F590" i="111" s="1"/>
  <c r="D97" i="111"/>
  <c r="F97" i="111" s="1"/>
  <c r="D209" i="111"/>
  <c r="F209" i="111" s="1"/>
  <c r="D289" i="111"/>
  <c r="F289" i="111" s="1"/>
  <c r="D369" i="111"/>
  <c r="F369" i="111" s="1"/>
  <c r="D449" i="111"/>
  <c r="F449" i="111" s="1"/>
  <c r="D529" i="111"/>
  <c r="F529" i="111" s="1"/>
  <c r="E90" i="111"/>
  <c r="E154" i="111"/>
  <c r="E234" i="111"/>
  <c r="E21" i="111"/>
  <c r="E37" i="111"/>
  <c r="E53" i="111"/>
  <c r="E69" i="111"/>
  <c r="E85" i="111"/>
  <c r="E101" i="111"/>
  <c r="E117" i="111"/>
  <c r="E133" i="111"/>
  <c r="E149" i="111"/>
  <c r="E165" i="111"/>
  <c r="E181" i="111"/>
  <c r="E197" i="111"/>
  <c r="E213" i="111"/>
  <c r="E229" i="111"/>
  <c r="E245" i="111"/>
  <c r="E261" i="111"/>
  <c r="E277" i="111"/>
  <c r="E293" i="111"/>
  <c r="E309" i="111"/>
  <c r="E325" i="111"/>
  <c r="E341" i="111"/>
  <c r="E357" i="111"/>
  <c r="E373" i="111"/>
  <c r="E389" i="111"/>
  <c r="E405" i="111"/>
  <c r="E421" i="111"/>
  <c r="E437" i="111"/>
  <c r="E453" i="111"/>
  <c r="E469" i="111"/>
  <c r="E485" i="111"/>
  <c r="E501" i="111"/>
  <c r="E517" i="111"/>
  <c r="E533" i="111"/>
  <c r="E549" i="111"/>
  <c r="E565" i="111"/>
  <c r="E581" i="111"/>
  <c r="E597" i="111"/>
  <c r="D13" i="111"/>
  <c r="F13" i="111" s="1"/>
  <c r="D29" i="111"/>
  <c r="F29" i="111" s="1"/>
  <c r="D45" i="111"/>
  <c r="F45" i="111" s="1"/>
  <c r="D61" i="111"/>
  <c r="F61" i="111" s="1"/>
  <c r="D77" i="111"/>
  <c r="F77" i="111" s="1"/>
  <c r="D93" i="111"/>
  <c r="F93" i="111" s="1"/>
  <c r="D109" i="111"/>
  <c r="F109" i="111" s="1"/>
  <c r="D125" i="111"/>
  <c r="F125" i="111" s="1"/>
  <c r="D141" i="111"/>
  <c r="F141" i="111" s="1"/>
  <c r="D157" i="111"/>
  <c r="F157" i="111" s="1"/>
  <c r="D173" i="111"/>
  <c r="D189" i="111"/>
  <c r="F189" i="111" s="1"/>
  <c r="D205" i="111"/>
  <c r="F205" i="111" s="1"/>
  <c r="D221" i="111"/>
  <c r="F221" i="111" s="1"/>
  <c r="D237" i="111"/>
  <c r="F237" i="111" s="1"/>
  <c r="D253" i="111"/>
  <c r="F253" i="111" s="1"/>
  <c r="D269" i="111"/>
  <c r="F269" i="111" s="1"/>
  <c r="D285" i="111"/>
  <c r="F285" i="111" s="1"/>
  <c r="D301" i="111"/>
  <c r="F301" i="111" s="1"/>
  <c r="D317" i="111"/>
  <c r="F317" i="111" s="1"/>
  <c r="D333" i="111"/>
  <c r="F333" i="111" s="1"/>
  <c r="D349" i="111"/>
  <c r="F349" i="111" s="1"/>
  <c r="D365" i="111"/>
  <c r="F365" i="111" s="1"/>
  <c r="D381" i="111"/>
  <c r="F381" i="111" s="1"/>
  <c r="D397" i="111"/>
  <c r="F397" i="111" s="1"/>
  <c r="D413" i="111"/>
  <c r="F413" i="111" s="1"/>
  <c r="D429" i="111"/>
  <c r="D445" i="111"/>
  <c r="F445" i="111" s="1"/>
  <c r="D461" i="111"/>
  <c r="F461" i="111" s="1"/>
  <c r="D477" i="111"/>
  <c r="F477" i="111" s="1"/>
  <c r="D493" i="111"/>
  <c r="F493" i="111" s="1"/>
  <c r="D509" i="111"/>
  <c r="F509" i="111" s="1"/>
  <c r="D525" i="111"/>
  <c r="F525" i="111" s="1"/>
  <c r="D541" i="111"/>
  <c r="F541" i="111" s="1"/>
  <c r="D557" i="111"/>
  <c r="F557" i="111" s="1"/>
  <c r="D573" i="111"/>
  <c r="F573" i="111" s="1"/>
  <c r="D589" i="111"/>
  <c r="F589" i="111" s="1"/>
  <c r="D605" i="111"/>
  <c r="F605" i="111" s="1"/>
  <c r="D574" i="111"/>
  <c r="F574" i="111" s="1"/>
  <c r="D113" i="111"/>
  <c r="F113" i="111" s="1"/>
  <c r="D305" i="111"/>
  <c r="F305" i="111" s="1"/>
  <c r="D401" i="111"/>
  <c r="F401" i="111" s="1"/>
  <c r="D497" i="111"/>
  <c r="F497" i="111" s="1"/>
  <c r="D593" i="111"/>
  <c r="F593" i="111" s="1"/>
  <c r="E22" i="111"/>
  <c r="E38" i="111"/>
  <c r="E54" i="111"/>
  <c r="E70" i="111"/>
  <c r="E86" i="111"/>
  <c r="E102" i="111"/>
  <c r="E118" i="111"/>
  <c r="E134" i="111"/>
  <c r="E150" i="111"/>
  <c r="E166" i="111"/>
  <c r="E182" i="111"/>
  <c r="E198" i="111"/>
  <c r="E214" i="111"/>
  <c r="E230" i="111"/>
  <c r="E246" i="111"/>
  <c r="E262" i="111"/>
  <c r="E278" i="111"/>
  <c r="E294" i="111"/>
  <c r="E310" i="111"/>
  <c r="E326" i="111"/>
  <c r="E342" i="111"/>
  <c r="E358" i="111"/>
  <c r="E374" i="111"/>
  <c r="E390" i="111"/>
  <c r="E406" i="111"/>
  <c r="E422" i="111"/>
  <c r="E438" i="111"/>
  <c r="E454" i="111"/>
  <c r="E470" i="111"/>
  <c r="E486" i="111"/>
  <c r="E502" i="111"/>
  <c r="E518" i="111"/>
  <c r="E534" i="111"/>
  <c r="E550" i="111"/>
  <c r="E566" i="111"/>
  <c r="E582" i="111"/>
  <c r="E598" i="111"/>
  <c r="D14" i="111"/>
  <c r="F14" i="111" s="1"/>
  <c r="D30" i="111"/>
  <c r="D46" i="111"/>
  <c r="F46" i="111" s="1"/>
  <c r="D62" i="111"/>
  <c r="D78" i="111"/>
  <c r="F78" i="111" s="1"/>
  <c r="D94" i="111"/>
  <c r="D110" i="111"/>
  <c r="F110" i="111" s="1"/>
  <c r="D126" i="111"/>
  <c r="F126" i="111" s="1"/>
  <c r="D142" i="111"/>
  <c r="F142" i="111" s="1"/>
  <c r="D158" i="111"/>
  <c r="F158" i="111" s="1"/>
  <c r="D174" i="111"/>
  <c r="F174" i="111" s="1"/>
  <c r="D190" i="111"/>
  <c r="F190" i="111" s="1"/>
  <c r="D206" i="111"/>
  <c r="D222" i="111"/>
  <c r="F222" i="111" s="1"/>
  <c r="D238" i="111"/>
  <c r="F238" i="111" s="1"/>
  <c r="D254" i="111"/>
  <c r="F254" i="111" s="1"/>
  <c r="D270" i="111"/>
  <c r="F270" i="111" s="1"/>
  <c r="D286" i="111"/>
  <c r="F286" i="111" s="1"/>
  <c r="D302" i="111"/>
  <c r="F302" i="111" s="1"/>
  <c r="D318" i="111"/>
  <c r="F318" i="111" s="1"/>
  <c r="D334" i="111"/>
  <c r="F334" i="111" s="1"/>
  <c r="D350" i="111"/>
  <c r="F350" i="111" s="1"/>
  <c r="D366" i="111"/>
  <c r="F366" i="111" s="1"/>
  <c r="D382" i="111"/>
  <c r="F382" i="111" s="1"/>
  <c r="D398" i="111"/>
  <c r="F398" i="111" s="1"/>
  <c r="D414" i="111"/>
  <c r="F414" i="111" s="1"/>
  <c r="D430" i="111"/>
  <c r="F430" i="111" s="1"/>
  <c r="D446" i="111"/>
  <c r="F446" i="111" s="1"/>
  <c r="D462" i="111"/>
  <c r="D478" i="111"/>
  <c r="F478" i="111" s="1"/>
  <c r="D494" i="111"/>
  <c r="F494" i="111" s="1"/>
  <c r="D510" i="111"/>
  <c r="F510" i="111" s="1"/>
  <c r="D526" i="111"/>
  <c r="F526" i="111" s="1"/>
  <c r="D542" i="111"/>
  <c r="F542" i="111" s="1"/>
  <c r="D558" i="111"/>
  <c r="F558" i="111" s="1"/>
  <c r="D606" i="111"/>
  <c r="F606" i="111" s="1"/>
  <c r="D49" i="111"/>
  <c r="F49" i="111" s="1"/>
  <c r="D241" i="111"/>
  <c r="F241" i="111" s="1"/>
  <c r="D321" i="111"/>
  <c r="F321" i="111" s="1"/>
  <c r="D417" i="111"/>
  <c r="F417" i="111" s="1"/>
  <c r="D513" i="111"/>
  <c r="D561" i="111"/>
  <c r="F561" i="111" s="1"/>
  <c r="E42" i="111"/>
  <c r="E138" i="111"/>
  <c r="E218" i="111"/>
  <c r="E282" i="111"/>
  <c r="E23" i="111"/>
  <c r="E39" i="111"/>
  <c r="E55" i="111"/>
  <c r="E71" i="111"/>
  <c r="E87" i="111"/>
  <c r="E103" i="111"/>
  <c r="E119" i="111"/>
  <c r="E135" i="111"/>
  <c r="E151" i="111"/>
  <c r="E167" i="111"/>
  <c r="E183" i="111"/>
  <c r="E199" i="111"/>
  <c r="E215" i="111"/>
  <c r="E231" i="111"/>
  <c r="E247" i="111"/>
  <c r="E263" i="111"/>
  <c r="E279" i="111"/>
  <c r="E295" i="111"/>
  <c r="E311" i="111"/>
  <c r="E327" i="111"/>
  <c r="E343" i="111"/>
  <c r="E359" i="111"/>
  <c r="E375" i="111"/>
  <c r="E391" i="111"/>
  <c r="E407" i="111"/>
  <c r="E423" i="111"/>
  <c r="E439" i="111"/>
  <c r="E455" i="111"/>
  <c r="E471" i="111"/>
  <c r="E487" i="111"/>
  <c r="E503" i="111"/>
  <c r="E519" i="111"/>
  <c r="E535" i="111"/>
  <c r="E551" i="111"/>
  <c r="E567" i="111"/>
  <c r="E583" i="111"/>
  <c r="E599" i="111"/>
  <c r="D15" i="111"/>
  <c r="F15" i="111" s="1"/>
  <c r="D31" i="111"/>
  <c r="F31" i="111" s="1"/>
  <c r="D47" i="111"/>
  <c r="F47" i="111" s="1"/>
  <c r="D63" i="111"/>
  <c r="F63" i="111" s="1"/>
  <c r="D79" i="111"/>
  <c r="D95" i="111"/>
  <c r="F95" i="111" s="1"/>
  <c r="D111" i="111"/>
  <c r="F111" i="111" s="1"/>
  <c r="D127" i="111"/>
  <c r="F127" i="111" s="1"/>
  <c r="D143" i="111"/>
  <c r="F143" i="111" s="1"/>
  <c r="D159" i="111"/>
  <c r="F159" i="111" s="1"/>
  <c r="D175" i="111"/>
  <c r="F175" i="111" s="1"/>
  <c r="D191" i="111"/>
  <c r="F191" i="111" s="1"/>
  <c r="D207" i="111"/>
  <c r="F207" i="111" s="1"/>
  <c r="D223" i="111"/>
  <c r="F223" i="111" s="1"/>
  <c r="D239" i="111"/>
  <c r="F239" i="111" s="1"/>
  <c r="D255" i="111"/>
  <c r="F255" i="111" s="1"/>
  <c r="D271" i="111"/>
  <c r="F271" i="111" s="1"/>
  <c r="D287" i="111"/>
  <c r="F287" i="111" s="1"/>
  <c r="D303" i="111"/>
  <c r="F303" i="111" s="1"/>
  <c r="D319" i="111"/>
  <c r="F319" i="111" s="1"/>
  <c r="D335" i="111"/>
  <c r="D351" i="111"/>
  <c r="F351" i="111" s="1"/>
  <c r="D367" i="111"/>
  <c r="F367" i="111" s="1"/>
  <c r="D383" i="111"/>
  <c r="F383" i="111" s="1"/>
  <c r="D399" i="111"/>
  <c r="F399" i="111" s="1"/>
  <c r="D415" i="111"/>
  <c r="F415" i="111" s="1"/>
  <c r="D431" i="111"/>
  <c r="F431" i="111" s="1"/>
  <c r="D447" i="111"/>
  <c r="F447" i="111" s="1"/>
  <c r="D463" i="111"/>
  <c r="F463" i="111" s="1"/>
  <c r="D479" i="111"/>
  <c r="F479" i="111" s="1"/>
  <c r="D495" i="111"/>
  <c r="F495" i="111" s="1"/>
  <c r="D511" i="111"/>
  <c r="F511" i="111" s="1"/>
  <c r="D527" i="111"/>
  <c r="F527" i="111" s="1"/>
  <c r="D543" i="111"/>
  <c r="F543" i="111" s="1"/>
  <c r="D559" i="111"/>
  <c r="F559" i="111" s="1"/>
  <c r="D575" i="111"/>
  <c r="F575" i="111" s="1"/>
  <c r="D591" i="111"/>
  <c r="D607" i="111"/>
  <c r="F607" i="111" s="1"/>
  <c r="D65" i="111"/>
  <c r="F65" i="111" s="1"/>
  <c r="D225" i="111"/>
  <c r="F225" i="111" s="1"/>
  <c r="D337" i="111"/>
  <c r="F337" i="111" s="1"/>
  <c r="D433" i="111"/>
  <c r="F433" i="111" s="1"/>
  <c r="D545" i="111"/>
  <c r="F545" i="111" s="1"/>
  <c r="E58" i="111"/>
  <c r="E170" i="111"/>
  <c r="E250" i="111"/>
  <c r="E24" i="111"/>
  <c r="E40" i="111"/>
  <c r="E56" i="111"/>
  <c r="E72" i="111"/>
  <c r="E88" i="111"/>
  <c r="E104" i="111"/>
  <c r="E120" i="111"/>
  <c r="E136" i="111"/>
  <c r="E152" i="111"/>
  <c r="E168" i="111"/>
  <c r="E184" i="111"/>
  <c r="E200" i="111"/>
  <c r="E216" i="111"/>
  <c r="E232" i="111"/>
  <c r="E248" i="111"/>
  <c r="E264" i="111"/>
  <c r="E280" i="111"/>
  <c r="E296" i="111"/>
  <c r="E312" i="111"/>
  <c r="E328" i="111"/>
  <c r="E344" i="111"/>
  <c r="E360" i="111"/>
  <c r="E376" i="111"/>
  <c r="E392" i="111"/>
  <c r="E408" i="111"/>
  <c r="E424" i="111"/>
  <c r="E440" i="111"/>
  <c r="E456" i="111"/>
  <c r="E472" i="111"/>
  <c r="E488" i="111"/>
  <c r="E504" i="111"/>
  <c r="E520" i="111"/>
  <c r="E536" i="111"/>
  <c r="E552" i="111"/>
  <c r="E568" i="111"/>
  <c r="E584" i="111"/>
  <c r="E600" i="111"/>
  <c r="D16" i="111"/>
  <c r="F16" i="111" s="1"/>
  <c r="D32" i="111"/>
  <c r="F32" i="111" s="1"/>
  <c r="D48" i="111"/>
  <c r="F48" i="111" s="1"/>
  <c r="D64" i="111"/>
  <c r="F64" i="111" s="1"/>
  <c r="D80" i="111"/>
  <c r="F80" i="111" s="1"/>
  <c r="D96" i="111"/>
  <c r="F96" i="111" s="1"/>
  <c r="D112" i="111"/>
  <c r="F112" i="111" s="1"/>
  <c r="D128" i="111"/>
  <c r="F128" i="111" s="1"/>
  <c r="D144" i="111"/>
  <c r="F144" i="111" s="1"/>
  <c r="D160" i="111"/>
  <c r="F160" i="111" s="1"/>
  <c r="D176" i="111"/>
  <c r="D192" i="111"/>
  <c r="F192" i="111" s="1"/>
  <c r="D208" i="111"/>
  <c r="F208" i="111" s="1"/>
  <c r="D224" i="111"/>
  <c r="F224" i="111" s="1"/>
  <c r="D240" i="111"/>
  <c r="F240" i="111" s="1"/>
  <c r="D256" i="111"/>
  <c r="F256" i="111" s="1"/>
  <c r="D272" i="111"/>
  <c r="F272" i="111" s="1"/>
  <c r="D288" i="111"/>
  <c r="F288" i="111" s="1"/>
  <c r="D304" i="111"/>
  <c r="F304" i="111" s="1"/>
  <c r="D320" i="111"/>
  <c r="F320" i="111" s="1"/>
  <c r="D336" i="111"/>
  <c r="F336" i="111" s="1"/>
  <c r="D352" i="111"/>
  <c r="F352" i="111" s="1"/>
  <c r="D368" i="111"/>
  <c r="F368" i="111" s="1"/>
  <c r="D384" i="111"/>
  <c r="F384" i="111" s="1"/>
  <c r="D400" i="111"/>
  <c r="F400" i="111" s="1"/>
  <c r="D416" i="111"/>
  <c r="F416" i="111" s="1"/>
  <c r="D432" i="111"/>
  <c r="D448" i="111"/>
  <c r="F448" i="111" s="1"/>
  <c r="D464" i="111"/>
  <c r="F464" i="111" s="1"/>
  <c r="D480" i="111"/>
  <c r="F480" i="111" s="1"/>
  <c r="D496" i="111"/>
  <c r="F496" i="111" s="1"/>
  <c r="D512" i="111"/>
  <c r="F512" i="111" s="1"/>
  <c r="D528" i="111"/>
  <c r="F528" i="111" s="1"/>
  <c r="D544" i="111"/>
  <c r="F544" i="111" s="1"/>
  <c r="D560" i="111"/>
  <c r="F560" i="111" s="1"/>
  <c r="D576" i="111"/>
  <c r="F576" i="111" s="1"/>
  <c r="D592" i="111"/>
  <c r="F592" i="111" s="1"/>
  <c r="D608" i="111"/>
  <c r="F608" i="111" s="1"/>
  <c r="D33" i="111"/>
  <c r="F33" i="111" s="1"/>
  <c r="D273" i="111"/>
  <c r="F273" i="111" s="1"/>
  <c r="D385" i="111"/>
  <c r="F385" i="111" s="1"/>
  <c r="D481" i="111"/>
  <c r="F481" i="111" s="1"/>
  <c r="D577" i="111"/>
  <c r="F577" i="111" s="1"/>
  <c r="E74" i="111"/>
  <c r="E122" i="111"/>
  <c r="E186" i="111"/>
  <c r="E266" i="111"/>
  <c r="E25" i="111"/>
  <c r="E41" i="111"/>
  <c r="E57" i="111"/>
  <c r="E73" i="111"/>
  <c r="E89" i="111"/>
  <c r="E105" i="111"/>
  <c r="E121" i="111"/>
  <c r="E137" i="111"/>
  <c r="E153" i="111"/>
  <c r="E169" i="111"/>
  <c r="E185" i="111"/>
  <c r="E201" i="111"/>
  <c r="E217" i="111"/>
  <c r="E233" i="111"/>
  <c r="E249" i="111"/>
  <c r="E265" i="111"/>
  <c r="E281" i="111"/>
  <c r="E297" i="111"/>
  <c r="E313" i="111"/>
  <c r="E329" i="111"/>
  <c r="E345" i="111"/>
  <c r="E361" i="111"/>
  <c r="E377" i="111"/>
  <c r="E393" i="111"/>
  <c r="E409" i="111"/>
  <c r="E425" i="111"/>
  <c r="E441" i="111"/>
  <c r="E457" i="111"/>
  <c r="E473" i="111"/>
  <c r="E489" i="111"/>
  <c r="E505" i="111"/>
  <c r="E521" i="111"/>
  <c r="E537" i="111"/>
  <c r="E553" i="111"/>
  <c r="E569" i="111"/>
  <c r="E585" i="111"/>
  <c r="E601" i="111"/>
  <c r="D17" i="111"/>
  <c r="F17" i="111" s="1"/>
  <c r="D81" i="111"/>
  <c r="F81" i="111" s="1"/>
  <c r="D129" i="111"/>
  <c r="F129" i="111" s="1"/>
  <c r="D145" i="111"/>
  <c r="F145" i="111" s="1"/>
  <c r="D161" i="111"/>
  <c r="F161" i="111" s="1"/>
  <c r="D177" i="111"/>
  <c r="F177" i="111" s="1"/>
  <c r="D193" i="111"/>
  <c r="F193" i="111" s="1"/>
  <c r="D257" i="111"/>
  <c r="D353" i="111"/>
  <c r="F353" i="111" s="1"/>
  <c r="D465" i="111"/>
  <c r="F465" i="111" s="1"/>
  <c r="D10" i="111"/>
  <c r="E26" i="111"/>
  <c r="E506" i="111"/>
  <c r="D162" i="111"/>
  <c r="F162" i="111" s="1"/>
  <c r="D418" i="111"/>
  <c r="F418" i="111" s="1"/>
  <c r="E106" i="111"/>
  <c r="E522" i="111"/>
  <c r="D178" i="111"/>
  <c r="F178" i="111" s="1"/>
  <c r="D434" i="111"/>
  <c r="F434" i="111" s="1"/>
  <c r="E202" i="111"/>
  <c r="D194" i="111"/>
  <c r="F194" i="111" s="1"/>
  <c r="D450" i="111"/>
  <c r="F450" i="111" s="1"/>
  <c r="E298" i="111"/>
  <c r="D210" i="111"/>
  <c r="F210" i="111" s="1"/>
  <c r="D466" i="111"/>
  <c r="F466" i="111" s="1"/>
  <c r="E570" i="111"/>
  <c r="E586" i="111"/>
  <c r="E554" i="111"/>
  <c r="D482" i="111"/>
  <c r="F482" i="111" s="1"/>
  <c r="E538" i="111"/>
  <c r="E314" i="111"/>
  <c r="D498" i="111"/>
  <c r="F498" i="111" s="1"/>
  <c r="D242" i="111"/>
  <c r="F242" i="111" s="1"/>
  <c r="D226" i="111"/>
  <c r="F226" i="111" s="1"/>
  <c r="E330" i="111"/>
  <c r="E346" i="111"/>
  <c r="E602" i="111"/>
  <c r="D258" i="111"/>
  <c r="F258" i="111" s="1"/>
  <c r="D514" i="111"/>
  <c r="F514" i="111" s="1"/>
  <c r="E362" i="111"/>
  <c r="D18" i="111"/>
  <c r="F18" i="111" s="1"/>
  <c r="D274" i="111"/>
  <c r="F274" i="111" s="1"/>
  <c r="D530" i="111"/>
  <c r="F530" i="111" s="1"/>
  <c r="E474" i="111"/>
  <c r="D146" i="111"/>
  <c r="F146" i="111" s="1"/>
  <c r="E378" i="111"/>
  <c r="D34" i="111"/>
  <c r="F34" i="111" s="1"/>
  <c r="D290" i="111"/>
  <c r="F290" i="111" s="1"/>
  <c r="D546" i="111"/>
  <c r="F546" i="111" s="1"/>
  <c r="D386" i="111"/>
  <c r="F386" i="111" s="1"/>
  <c r="E394" i="111"/>
  <c r="D50" i="111"/>
  <c r="F50" i="111" s="1"/>
  <c r="D306" i="111"/>
  <c r="F306" i="111" s="1"/>
  <c r="D562" i="111"/>
  <c r="F562" i="111" s="1"/>
  <c r="D370" i="111"/>
  <c r="F370" i="111" s="1"/>
  <c r="E410" i="111"/>
  <c r="D66" i="111"/>
  <c r="F66" i="111" s="1"/>
  <c r="D322" i="111"/>
  <c r="F322" i="111" s="1"/>
  <c r="D578" i="111"/>
  <c r="F578" i="111" s="1"/>
  <c r="D594" i="111"/>
  <c r="D402" i="111"/>
  <c r="F402" i="111" s="1"/>
  <c r="E426" i="111"/>
  <c r="D82" i="111"/>
  <c r="D338" i="111"/>
  <c r="D114" i="111"/>
  <c r="F114" i="111" s="1"/>
  <c r="E442" i="111"/>
  <c r="D98" i="111"/>
  <c r="F98" i="111" s="1"/>
  <c r="D354" i="111"/>
  <c r="F354" i="111" s="1"/>
  <c r="D9" i="111"/>
  <c r="E458" i="111"/>
  <c r="D130" i="111"/>
  <c r="F130" i="111" s="1"/>
  <c r="E490" i="111"/>
  <c r="C606" i="111"/>
  <c r="C590" i="111"/>
  <c r="C574" i="111"/>
  <c r="C558" i="111"/>
  <c r="C542" i="111"/>
  <c r="C526" i="111"/>
  <c r="C510" i="111"/>
  <c r="C494" i="111"/>
  <c r="C478" i="111"/>
  <c r="C462" i="111"/>
  <c r="C446" i="111"/>
  <c r="C430" i="111"/>
  <c r="C414" i="111"/>
  <c r="C398" i="111"/>
  <c r="C382" i="111"/>
  <c r="C366" i="111"/>
  <c r="C350" i="111"/>
  <c r="C334" i="111"/>
  <c r="C318" i="111"/>
  <c r="C302" i="111"/>
  <c r="C286" i="111"/>
  <c r="C270" i="111"/>
  <c r="C254" i="111"/>
  <c r="C238" i="111"/>
  <c r="C222" i="111"/>
  <c r="C206" i="111"/>
  <c r="C190" i="111"/>
  <c r="C174" i="111"/>
  <c r="C158" i="111"/>
  <c r="C595" i="111"/>
  <c r="C579" i="111"/>
  <c r="C563" i="111"/>
  <c r="C547" i="111"/>
  <c r="C531" i="111"/>
  <c r="C515" i="111"/>
  <c r="C499" i="111"/>
  <c r="C483" i="111"/>
  <c r="C467" i="111"/>
  <c r="C451" i="111"/>
  <c r="C435" i="111"/>
  <c r="C419" i="111"/>
  <c r="C403" i="111"/>
  <c r="C387" i="111"/>
  <c r="C371" i="111"/>
  <c r="C355" i="111"/>
  <c r="C339" i="111"/>
  <c r="C323" i="111"/>
  <c r="C307" i="111"/>
  <c r="C291" i="111"/>
  <c r="C275" i="111"/>
  <c r="C259" i="111"/>
  <c r="C243" i="111"/>
  <c r="C227" i="111"/>
  <c r="C211" i="111"/>
  <c r="C604" i="111"/>
  <c r="C588" i="111"/>
  <c r="C572" i="111"/>
  <c r="C556" i="111"/>
  <c r="C540" i="111"/>
  <c r="C524" i="111"/>
  <c r="C508" i="111"/>
  <c r="C492" i="111"/>
  <c r="C476" i="111"/>
  <c r="C460" i="111"/>
  <c r="C444" i="111"/>
  <c r="C428" i="111"/>
  <c r="C412" i="111"/>
  <c r="C396" i="111"/>
  <c r="C380" i="111"/>
  <c r="C364" i="111"/>
  <c r="C348" i="111"/>
  <c r="C332" i="111"/>
  <c r="C316" i="111"/>
  <c r="C300" i="111"/>
  <c r="C284" i="111"/>
  <c r="C268" i="111"/>
  <c r="C603" i="111"/>
  <c r="C587" i="111"/>
  <c r="C571" i="111"/>
  <c r="C555" i="111"/>
  <c r="C539" i="111"/>
  <c r="C523" i="111"/>
  <c r="C507" i="111"/>
  <c r="C491" i="111"/>
  <c r="C475" i="111"/>
  <c r="C459" i="111"/>
  <c r="C443" i="111"/>
  <c r="C427" i="111"/>
  <c r="C411" i="111"/>
  <c r="C395" i="111"/>
  <c r="C379" i="111"/>
  <c r="C363" i="111"/>
  <c r="C347" i="111"/>
  <c r="C331" i="111"/>
  <c r="C315" i="111"/>
  <c r="C299" i="111"/>
  <c r="C283" i="111"/>
  <c r="C267" i="111"/>
  <c r="C251" i="111"/>
  <c r="C235" i="111"/>
  <c r="C219" i="111"/>
  <c r="C203" i="111"/>
  <c r="C187" i="111"/>
  <c r="C171" i="111"/>
  <c r="C155" i="111"/>
  <c r="C608" i="111"/>
  <c r="C592" i="111"/>
  <c r="C576" i="111"/>
  <c r="C560" i="111"/>
  <c r="C544" i="111"/>
  <c r="C528" i="111"/>
  <c r="C512" i="111"/>
  <c r="C496" i="111"/>
  <c r="C480" i="111"/>
  <c r="C464" i="111"/>
  <c r="C448" i="111"/>
  <c r="C432" i="111"/>
  <c r="C416" i="111"/>
  <c r="C400" i="111"/>
  <c r="C384" i="111"/>
  <c r="C368" i="111"/>
  <c r="C352" i="111"/>
  <c r="C336" i="111"/>
  <c r="C597" i="111"/>
  <c r="C581" i="111"/>
  <c r="C565" i="111"/>
  <c r="C549" i="111"/>
  <c r="C533" i="111"/>
  <c r="C517" i="111"/>
  <c r="C501" i="111"/>
  <c r="C485" i="111"/>
  <c r="C469" i="111"/>
  <c r="C453" i="111"/>
  <c r="C437" i="111"/>
  <c r="C421" i="111"/>
  <c r="C405" i="111"/>
  <c r="C389" i="111"/>
  <c r="C373" i="111"/>
  <c r="C357" i="111"/>
  <c r="C341" i="111"/>
  <c r="C325" i="111"/>
  <c r="C309" i="111"/>
  <c r="C293" i="111"/>
  <c r="C277" i="111"/>
  <c r="C261" i="111"/>
  <c r="C245" i="111"/>
  <c r="C229" i="111"/>
  <c r="C213" i="111"/>
  <c r="C602" i="111"/>
  <c r="C586" i="111"/>
  <c r="C570" i="111"/>
  <c r="C554" i="111"/>
  <c r="C538" i="111"/>
  <c r="C522" i="111"/>
  <c r="C506" i="111"/>
  <c r="C490" i="111"/>
  <c r="C474" i="111"/>
  <c r="C458" i="111"/>
  <c r="C442" i="111"/>
  <c r="C426" i="111"/>
  <c r="C410" i="111"/>
  <c r="C394" i="111"/>
  <c r="C378" i="111"/>
  <c r="C362" i="111"/>
  <c r="C346" i="111"/>
  <c r="C330" i="111"/>
  <c r="C314" i="111"/>
  <c r="C298" i="111"/>
  <c r="C282" i="111"/>
  <c r="C266" i="111"/>
  <c r="C607" i="111"/>
  <c r="C591" i="111"/>
  <c r="C575" i="111"/>
  <c r="C559" i="111"/>
  <c r="C543" i="111"/>
  <c r="C527" i="111"/>
  <c r="C511" i="111"/>
  <c r="C495" i="111"/>
  <c r="C479" i="111"/>
  <c r="C463" i="111"/>
  <c r="C447" i="111"/>
  <c r="C431" i="111"/>
  <c r="C415" i="111"/>
  <c r="C399" i="111"/>
  <c r="C383" i="111"/>
  <c r="C367" i="111"/>
  <c r="C351" i="111"/>
  <c r="C335" i="111"/>
  <c r="C319" i="111"/>
  <c r="C303" i="111"/>
  <c r="C287" i="111"/>
  <c r="C271" i="111"/>
  <c r="C255" i="111"/>
  <c r="C239" i="111"/>
  <c r="C223" i="111"/>
  <c r="C207" i="111"/>
  <c r="C596" i="111"/>
  <c r="C580" i="111"/>
  <c r="C564" i="111"/>
  <c r="C548" i="111"/>
  <c r="C532" i="111"/>
  <c r="C516" i="111"/>
  <c r="C500" i="111"/>
  <c r="C484" i="111"/>
  <c r="C468" i="111"/>
  <c r="C452" i="111"/>
  <c r="C436" i="111"/>
  <c r="C420" i="111"/>
  <c r="C404" i="111"/>
  <c r="C388" i="111"/>
  <c r="C372" i="111"/>
  <c r="C356" i="111"/>
  <c r="C340" i="111"/>
  <c r="C324" i="111"/>
  <c r="C308" i="111"/>
  <c r="C292" i="111"/>
  <c r="C276" i="111"/>
  <c r="C260" i="111"/>
  <c r="C18" i="111"/>
  <c r="C39" i="111"/>
  <c r="C55" i="111"/>
  <c r="C81" i="111"/>
  <c r="C102" i="111"/>
  <c r="C118" i="111"/>
  <c r="C134" i="111"/>
  <c r="C150" i="111"/>
  <c r="C180" i="111"/>
  <c r="C186" i="111"/>
  <c r="C192" i="111"/>
  <c r="C214" i="111"/>
  <c r="C221" i="111"/>
  <c r="C272" i="111"/>
  <c r="C304" i="111"/>
  <c r="C337" i="111"/>
  <c r="C360" i="111"/>
  <c r="C374" i="111"/>
  <c r="C397" i="111"/>
  <c r="C409" i="111"/>
  <c r="C434" i="111"/>
  <c r="C471" i="111"/>
  <c r="C593" i="111"/>
  <c r="C23" i="111"/>
  <c r="C13" i="111"/>
  <c r="C29" i="111"/>
  <c r="C34" i="111"/>
  <c r="C50" i="111"/>
  <c r="C71" i="111"/>
  <c r="C76" i="111"/>
  <c r="C92" i="111"/>
  <c r="C97" i="111"/>
  <c r="C113" i="111"/>
  <c r="C129" i="111"/>
  <c r="C145" i="111"/>
  <c r="C156" i="111"/>
  <c r="C162" i="111"/>
  <c r="C168" i="111"/>
  <c r="C230" i="111"/>
  <c r="C237" i="111"/>
  <c r="C262" i="111"/>
  <c r="C294" i="111"/>
  <c r="C326" i="111"/>
  <c r="C349" i="111"/>
  <c r="C361" i="111"/>
  <c r="C386" i="111"/>
  <c r="C423" i="111"/>
  <c r="C545" i="111"/>
  <c r="C568" i="111"/>
  <c r="C582" i="111"/>
  <c r="C605" i="111"/>
  <c r="C61" i="111"/>
  <c r="C66" i="111"/>
  <c r="C87" i="111"/>
  <c r="C108" i="111"/>
  <c r="C124" i="111"/>
  <c r="C140" i="111"/>
  <c r="C193" i="111"/>
  <c r="C199" i="111"/>
  <c r="C246" i="111"/>
  <c r="C253" i="111"/>
  <c r="C273" i="111"/>
  <c r="C305" i="111"/>
  <c r="C338" i="111"/>
  <c r="C375" i="111"/>
  <c r="C497" i="111"/>
  <c r="C520" i="111"/>
  <c r="C534" i="111"/>
  <c r="C557" i="111"/>
  <c r="C569" i="111"/>
  <c r="C594" i="111"/>
  <c r="C169" i="111"/>
  <c r="C175" i="111"/>
  <c r="C181" i="111"/>
  <c r="C215" i="111"/>
  <c r="C263" i="111"/>
  <c r="C295" i="111"/>
  <c r="C327" i="111"/>
  <c r="C449" i="111"/>
  <c r="C472" i="111"/>
  <c r="C486" i="111"/>
  <c r="C509" i="111"/>
  <c r="C521" i="111"/>
  <c r="C546" i="111"/>
  <c r="C583" i="111"/>
  <c r="C157" i="111"/>
  <c r="C163" i="111"/>
  <c r="C208" i="111"/>
  <c r="C231" i="111"/>
  <c r="C274" i="111"/>
  <c r="C306" i="111"/>
  <c r="C401" i="111"/>
  <c r="C424" i="111"/>
  <c r="C438" i="111"/>
  <c r="C461" i="111"/>
  <c r="C473" i="111"/>
  <c r="C498" i="111"/>
  <c r="C535" i="111"/>
  <c r="C109" i="111"/>
  <c r="C125" i="111"/>
  <c r="C141" i="111"/>
  <c r="C182" i="111"/>
  <c r="C188" i="111"/>
  <c r="C194" i="111"/>
  <c r="C200" i="111"/>
  <c r="C224" i="111"/>
  <c r="C247" i="111"/>
  <c r="C285" i="111"/>
  <c r="C317" i="111"/>
  <c r="C353" i="111"/>
  <c r="C376" i="111"/>
  <c r="C390" i="111"/>
  <c r="C413" i="111"/>
  <c r="C425" i="111"/>
  <c r="C450" i="111"/>
  <c r="C487" i="111"/>
  <c r="C104" i="111"/>
  <c r="C120" i="111"/>
  <c r="C136" i="111"/>
  <c r="C152" i="111"/>
  <c r="C164" i="111"/>
  <c r="C170" i="111"/>
  <c r="C176" i="111"/>
  <c r="C201" i="111"/>
  <c r="C209" i="111"/>
  <c r="C216" i="111"/>
  <c r="C240" i="111"/>
  <c r="C264" i="111"/>
  <c r="C296" i="111"/>
  <c r="C328" i="111"/>
  <c r="C342" i="111"/>
  <c r="C365" i="111"/>
  <c r="C377" i="111"/>
  <c r="C402" i="111"/>
  <c r="C439" i="111"/>
  <c r="C561" i="111"/>
  <c r="C584" i="111"/>
  <c r="C598" i="111"/>
  <c r="C217" i="111"/>
  <c r="C225" i="111"/>
  <c r="C232" i="111"/>
  <c r="C256" i="111"/>
  <c r="C265" i="111"/>
  <c r="C297" i="111"/>
  <c r="C329" i="111"/>
  <c r="C354" i="111"/>
  <c r="C391" i="111"/>
  <c r="C513" i="111"/>
  <c r="C536" i="111"/>
  <c r="C550" i="111"/>
  <c r="C573" i="111"/>
  <c r="C585" i="111"/>
  <c r="C177" i="111"/>
  <c r="C183" i="111"/>
  <c r="C189" i="111"/>
  <c r="C195" i="111"/>
  <c r="C202" i="111"/>
  <c r="C233" i="111"/>
  <c r="C241" i="111"/>
  <c r="C248" i="111"/>
  <c r="C288" i="111"/>
  <c r="C320" i="111"/>
  <c r="C343" i="111"/>
  <c r="C465" i="111"/>
  <c r="C488" i="111"/>
  <c r="C502" i="111"/>
  <c r="C525" i="111"/>
  <c r="C537" i="111"/>
  <c r="C562" i="111"/>
  <c r="C599" i="111"/>
  <c r="C105" i="111"/>
  <c r="C121" i="111"/>
  <c r="C137" i="111"/>
  <c r="C153" i="111"/>
  <c r="C159" i="111"/>
  <c r="C165" i="111"/>
  <c r="C210" i="111"/>
  <c r="C218" i="111"/>
  <c r="C249" i="111"/>
  <c r="C257" i="111"/>
  <c r="C278" i="111"/>
  <c r="C310" i="111"/>
  <c r="C417" i="111"/>
  <c r="C440" i="111"/>
  <c r="C454" i="111"/>
  <c r="C477" i="111"/>
  <c r="C489" i="111"/>
  <c r="C514" i="111"/>
  <c r="C551" i="111"/>
  <c r="C196" i="111"/>
  <c r="C226" i="111"/>
  <c r="C234" i="111"/>
  <c r="C289" i="111"/>
  <c r="C321" i="111"/>
  <c r="C369" i="111"/>
  <c r="C392" i="111"/>
  <c r="C406" i="111"/>
  <c r="C429" i="111"/>
  <c r="C441" i="111"/>
  <c r="C466" i="111"/>
  <c r="C503" i="111"/>
  <c r="C11" i="111"/>
  <c r="C27" i="111"/>
  <c r="C32" i="111"/>
  <c r="C48" i="111"/>
  <c r="C69" i="111"/>
  <c r="C90" i="111"/>
  <c r="C95" i="111"/>
  <c r="C111" i="111"/>
  <c r="C127" i="111"/>
  <c r="C143" i="111"/>
  <c r="C166" i="111"/>
  <c r="C172" i="111"/>
  <c r="C178" i="111"/>
  <c r="C184" i="111"/>
  <c r="C242" i="111"/>
  <c r="C250" i="111"/>
  <c r="C279" i="111"/>
  <c r="C311" i="111"/>
  <c r="C344" i="111"/>
  <c r="C358" i="111"/>
  <c r="C381" i="111"/>
  <c r="C393" i="111"/>
  <c r="C418" i="111"/>
  <c r="C455" i="111"/>
  <c r="C577" i="111"/>
  <c r="C600" i="111"/>
  <c r="C22" i="111"/>
  <c r="C43" i="111"/>
  <c r="C59" i="111"/>
  <c r="C64" i="111"/>
  <c r="C85" i="111"/>
  <c r="C106" i="111"/>
  <c r="C122" i="111"/>
  <c r="C138" i="111"/>
  <c r="C154" i="111"/>
  <c r="C160" i="111"/>
  <c r="C204" i="111"/>
  <c r="C258" i="111"/>
  <c r="C290" i="111"/>
  <c r="C322" i="111"/>
  <c r="C333" i="111"/>
  <c r="C345" i="111"/>
  <c r="C370" i="111"/>
  <c r="C407" i="111"/>
  <c r="C529" i="111"/>
  <c r="C552" i="111"/>
  <c r="C566" i="111"/>
  <c r="C589" i="111"/>
  <c r="C601" i="111"/>
  <c r="G186" i="111"/>
  <c r="G171" i="111"/>
  <c r="G174" i="111"/>
  <c r="C44" i="110"/>
  <c r="C88" i="110"/>
  <c r="C149" i="110"/>
  <c r="C195" i="110"/>
  <c r="C45" i="110"/>
  <c r="C111" i="110"/>
  <c r="F9" i="110"/>
  <c r="C90" i="110"/>
  <c r="C12" i="110"/>
  <c r="C47" i="110"/>
  <c r="C69" i="110"/>
  <c r="C91" i="110"/>
  <c r="F157" i="110"/>
  <c r="C196" i="110"/>
  <c r="C244" i="110"/>
  <c r="C358" i="110"/>
  <c r="C242" i="110"/>
  <c r="C31" i="110"/>
  <c r="C53" i="110"/>
  <c r="C123" i="110"/>
  <c r="C159" i="110"/>
  <c r="C189" i="110"/>
  <c r="C340" i="110"/>
  <c r="C110" i="110"/>
  <c r="C236" i="110"/>
  <c r="C23" i="110"/>
  <c r="C68" i="110"/>
  <c r="C192" i="110"/>
  <c r="C13" i="110"/>
  <c r="C33" i="110"/>
  <c r="C93" i="110"/>
  <c r="C55" i="110"/>
  <c r="C77" i="110"/>
  <c r="C95" i="110"/>
  <c r="C126" i="110"/>
  <c r="C25" i="110"/>
  <c r="C120" i="110"/>
  <c r="C104" i="110"/>
  <c r="C167" i="110"/>
  <c r="C392" i="110"/>
  <c r="F14" i="110"/>
  <c r="C60" i="110"/>
  <c r="C71" i="110"/>
  <c r="C152" i="110"/>
  <c r="C173" i="110"/>
  <c r="C197" i="110"/>
  <c r="C258" i="110"/>
  <c r="C299" i="110"/>
  <c r="C404" i="110"/>
  <c r="C15" i="110"/>
  <c r="F25" i="110"/>
  <c r="C37" i="110"/>
  <c r="C49" i="110"/>
  <c r="C84" i="110"/>
  <c r="F95" i="110"/>
  <c r="C130" i="110"/>
  <c r="C61" i="110"/>
  <c r="C73" i="110"/>
  <c r="C98" i="110"/>
  <c r="C114" i="110"/>
  <c r="C175" i="110"/>
  <c r="C202" i="110"/>
  <c r="C228" i="110"/>
  <c r="C17" i="110"/>
  <c r="C28" i="110"/>
  <c r="F49" i="110"/>
  <c r="C85" i="110"/>
  <c r="C131" i="110"/>
  <c r="C154" i="110"/>
  <c r="C205" i="110"/>
  <c r="C39" i="110"/>
  <c r="C207" i="110"/>
  <c r="C229" i="110"/>
  <c r="C267" i="110"/>
  <c r="C436" i="110"/>
  <c r="F28" i="110"/>
  <c r="C52" i="110"/>
  <c r="C63" i="110"/>
  <c r="C101" i="110"/>
  <c r="C117" i="110"/>
  <c r="C271" i="110"/>
  <c r="C9" i="110"/>
  <c r="C29" i="110"/>
  <c r="C41" i="110"/>
  <c r="C76" i="110"/>
  <c r="C134" i="110"/>
  <c r="C183" i="110"/>
  <c r="F20" i="110"/>
  <c r="F73" i="110"/>
  <c r="G9" i="110"/>
  <c r="H9" i="110"/>
  <c r="F107" i="110"/>
  <c r="F92" i="110"/>
  <c r="H8" i="109"/>
  <c r="G446" i="112"/>
  <c r="G454" i="112"/>
  <c r="G462" i="112"/>
  <c r="G470" i="112"/>
  <c r="G478" i="112"/>
  <c r="G486" i="112"/>
  <c r="G494" i="112"/>
  <c r="G502" i="112"/>
  <c r="G510" i="112"/>
  <c r="G518" i="112"/>
  <c r="G526" i="112"/>
  <c r="G534" i="112"/>
  <c r="G542" i="112"/>
  <c r="G550" i="112"/>
  <c r="G558" i="112"/>
  <c r="G566" i="112"/>
  <c r="G574" i="112"/>
  <c r="G582" i="112"/>
  <c r="G590" i="112"/>
  <c r="G598" i="112"/>
  <c r="G606" i="112"/>
  <c r="G9" i="112"/>
  <c r="G441" i="112"/>
  <c r="G449" i="112"/>
  <c r="G457" i="112"/>
  <c r="G465" i="112"/>
  <c r="G473" i="112"/>
  <c r="G481" i="112"/>
  <c r="G489" i="112"/>
  <c r="G497" i="112"/>
  <c r="G505" i="112"/>
  <c r="G513" i="112"/>
  <c r="G521" i="112"/>
  <c r="G529" i="112"/>
  <c r="G537" i="112"/>
  <c r="G545" i="112"/>
  <c r="G553" i="112"/>
  <c r="G561" i="112"/>
  <c r="G569" i="112"/>
  <c r="G577" i="112"/>
  <c r="G585" i="112"/>
  <c r="G593" i="112"/>
  <c r="G601" i="112"/>
  <c r="G444" i="112"/>
  <c r="G452" i="112"/>
  <c r="G460" i="112"/>
  <c r="G468" i="112"/>
  <c r="G476" i="112"/>
  <c r="G484" i="112"/>
  <c r="G492" i="112"/>
  <c r="G500" i="112"/>
  <c r="G508" i="112"/>
  <c r="G516" i="112"/>
  <c r="G524" i="112"/>
  <c r="G532" i="112"/>
  <c r="G540" i="112"/>
  <c r="G548" i="112"/>
  <c r="G556" i="112"/>
  <c r="G564" i="112"/>
  <c r="G572" i="112"/>
  <c r="G580" i="112"/>
  <c r="G588" i="112"/>
  <c r="G596" i="112"/>
  <c r="G604" i="112"/>
  <c r="G447" i="112"/>
  <c r="G455" i="112"/>
  <c r="G463" i="112"/>
  <c r="G471" i="112"/>
  <c r="G479" i="112"/>
  <c r="G487" i="112"/>
  <c r="G495" i="112"/>
  <c r="G503" i="112"/>
  <c r="G511" i="112"/>
  <c r="G519" i="112"/>
  <c r="G527" i="112"/>
  <c r="G535" i="112"/>
  <c r="G543" i="112"/>
  <c r="G551" i="112"/>
  <c r="G559" i="112"/>
  <c r="G567" i="112"/>
  <c r="G575" i="112"/>
  <c r="G583" i="112"/>
  <c r="G591" i="112"/>
  <c r="G599" i="112"/>
  <c r="G607" i="112"/>
  <c r="G10" i="112"/>
  <c r="G11" i="112" s="1"/>
  <c r="G12" i="112" s="1"/>
  <c r="G13" i="112" s="1"/>
  <c r="G14" i="112" s="1"/>
  <c r="G15" i="112" s="1"/>
  <c r="G16" i="112" s="1"/>
  <c r="G17" i="112" s="1"/>
  <c r="G18" i="112" s="1"/>
  <c r="G19" i="112" s="1"/>
  <c r="G20" i="112" s="1"/>
  <c r="G21" i="112" s="1"/>
  <c r="G22" i="112" s="1"/>
  <c r="G23" i="112" s="1"/>
  <c r="G24" i="112" s="1"/>
  <c r="G25" i="112" s="1"/>
  <c r="G26" i="112" s="1"/>
  <c r="G27" i="112" s="1"/>
  <c r="G28" i="112" s="1"/>
  <c r="G29" i="112" s="1"/>
  <c r="G30" i="112" s="1"/>
  <c r="G31" i="112" s="1"/>
  <c r="G32" i="112" s="1"/>
  <c r="G33" i="112" s="1"/>
  <c r="G34" i="112" s="1"/>
  <c r="G35" i="112" s="1"/>
  <c r="G36" i="112" s="1"/>
  <c r="G37" i="112" s="1"/>
  <c r="G38" i="112" s="1"/>
  <c r="G39" i="112" s="1"/>
  <c r="G40" i="112" s="1"/>
  <c r="G41" i="112" s="1"/>
  <c r="G42" i="112" s="1"/>
  <c r="G43" i="112" s="1"/>
  <c r="G44" i="112" s="1"/>
  <c r="G45" i="112" s="1"/>
  <c r="G46" i="112" s="1"/>
  <c r="G47" i="112" s="1"/>
  <c r="G48" i="112" s="1"/>
  <c r="G49" i="112" s="1"/>
  <c r="G50" i="112" s="1"/>
  <c r="G51" i="112" s="1"/>
  <c r="G52" i="112" s="1"/>
  <c r="G53" i="112" s="1"/>
  <c r="G54" i="112" s="1"/>
  <c r="G55" i="112" s="1"/>
  <c r="G56" i="112" s="1"/>
  <c r="G57" i="112" s="1"/>
  <c r="G58" i="112" s="1"/>
  <c r="G59" i="112" s="1"/>
  <c r="G60" i="112" s="1"/>
  <c r="G61" i="112" s="1"/>
  <c r="G62" i="112" s="1"/>
  <c r="G63" i="112" s="1"/>
  <c r="G64" i="112" s="1"/>
  <c r="G65" i="112" s="1"/>
  <c r="G66" i="112" s="1"/>
  <c r="G67" i="112" s="1"/>
  <c r="G68" i="112" s="1"/>
  <c r="G69" i="112" s="1"/>
  <c r="G70" i="112" s="1"/>
  <c r="G71" i="112" s="1"/>
  <c r="G72" i="112" s="1"/>
  <c r="G73" i="112" s="1"/>
  <c r="G74" i="112" s="1"/>
  <c r="G75" i="112" s="1"/>
  <c r="G76" i="112" s="1"/>
  <c r="G77" i="112" s="1"/>
  <c r="G78" i="112" s="1"/>
  <c r="G79" i="112" s="1"/>
  <c r="G80" i="112" s="1"/>
  <c r="G81" i="112" s="1"/>
  <c r="G82" i="112" s="1"/>
  <c r="G83" i="112" s="1"/>
  <c r="G84" i="112" s="1"/>
  <c r="G85" i="112" s="1"/>
  <c r="G86" i="112" s="1"/>
  <c r="G87" i="112" s="1"/>
  <c r="G88" i="112" s="1"/>
  <c r="G89" i="112" s="1"/>
  <c r="G90" i="112" s="1"/>
  <c r="G91" i="112" s="1"/>
  <c r="G92" i="112" s="1"/>
  <c r="G93" i="112" s="1"/>
  <c r="G94" i="112" s="1"/>
  <c r="G95" i="112" s="1"/>
  <c r="G96" i="112" s="1"/>
  <c r="G97" i="112" s="1"/>
  <c r="G98" i="112" s="1"/>
  <c r="G99" i="112" s="1"/>
  <c r="G100" i="112" s="1"/>
  <c r="G101" i="112" s="1"/>
  <c r="G102" i="112" s="1"/>
  <c r="G103" i="112" s="1"/>
  <c r="G104" i="112" s="1"/>
  <c r="G105" i="112" s="1"/>
  <c r="G106" i="112" s="1"/>
  <c r="G107" i="112" s="1"/>
  <c r="G108" i="112" s="1"/>
  <c r="G109" i="112" s="1"/>
  <c r="G110" i="112" s="1"/>
  <c r="G111" i="112" s="1"/>
  <c r="G112" i="112" s="1"/>
  <c r="G113" i="112" s="1"/>
  <c r="G114" i="112" s="1"/>
  <c r="G115" i="112" s="1"/>
  <c r="G116" i="112" s="1"/>
  <c r="G117" i="112" s="1"/>
  <c r="G118" i="112" s="1"/>
  <c r="G119" i="112" s="1"/>
  <c r="G120" i="112" s="1"/>
  <c r="G121" i="112" s="1"/>
  <c r="G122" i="112" s="1"/>
  <c r="G123" i="112" s="1"/>
  <c r="G124" i="112" s="1"/>
  <c r="G125" i="112" s="1"/>
  <c r="G126" i="112" s="1"/>
  <c r="G127" i="112" s="1"/>
  <c r="G128" i="112" s="1"/>
  <c r="G129" i="112" s="1"/>
  <c r="G130" i="112" s="1"/>
  <c r="G131" i="112" s="1"/>
  <c r="G132" i="112" s="1"/>
  <c r="G133" i="112" s="1"/>
  <c r="G134" i="112" s="1"/>
  <c r="G135" i="112" s="1"/>
  <c r="G136" i="112" s="1"/>
  <c r="G137" i="112" s="1"/>
  <c r="G138" i="112" s="1"/>
  <c r="G139" i="112" s="1"/>
  <c r="G140" i="112" s="1"/>
  <c r="G141" i="112" s="1"/>
  <c r="G142" i="112" s="1"/>
  <c r="G143" i="112" s="1"/>
  <c r="G144" i="112" s="1"/>
  <c r="G145" i="112" s="1"/>
  <c r="G146" i="112" s="1"/>
  <c r="G147" i="112" s="1"/>
  <c r="G148" i="112" s="1"/>
  <c r="G149" i="112" s="1"/>
  <c r="G150" i="112" s="1"/>
  <c r="G151" i="112" s="1"/>
  <c r="G152" i="112" s="1"/>
  <c r="G153" i="112" s="1"/>
  <c r="G154" i="112" s="1"/>
  <c r="G155" i="112" s="1"/>
  <c r="G156" i="112" s="1"/>
  <c r="G157" i="112" s="1"/>
  <c r="G158" i="112" s="1"/>
  <c r="G159" i="112" s="1"/>
  <c r="G160" i="112" s="1"/>
  <c r="G161" i="112" s="1"/>
  <c r="G162" i="112" s="1"/>
  <c r="G163" i="112" s="1"/>
  <c r="G164" i="112" s="1"/>
  <c r="G165" i="112" s="1"/>
  <c r="G166" i="112" s="1"/>
  <c r="G167" i="112" s="1"/>
  <c r="G168" i="112" s="1"/>
  <c r="G169" i="112" s="1"/>
  <c r="G170" i="112" s="1"/>
  <c r="G171" i="112" s="1"/>
  <c r="G172" i="112" s="1"/>
  <c r="G173" i="112" s="1"/>
  <c r="G174" i="112" s="1"/>
  <c r="G175" i="112" s="1"/>
  <c r="G176" i="112" s="1"/>
  <c r="G177" i="112" s="1"/>
  <c r="G178" i="112" s="1"/>
  <c r="G179" i="112" s="1"/>
  <c r="G180" i="112" s="1"/>
  <c r="G181" i="112" s="1"/>
  <c r="G182" i="112" s="1"/>
  <c r="G183" i="112" s="1"/>
  <c r="G184" i="112" s="1"/>
  <c r="G185" i="112" s="1"/>
  <c r="G186" i="112" s="1"/>
  <c r="G187" i="112" s="1"/>
  <c r="G188" i="112" s="1"/>
  <c r="G189" i="112" s="1"/>
  <c r="G190" i="112" s="1"/>
  <c r="G191" i="112" s="1"/>
  <c r="G192" i="112" s="1"/>
  <c r="G193" i="112" s="1"/>
  <c r="G194" i="112" s="1"/>
  <c r="G195" i="112" s="1"/>
  <c r="G196" i="112" s="1"/>
  <c r="G197" i="112" s="1"/>
  <c r="G198" i="112" s="1"/>
  <c r="G199" i="112" s="1"/>
  <c r="G200" i="112" s="1"/>
  <c r="G201" i="112" s="1"/>
  <c r="G202" i="112" s="1"/>
  <c r="G203" i="112" s="1"/>
  <c r="G204" i="112" s="1"/>
  <c r="G205" i="112" s="1"/>
  <c r="G206" i="112" s="1"/>
  <c r="G207" i="112" s="1"/>
  <c r="G208" i="112" s="1"/>
  <c r="G209" i="112" s="1"/>
  <c r="G210" i="112" s="1"/>
  <c r="G211" i="112" s="1"/>
  <c r="G212" i="112" s="1"/>
  <c r="G213" i="112" s="1"/>
  <c r="G214" i="112" s="1"/>
  <c r="G215" i="112" s="1"/>
  <c r="G216" i="112" s="1"/>
  <c r="G217" i="112" s="1"/>
  <c r="G218" i="112" s="1"/>
  <c r="G219" i="112" s="1"/>
  <c r="G220" i="112" s="1"/>
  <c r="G221" i="112" s="1"/>
  <c r="G222" i="112" s="1"/>
  <c r="G223" i="112" s="1"/>
  <c r="G224" i="112" s="1"/>
  <c r="G225" i="112" s="1"/>
  <c r="G226" i="112" s="1"/>
  <c r="G227" i="112" s="1"/>
  <c r="G228" i="112" s="1"/>
  <c r="G229" i="112" s="1"/>
  <c r="G230" i="112" s="1"/>
  <c r="G231" i="112" s="1"/>
  <c r="G232" i="112" s="1"/>
  <c r="G233" i="112" s="1"/>
  <c r="G234" i="112" s="1"/>
  <c r="G235" i="112" s="1"/>
  <c r="G236" i="112" s="1"/>
  <c r="G237" i="112" s="1"/>
  <c r="G238" i="112" s="1"/>
  <c r="G239" i="112" s="1"/>
  <c r="G240" i="112" s="1"/>
  <c r="G241" i="112" s="1"/>
  <c r="G242" i="112" s="1"/>
  <c r="G243" i="112" s="1"/>
  <c r="G244" i="112" s="1"/>
  <c r="G245" i="112" s="1"/>
  <c r="G246" i="112" s="1"/>
  <c r="G247" i="112" s="1"/>
  <c r="G248" i="112" s="1"/>
  <c r="G249" i="112" s="1"/>
  <c r="G250" i="112" s="1"/>
  <c r="G251" i="112" s="1"/>
  <c r="G252" i="112" s="1"/>
  <c r="G253" i="112" s="1"/>
  <c r="G254" i="112" s="1"/>
  <c r="G255" i="112" s="1"/>
  <c r="G256" i="112" s="1"/>
  <c r="G257" i="112" s="1"/>
  <c r="G258" i="112" s="1"/>
  <c r="G259" i="112" s="1"/>
  <c r="G260" i="112" s="1"/>
  <c r="G261" i="112" s="1"/>
  <c r="G262" i="112" s="1"/>
  <c r="G263" i="112" s="1"/>
  <c r="G264" i="112" s="1"/>
  <c r="G265" i="112" s="1"/>
  <c r="G266" i="112" s="1"/>
  <c r="G267" i="112" s="1"/>
  <c r="G268" i="112" s="1"/>
  <c r="G269" i="112" s="1"/>
  <c r="G270" i="112" s="1"/>
  <c r="G271" i="112" s="1"/>
  <c r="G272" i="112" s="1"/>
  <c r="G273" i="112" s="1"/>
  <c r="G274" i="112" s="1"/>
  <c r="G275" i="112" s="1"/>
  <c r="G276" i="112" s="1"/>
  <c r="G277" i="112" s="1"/>
  <c r="G278" i="112" s="1"/>
  <c r="G279" i="112" s="1"/>
  <c r="G280" i="112" s="1"/>
  <c r="G281" i="112" s="1"/>
  <c r="G282" i="112" s="1"/>
  <c r="G283" i="112" s="1"/>
  <c r="G284" i="112" s="1"/>
  <c r="G285" i="112" s="1"/>
  <c r="G286" i="112" s="1"/>
  <c r="G287" i="112" s="1"/>
  <c r="G288" i="112" s="1"/>
  <c r="G289" i="112" s="1"/>
  <c r="G290" i="112" s="1"/>
  <c r="G291" i="112" s="1"/>
  <c r="G292" i="112" s="1"/>
  <c r="G293" i="112" s="1"/>
  <c r="G294" i="112" s="1"/>
  <c r="G295" i="112" s="1"/>
  <c r="G296" i="112" s="1"/>
  <c r="G297" i="112" s="1"/>
  <c r="G298" i="112" s="1"/>
  <c r="G299" i="112" s="1"/>
  <c r="G300" i="112" s="1"/>
  <c r="G301" i="112" s="1"/>
  <c r="G302" i="112" s="1"/>
  <c r="G303" i="112" s="1"/>
  <c r="G304" i="112" s="1"/>
  <c r="G305" i="112" s="1"/>
  <c r="G306" i="112" s="1"/>
  <c r="G307" i="112" s="1"/>
  <c r="G308" i="112" s="1"/>
  <c r="G309" i="112" s="1"/>
  <c r="G310" i="112" s="1"/>
  <c r="G311" i="112" s="1"/>
  <c r="G312" i="112" s="1"/>
  <c r="G313" i="112" s="1"/>
  <c r="G314" i="112" s="1"/>
  <c r="G315" i="112" s="1"/>
  <c r="G316" i="112" s="1"/>
  <c r="G317" i="112" s="1"/>
  <c r="G318" i="112" s="1"/>
  <c r="G319" i="112" s="1"/>
  <c r="G320" i="112" s="1"/>
  <c r="G321" i="112" s="1"/>
  <c r="G322" i="112" s="1"/>
  <c r="G323" i="112" s="1"/>
  <c r="G324" i="112" s="1"/>
  <c r="G325" i="112" s="1"/>
  <c r="G326" i="112" s="1"/>
  <c r="G327" i="112" s="1"/>
  <c r="G328" i="112" s="1"/>
  <c r="G329" i="112" s="1"/>
  <c r="G330" i="112" s="1"/>
  <c r="G331" i="112" s="1"/>
  <c r="G332" i="112" s="1"/>
  <c r="G333" i="112" s="1"/>
  <c r="G334" i="112" s="1"/>
  <c r="G335" i="112" s="1"/>
  <c r="G336" i="112" s="1"/>
  <c r="G337" i="112" s="1"/>
  <c r="G338" i="112" s="1"/>
  <c r="G339" i="112" s="1"/>
  <c r="G340" i="112" s="1"/>
  <c r="G341" i="112" s="1"/>
  <c r="G342" i="112" s="1"/>
  <c r="G343" i="112" s="1"/>
  <c r="G344" i="112" s="1"/>
  <c r="G345" i="112" s="1"/>
  <c r="G346" i="112" s="1"/>
  <c r="G347" i="112" s="1"/>
  <c r="G348" i="112" s="1"/>
  <c r="G349" i="112" s="1"/>
  <c r="G350" i="112" s="1"/>
  <c r="G351" i="112" s="1"/>
  <c r="G352" i="112" s="1"/>
  <c r="G353" i="112" s="1"/>
  <c r="G354" i="112" s="1"/>
  <c r="G355" i="112" s="1"/>
  <c r="G356" i="112" s="1"/>
  <c r="G357" i="112" s="1"/>
  <c r="G358" i="112" s="1"/>
  <c r="G359" i="112" s="1"/>
  <c r="G360" i="112" s="1"/>
  <c r="G361" i="112" s="1"/>
  <c r="G362" i="112" s="1"/>
  <c r="G363" i="112" s="1"/>
  <c r="G364" i="112" s="1"/>
  <c r="G365" i="112" s="1"/>
  <c r="G366" i="112" s="1"/>
  <c r="G367" i="112" s="1"/>
  <c r="G368" i="112" s="1"/>
  <c r="G369" i="112" s="1"/>
  <c r="G370" i="112" s="1"/>
  <c r="G371" i="112" s="1"/>
  <c r="G372" i="112" s="1"/>
  <c r="G373" i="112" s="1"/>
  <c r="G374" i="112" s="1"/>
  <c r="G375" i="112" s="1"/>
  <c r="G376" i="112" s="1"/>
  <c r="G377" i="112" s="1"/>
  <c r="G378" i="112" s="1"/>
  <c r="G379" i="112" s="1"/>
  <c r="G380" i="112" s="1"/>
  <c r="G381" i="112" s="1"/>
  <c r="G382" i="112" s="1"/>
  <c r="G383" i="112" s="1"/>
  <c r="G384" i="112" s="1"/>
  <c r="G385" i="112" s="1"/>
  <c r="G386" i="112" s="1"/>
  <c r="G387" i="112" s="1"/>
  <c r="G388" i="112" s="1"/>
  <c r="G389" i="112" s="1"/>
  <c r="G390" i="112" s="1"/>
  <c r="G391" i="112" s="1"/>
  <c r="G392" i="112" s="1"/>
  <c r="G393" i="112" s="1"/>
  <c r="G394" i="112" s="1"/>
  <c r="G395" i="112" s="1"/>
  <c r="G396" i="112" s="1"/>
  <c r="G397" i="112" s="1"/>
  <c r="G398" i="112" s="1"/>
  <c r="G399" i="112" s="1"/>
  <c r="G400" i="112" s="1"/>
  <c r="G401" i="112" s="1"/>
  <c r="G402" i="112" s="1"/>
  <c r="G403" i="112" s="1"/>
  <c r="G404" i="112" s="1"/>
  <c r="G405" i="112" s="1"/>
  <c r="G406" i="112" s="1"/>
  <c r="G407" i="112" s="1"/>
  <c r="G408" i="112" s="1"/>
  <c r="G409" i="112" s="1"/>
  <c r="G410" i="112" s="1"/>
  <c r="G411" i="112" s="1"/>
  <c r="G412" i="112" s="1"/>
  <c r="G413" i="112" s="1"/>
  <c r="G414" i="112" s="1"/>
  <c r="G415" i="112" s="1"/>
  <c r="G416" i="112" s="1"/>
  <c r="G417" i="112" s="1"/>
  <c r="G418" i="112" s="1"/>
  <c r="G419" i="112" s="1"/>
  <c r="G420" i="112" s="1"/>
  <c r="G421" i="112" s="1"/>
  <c r="G422" i="112" s="1"/>
  <c r="G423" i="112" s="1"/>
  <c r="G424" i="112" s="1"/>
  <c r="G425" i="112" s="1"/>
  <c r="G426" i="112" s="1"/>
  <c r="G427" i="112" s="1"/>
  <c r="G428" i="112" s="1"/>
  <c r="G429" i="112" s="1"/>
  <c r="G430" i="112" s="1"/>
  <c r="G431" i="112" s="1"/>
  <c r="G432" i="112" s="1"/>
  <c r="G433" i="112" s="1"/>
  <c r="G434" i="112" s="1"/>
  <c r="G435" i="112" s="1"/>
  <c r="G436" i="112" s="1"/>
  <c r="G437" i="112" s="1"/>
  <c r="G438" i="112" s="1"/>
  <c r="G439" i="112" s="1"/>
  <c r="G440" i="112" s="1"/>
  <c r="G442" i="112"/>
  <c r="G450" i="112"/>
  <c r="G458" i="112"/>
  <c r="G466" i="112"/>
  <c r="G474" i="112"/>
  <c r="G482" i="112"/>
  <c r="G490" i="112"/>
  <c r="G498" i="112"/>
  <c r="G506" i="112"/>
  <c r="G514" i="112"/>
  <c r="G522" i="112"/>
  <c r="G530" i="112"/>
  <c r="G538" i="112"/>
  <c r="G546" i="112"/>
  <c r="G554" i="112"/>
  <c r="G562" i="112"/>
  <c r="G570" i="112"/>
  <c r="G578" i="112"/>
  <c r="G586" i="112"/>
  <c r="G594" i="112"/>
  <c r="G602" i="112"/>
  <c r="G445" i="112"/>
  <c r="G453" i="112"/>
  <c r="G461" i="112"/>
  <c r="G469" i="112"/>
  <c r="G477" i="112"/>
  <c r="G485" i="112"/>
  <c r="G493" i="112"/>
  <c r="G501" i="112"/>
  <c r="G509" i="112"/>
  <c r="G517" i="112"/>
  <c r="G525" i="112"/>
  <c r="G533" i="112"/>
  <c r="G541" i="112"/>
  <c r="G549" i="112"/>
  <c r="G557" i="112"/>
  <c r="G565" i="112"/>
  <c r="G573" i="112"/>
  <c r="G581" i="112"/>
  <c r="G589" i="112"/>
  <c r="G597" i="112"/>
  <c r="G605" i="112"/>
  <c r="G448" i="112"/>
  <c r="G456" i="112"/>
  <c r="G464" i="112"/>
  <c r="G472" i="112"/>
  <c r="G480" i="112"/>
  <c r="G488" i="112"/>
  <c r="G496" i="112"/>
  <c r="G504" i="112"/>
  <c r="G512" i="112"/>
  <c r="G520" i="112"/>
  <c r="G528" i="112"/>
  <c r="G536" i="112"/>
  <c r="G544" i="112"/>
  <c r="G552" i="112"/>
  <c r="G560" i="112"/>
  <c r="G568" i="112"/>
  <c r="G576" i="112"/>
  <c r="G584" i="112"/>
  <c r="G592" i="112"/>
  <c r="G600" i="112"/>
  <c r="G366" i="111"/>
  <c r="G195" i="111"/>
  <c r="G198" i="111"/>
  <c r="G210" i="111"/>
  <c r="G282" i="111"/>
  <c r="G310" i="111"/>
  <c r="G243" i="111"/>
  <c r="G398" i="111"/>
  <c r="G187" i="111"/>
  <c r="G190" i="111"/>
  <c r="G202" i="111"/>
  <c r="G286" i="111"/>
  <c r="G270" i="111"/>
  <c r="G382" i="111"/>
  <c r="G326" i="111"/>
  <c r="G166" i="111"/>
  <c r="G178" i="111"/>
  <c r="G342" i="111"/>
  <c r="G211" i="111"/>
  <c r="G214" i="111"/>
  <c r="G226" i="111"/>
  <c r="G274" i="111"/>
  <c r="G358" i="111"/>
  <c r="G246" i="111"/>
  <c r="G163" i="111"/>
  <c r="G235" i="111"/>
  <c r="G238" i="111"/>
  <c r="G250" i="111"/>
  <c r="G262" i="111"/>
  <c r="G302" i="111"/>
  <c r="G234" i="111"/>
  <c r="G154" i="111"/>
  <c r="G258" i="111"/>
  <c r="G374" i="111"/>
  <c r="G155" i="111"/>
  <c r="G158" i="111"/>
  <c r="G170" i="111"/>
  <c r="G318" i="111"/>
  <c r="G179" i="111"/>
  <c r="G182" i="111"/>
  <c r="G194" i="111"/>
  <c r="G390" i="111"/>
  <c r="G203" i="111"/>
  <c r="G206" i="111"/>
  <c r="G218" i="111"/>
  <c r="G278" i="111"/>
  <c r="G334" i="111"/>
  <c r="G219" i="111"/>
  <c r="G256" i="111"/>
  <c r="G248" i="111"/>
  <c r="G240" i="111"/>
  <c r="G232" i="111"/>
  <c r="G224" i="111"/>
  <c r="G216" i="111"/>
  <c r="G208" i="111"/>
  <c r="G200" i="111"/>
  <c r="G192" i="111"/>
  <c r="G176" i="111"/>
  <c r="G168" i="111"/>
  <c r="G160" i="111"/>
  <c r="G608" i="111"/>
  <c r="G600" i="111"/>
  <c r="G592" i="111"/>
  <c r="G584" i="111"/>
  <c r="G576" i="111"/>
  <c r="G568" i="111"/>
  <c r="G560" i="111"/>
  <c r="G552" i="111"/>
  <c r="G544" i="111"/>
  <c r="G536" i="111"/>
  <c r="G528" i="111"/>
  <c r="G520" i="111"/>
  <c r="G512" i="111"/>
  <c r="G504" i="111"/>
  <c r="G496" i="111"/>
  <c r="G488" i="111"/>
  <c r="G480" i="111"/>
  <c r="G472" i="111"/>
  <c r="G464" i="111"/>
  <c r="G456" i="111"/>
  <c r="G448" i="111"/>
  <c r="G440" i="111"/>
  <c r="G432" i="111"/>
  <c r="G424" i="111"/>
  <c r="G416" i="111"/>
  <c r="G408" i="111"/>
  <c r="G400" i="111"/>
  <c r="G392" i="111"/>
  <c r="G384" i="111"/>
  <c r="G376" i="111"/>
  <c r="G368" i="111"/>
  <c r="G360" i="111"/>
  <c r="G352" i="111"/>
  <c r="G344" i="111"/>
  <c r="G336" i="111"/>
  <c r="G328" i="111"/>
  <c r="G320" i="111"/>
  <c r="G312" i="111"/>
  <c r="G304" i="111"/>
  <c r="G296" i="111"/>
  <c r="G288" i="111"/>
  <c r="G280" i="111"/>
  <c r="G272" i="111"/>
  <c r="G264" i="111"/>
  <c r="G184" i="111"/>
  <c r="G605" i="111"/>
  <c r="G597" i="111"/>
  <c r="G589" i="111"/>
  <c r="G581" i="111"/>
  <c r="G573" i="111"/>
  <c r="G565" i="111"/>
  <c r="G557" i="111"/>
  <c r="G549" i="111"/>
  <c r="G541" i="111"/>
  <c r="G533" i="111"/>
  <c r="G525" i="111"/>
  <c r="G517" i="111"/>
  <c r="G509" i="111"/>
  <c r="G501" i="111"/>
  <c r="G493" i="111"/>
  <c r="G485" i="111"/>
  <c r="G477" i="111"/>
  <c r="G469" i="111"/>
  <c r="G461" i="111"/>
  <c r="G453" i="111"/>
  <c r="G445" i="111"/>
  <c r="G437" i="111"/>
  <c r="G429" i="111"/>
  <c r="G421" i="111"/>
  <c r="G413" i="111"/>
  <c r="G405" i="111"/>
  <c r="G397" i="111"/>
  <c r="G389" i="111"/>
  <c r="G381" i="111"/>
  <c r="G373" i="111"/>
  <c r="G365" i="111"/>
  <c r="G357" i="111"/>
  <c r="G349" i="111"/>
  <c r="G341" i="111"/>
  <c r="G333" i="111"/>
  <c r="G325" i="111"/>
  <c r="G317" i="111"/>
  <c r="G309" i="111"/>
  <c r="G301" i="111"/>
  <c r="G293" i="111"/>
  <c r="G285" i="111"/>
  <c r="G277" i="111"/>
  <c r="G269" i="111"/>
  <c r="G261" i="111"/>
  <c r="G253" i="111"/>
  <c r="G245" i="111"/>
  <c r="G237" i="111"/>
  <c r="G229" i="111"/>
  <c r="G221" i="111"/>
  <c r="G213" i="111"/>
  <c r="G205" i="111"/>
  <c r="G197" i="111"/>
  <c r="G189" i="111"/>
  <c r="G181" i="111"/>
  <c r="G173" i="111"/>
  <c r="G165" i="111"/>
  <c r="G157" i="111"/>
  <c r="G602" i="111"/>
  <c r="G594" i="111"/>
  <c r="G586" i="111"/>
  <c r="G578" i="111"/>
  <c r="G570" i="111"/>
  <c r="G562" i="111"/>
  <c r="G554" i="111"/>
  <c r="G546" i="111"/>
  <c r="G538" i="111"/>
  <c r="G530" i="111"/>
  <c r="G522" i="111"/>
  <c r="G514" i="111"/>
  <c r="G506" i="111"/>
  <c r="G498" i="111"/>
  <c r="G490" i="111"/>
  <c r="G482" i="111"/>
  <c r="G474" i="111"/>
  <c r="G466" i="111"/>
  <c r="G458" i="111"/>
  <c r="G450" i="111"/>
  <c r="G442" i="111"/>
  <c r="G434" i="111"/>
  <c r="G426" i="111"/>
  <c r="G418" i="111"/>
  <c r="G410" i="111"/>
  <c r="G402" i="111"/>
  <c r="G394" i="111"/>
  <c r="G386" i="111"/>
  <c r="G378" i="111"/>
  <c r="G370" i="111"/>
  <c r="G362" i="111"/>
  <c r="G354" i="111"/>
  <c r="G346" i="111"/>
  <c r="G338" i="111"/>
  <c r="G330" i="111"/>
  <c r="G322" i="111"/>
  <c r="G314" i="111"/>
  <c r="G306" i="111"/>
  <c r="G298" i="111"/>
  <c r="G290" i="111"/>
  <c r="G607" i="111"/>
  <c r="G599" i="111"/>
  <c r="G591" i="111"/>
  <c r="G583" i="111"/>
  <c r="G575" i="111"/>
  <c r="G567" i="111"/>
  <c r="G559" i="111"/>
  <c r="G551" i="111"/>
  <c r="G543" i="111"/>
  <c r="G535" i="111"/>
  <c r="G527" i="111"/>
  <c r="G519" i="111"/>
  <c r="G511" i="111"/>
  <c r="G503" i="111"/>
  <c r="G495" i="111"/>
  <c r="G487" i="111"/>
  <c r="G479" i="111"/>
  <c r="G471" i="111"/>
  <c r="G463" i="111"/>
  <c r="G455" i="111"/>
  <c r="G447" i="111"/>
  <c r="G439" i="111"/>
  <c r="G431" i="111"/>
  <c r="G423" i="111"/>
  <c r="G415" i="111"/>
  <c r="G407" i="111"/>
  <c r="G399" i="111"/>
  <c r="G391" i="111"/>
  <c r="G383" i="111"/>
  <c r="G375" i="111"/>
  <c r="G367" i="111"/>
  <c r="G359" i="111"/>
  <c r="G351" i="111"/>
  <c r="G343" i="111"/>
  <c r="G335" i="111"/>
  <c r="G327" i="111"/>
  <c r="G319" i="111"/>
  <c r="G311" i="111"/>
  <c r="G303" i="111"/>
  <c r="G295" i="111"/>
  <c r="G287" i="111"/>
  <c r="G279" i="111"/>
  <c r="G271" i="111"/>
  <c r="G263" i="111"/>
  <c r="G255" i="111"/>
  <c r="G247" i="111"/>
  <c r="G239" i="111"/>
  <c r="G231" i="111"/>
  <c r="G223" i="111"/>
  <c r="G215" i="111"/>
  <c r="G207" i="111"/>
  <c r="G199" i="111"/>
  <c r="G191" i="111"/>
  <c r="G183" i="111"/>
  <c r="G175" i="111"/>
  <c r="G167" i="111"/>
  <c r="G159" i="111"/>
  <c r="G582" i="111"/>
  <c r="G542" i="111"/>
  <c r="G470" i="111"/>
  <c r="G422" i="111"/>
  <c r="G574" i="111"/>
  <c r="G558" i="111"/>
  <c r="G534" i="111"/>
  <c r="G486" i="111"/>
  <c r="G478" i="111"/>
  <c r="G604" i="111"/>
  <c r="G596" i="111"/>
  <c r="G588" i="111"/>
  <c r="G580" i="111"/>
  <c r="G572" i="111"/>
  <c r="G564" i="111"/>
  <c r="G556" i="111"/>
  <c r="G548" i="111"/>
  <c r="G540" i="111"/>
  <c r="G532" i="111"/>
  <c r="G524" i="111"/>
  <c r="G516" i="111"/>
  <c r="G508" i="111"/>
  <c r="G500" i="111"/>
  <c r="G492" i="111"/>
  <c r="G484" i="111"/>
  <c r="G476" i="111"/>
  <c r="G468" i="111"/>
  <c r="G460" i="111"/>
  <c r="G452" i="111"/>
  <c r="G444" i="111"/>
  <c r="G436" i="111"/>
  <c r="G428" i="111"/>
  <c r="G420" i="111"/>
  <c r="G412" i="111"/>
  <c r="G404" i="111"/>
  <c r="G396" i="111"/>
  <c r="G388" i="111"/>
  <c r="G380" i="111"/>
  <c r="G372" i="111"/>
  <c r="G364" i="111"/>
  <c r="G356" i="111"/>
  <c r="G348" i="111"/>
  <c r="G340" i="111"/>
  <c r="G332" i="111"/>
  <c r="G324" i="111"/>
  <c r="G316" i="111"/>
  <c r="G308" i="111"/>
  <c r="G300" i="111"/>
  <c r="G292" i="111"/>
  <c r="G284" i="111"/>
  <c r="G276" i="111"/>
  <c r="G268" i="111"/>
  <c r="G260" i="111"/>
  <c r="G252" i="111"/>
  <c r="G244" i="111"/>
  <c r="G236" i="111"/>
  <c r="G228" i="111"/>
  <c r="G220" i="111"/>
  <c r="G212" i="111"/>
  <c r="G204" i="111"/>
  <c r="G196" i="111"/>
  <c r="G188" i="111"/>
  <c r="G180" i="111"/>
  <c r="G172" i="111"/>
  <c r="G164" i="111"/>
  <c r="G156" i="111"/>
  <c r="G598" i="111"/>
  <c r="G550" i="111"/>
  <c r="G510" i="111"/>
  <c r="G462" i="111"/>
  <c r="G454" i="111"/>
  <c r="G601" i="111"/>
  <c r="G593" i="111"/>
  <c r="G585" i="111"/>
  <c r="G577" i="111"/>
  <c r="G569" i="111"/>
  <c r="G561" i="111"/>
  <c r="G553" i="111"/>
  <c r="G545" i="111"/>
  <c r="G537" i="111"/>
  <c r="G529" i="111"/>
  <c r="G521" i="111"/>
  <c r="G513" i="111"/>
  <c r="G505" i="111"/>
  <c r="G497" i="111"/>
  <c r="G489" i="111"/>
  <c r="G481" i="111"/>
  <c r="G473" i="111"/>
  <c r="G465" i="111"/>
  <c r="G457" i="111"/>
  <c r="G449" i="111"/>
  <c r="G441" i="111"/>
  <c r="G433" i="111"/>
  <c r="G425" i="111"/>
  <c r="G417" i="111"/>
  <c r="G409" i="111"/>
  <c r="G401" i="111"/>
  <c r="G393" i="111"/>
  <c r="G385" i="111"/>
  <c r="G377" i="111"/>
  <c r="G369" i="111"/>
  <c r="G361" i="111"/>
  <c r="G353" i="111"/>
  <c r="G345" i="111"/>
  <c r="G337" i="111"/>
  <c r="G329" i="111"/>
  <c r="G321" i="111"/>
  <c r="G313" i="111"/>
  <c r="G305" i="111"/>
  <c r="G297" i="111"/>
  <c r="G289" i="111"/>
  <c r="G281" i="111"/>
  <c r="G273" i="111"/>
  <c r="G265" i="111"/>
  <c r="G257" i="111"/>
  <c r="G249" i="111"/>
  <c r="G241" i="111"/>
  <c r="G233" i="111"/>
  <c r="G225" i="111"/>
  <c r="G217" i="111"/>
  <c r="G209" i="111"/>
  <c r="G201" i="111"/>
  <c r="G193" i="111"/>
  <c r="G185" i="111"/>
  <c r="G177" i="111"/>
  <c r="G169" i="111"/>
  <c r="G161" i="111"/>
  <c r="G153" i="111"/>
  <c r="G9" i="111"/>
  <c r="G606" i="111"/>
  <c r="G590" i="111"/>
  <c r="G526" i="111"/>
  <c r="G518" i="111"/>
  <c r="G494" i="111"/>
  <c r="G446" i="111"/>
  <c r="G438" i="111"/>
  <c r="G430" i="111"/>
  <c r="G414" i="111"/>
  <c r="G406" i="111"/>
  <c r="G566" i="111"/>
  <c r="G502" i="111"/>
  <c r="G603" i="111"/>
  <c r="G595" i="111"/>
  <c r="G587" i="111"/>
  <c r="G579" i="111"/>
  <c r="G571" i="111"/>
  <c r="G563" i="111"/>
  <c r="G555" i="111"/>
  <c r="G547" i="111"/>
  <c r="G539" i="111"/>
  <c r="G531" i="111"/>
  <c r="G523" i="111"/>
  <c r="G515" i="111"/>
  <c r="G507" i="111"/>
  <c r="G499" i="111"/>
  <c r="G491" i="111"/>
  <c r="G483" i="111"/>
  <c r="G475" i="111"/>
  <c r="G467" i="111"/>
  <c r="G459" i="111"/>
  <c r="G451" i="111"/>
  <c r="G443" i="111"/>
  <c r="G435" i="111"/>
  <c r="G427" i="111"/>
  <c r="G419" i="111"/>
  <c r="G411" i="111"/>
  <c r="G403" i="111"/>
  <c r="G395" i="111"/>
  <c r="G387" i="111"/>
  <c r="G379" i="111"/>
  <c r="G371" i="111"/>
  <c r="G363" i="111"/>
  <c r="G355" i="111"/>
  <c r="G347" i="111"/>
  <c r="G339" i="111"/>
  <c r="G331" i="111"/>
  <c r="G323" i="111"/>
  <c r="G315" i="111"/>
  <c r="G307" i="111"/>
  <c r="G299" i="111"/>
  <c r="G291" i="111"/>
  <c r="G283" i="111"/>
  <c r="G275" i="111"/>
  <c r="G267" i="111"/>
  <c r="G259" i="111"/>
  <c r="G251" i="111"/>
  <c r="G222" i="111"/>
  <c r="G230" i="111"/>
  <c r="G242" i="111"/>
  <c r="G266" i="111"/>
  <c r="G254" i="111"/>
  <c r="G350" i="111"/>
  <c r="G162" i="111"/>
  <c r="G294" i="111"/>
  <c r="F17" i="110"/>
  <c r="F41" i="110"/>
  <c r="F558" i="110"/>
  <c r="C606" i="110"/>
  <c r="C598" i="110"/>
  <c r="C590" i="110"/>
  <c r="C582" i="110"/>
  <c r="C603" i="110"/>
  <c r="C595" i="110"/>
  <c r="C608" i="110"/>
  <c r="C600" i="110"/>
  <c r="C592" i="110"/>
  <c r="C584" i="110"/>
  <c r="C576" i="110"/>
  <c r="C605" i="110"/>
  <c r="C597" i="110"/>
  <c r="C589" i="110"/>
  <c r="C581" i="110"/>
  <c r="C573" i="110"/>
  <c r="C565" i="110"/>
  <c r="C557" i="110"/>
  <c r="C549" i="110"/>
  <c r="C541" i="110"/>
  <c r="C533" i="110"/>
  <c r="C525" i="110"/>
  <c r="C517" i="110"/>
  <c r="C509" i="110"/>
  <c r="C501" i="110"/>
  <c r="C493" i="110"/>
  <c r="C485" i="110"/>
  <c r="C477" i="110"/>
  <c r="C469" i="110"/>
  <c r="C461" i="110"/>
  <c r="C453" i="110"/>
  <c r="C445" i="110"/>
  <c r="C437" i="110"/>
  <c r="C429" i="110"/>
  <c r="C421" i="110"/>
  <c r="C413" i="110"/>
  <c r="C405" i="110"/>
  <c r="C397" i="110"/>
  <c r="C389" i="110"/>
  <c r="C602" i="110"/>
  <c r="C594" i="110"/>
  <c r="C586" i="110"/>
  <c r="C578" i="110"/>
  <c r="C570" i="110"/>
  <c r="C562" i="110"/>
  <c r="C554" i="110"/>
  <c r="C546" i="110"/>
  <c r="C538" i="110"/>
  <c r="C530" i="110"/>
  <c r="C522" i="110"/>
  <c r="C514" i="110"/>
  <c r="C506" i="110"/>
  <c r="C498" i="110"/>
  <c r="C490" i="110"/>
  <c r="C482" i="110"/>
  <c r="C474" i="110"/>
  <c r="C466" i="110"/>
  <c r="C458" i="110"/>
  <c r="C450" i="110"/>
  <c r="C442" i="110"/>
  <c r="C434" i="110"/>
  <c r="C426" i="110"/>
  <c r="C418" i="110"/>
  <c r="C410" i="110"/>
  <c r="C402" i="110"/>
  <c r="C394" i="110"/>
  <c r="F391" i="110"/>
  <c r="C386" i="110"/>
  <c r="C607" i="110"/>
  <c r="C593" i="110"/>
  <c r="C547" i="110"/>
  <c r="C534" i="110"/>
  <c r="C496" i="110"/>
  <c r="C483" i="110"/>
  <c r="C470" i="110"/>
  <c r="C449" i="110"/>
  <c r="C414" i="110"/>
  <c r="C383" i="110"/>
  <c r="C375" i="110"/>
  <c r="C367" i="110"/>
  <c r="C359" i="110"/>
  <c r="C351" i="110"/>
  <c r="C343" i="110"/>
  <c r="C335" i="110"/>
  <c r="C327" i="110"/>
  <c r="C319" i="110"/>
  <c r="C311" i="110"/>
  <c r="C303" i="110"/>
  <c r="C591" i="110"/>
  <c r="C521" i="110"/>
  <c r="C508" i="110"/>
  <c r="C495" i="110"/>
  <c r="C457" i="110"/>
  <c r="C441" i="110"/>
  <c r="C574" i="110"/>
  <c r="C569" i="110"/>
  <c r="C564" i="110"/>
  <c r="C560" i="110"/>
  <c r="C555" i="110"/>
  <c r="C542" i="110"/>
  <c r="C504" i="110"/>
  <c r="C491" i="110"/>
  <c r="C478" i="110"/>
  <c r="C604" i="110"/>
  <c r="C580" i="110"/>
  <c r="C559" i="110"/>
  <c r="C529" i="110"/>
  <c r="C516" i="110"/>
  <c r="C503" i="110"/>
  <c r="F499" i="110"/>
  <c r="C550" i="110"/>
  <c r="C512" i="110"/>
  <c r="C499" i="110"/>
  <c r="C486" i="110"/>
  <c r="C444" i="110"/>
  <c r="C417" i="110"/>
  <c r="F388" i="110"/>
  <c r="F382" i="110"/>
  <c r="C377" i="110"/>
  <c r="C369" i="110"/>
  <c r="C361" i="110"/>
  <c r="C353" i="110"/>
  <c r="C345" i="110"/>
  <c r="C337" i="110"/>
  <c r="C329" i="110"/>
  <c r="C321" i="110"/>
  <c r="F318" i="110"/>
  <c r="C313" i="110"/>
  <c r="C305" i="110"/>
  <c r="C297" i="110"/>
  <c r="F294" i="110"/>
  <c r="C601" i="110"/>
  <c r="C599" i="110"/>
  <c r="C585" i="110"/>
  <c r="C577" i="110"/>
  <c r="C536" i="110"/>
  <c r="C523" i="110"/>
  <c r="C510" i="110"/>
  <c r="C472" i="110"/>
  <c r="C459" i="110"/>
  <c r="C435" i="110"/>
  <c r="C423" i="110"/>
  <c r="C376" i="110"/>
  <c r="C368" i="110"/>
  <c r="C360" i="110"/>
  <c r="C352" i="110"/>
  <c r="C344" i="110"/>
  <c r="F341" i="110"/>
  <c r="C336" i="110"/>
  <c r="C328" i="110"/>
  <c r="C320" i="110"/>
  <c r="C548" i="110"/>
  <c r="C535" i="110"/>
  <c r="C497" i="110"/>
  <c r="C484" i="110"/>
  <c r="C471" i="110"/>
  <c r="C427" i="110"/>
  <c r="C415" i="110"/>
  <c r="C596" i="110"/>
  <c r="C583" i="110"/>
  <c r="C571" i="110"/>
  <c r="C566" i="110"/>
  <c r="C544" i="110"/>
  <c r="C531" i="110"/>
  <c r="C518" i="110"/>
  <c r="C480" i="110"/>
  <c r="C467" i="110"/>
  <c r="C454" i="110"/>
  <c r="C446" i="110"/>
  <c r="C419" i="110"/>
  <c r="C399" i="110"/>
  <c r="C396" i="110"/>
  <c r="C393" i="110"/>
  <c r="C390" i="110"/>
  <c r="C387" i="110"/>
  <c r="C384" i="110"/>
  <c r="C381" i="110"/>
  <c r="C373" i="110"/>
  <c r="C365" i="110"/>
  <c r="C357" i="110"/>
  <c r="C349" i="110"/>
  <c r="C341" i="110"/>
  <c r="C561" i="110"/>
  <c r="C556" i="110"/>
  <c r="C543" i="110"/>
  <c r="C505" i="110"/>
  <c r="C492" i="110"/>
  <c r="C479" i="110"/>
  <c r="C438" i="110"/>
  <c r="C552" i="110"/>
  <c r="C539" i="110"/>
  <c r="C526" i="110"/>
  <c r="C488" i="110"/>
  <c r="C475" i="110"/>
  <c r="C462" i="110"/>
  <c r="C430" i="110"/>
  <c r="C411" i="110"/>
  <c r="C408" i="110"/>
  <c r="C378" i="110"/>
  <c r="C370" i="110"/>
  <c r="C362" i="110"/>
  <c r="C354" i="110"/>
  <c r="C346" i="110"/>
  <c r="C338" i="110"/>
  <c r="C330" i="110"/>
  <c r="F327" i="110"/>
  <c r="C322" i="110"/>
  <c r="C537" i="110"/>
  <c r="C527" i="110"/>
  <c r="F515" i="110"/>
  <c r="C481" i="110"/>
  <c r="C428" i="110"/>
  <c r="C388" i="110"/>
  <c r="C382" i="110"/>
  <c r="C366" i="110"/>
  <c r="C332" i="110"/>
  <c r="C300" i="110"/>
  <c r="C294" i="110"/>
  <c r="C286" i="110"/>
  <c r="C278" i="110"/>
  <c r="C270" i="110"/>
  <c r="C262" i="110"/>
  <c r="C254" i="110"/>
  <c r="C246" i="110"/>
  <c r="C238" i="110"/>
  <c r="C230" i="110"/>
  <c r="C222" i="110"/>
  <c r="C214" i="110"/>
  <c r="C206" i="110"/>
  <c r="C198" i="110"/>
  <c r="C190" i="110"/>
  <c r="C515" i="110"/>
  <c r="C420" i="110"/>
  <c r="C350" i="110"/>
  <c r="C588" i="110"/>
  <c r="C558" i="110"/>
  <c r="C511" i="110"/>
  <c r="F489" i="110"/>
  <c r="C519" i="110"/>
  <c r="C473" i="110"/>
  <c r="C439" i="110"/>
  <c r="C424" i="110"/>
  <c r="C409" i="110"/>
  <c r="C403" i="110"/>
  <c r="C379" i="110"/>
  <c r="C579" i="110"/>
  <c r="C507" i="110"/>
  <c r="C464" i="110"/>
  <c r="C431" i="110"/>
  <c r="C416" i="110"/>
  <c r="C298" i="110"/>
  <c r="C295" i="110"/>
  <c r="F292" i="110"/>
  <c r="F276" i="110"/>
  <c r="C553" i="110"/>
  <c r="C463" i="110"/>
  <c r="C422" i="110"/>
  <c r="F383" i="110"/>
  <c r="C347" i="110"/>
  <c r="C342" i="110"/>
  <c r="C325" i="110"/>
  <c r="C301" i="110"/>
  <c r="C292" i="110"/>
  <c r="C284" i="110"/>
  <c r="C276" i="110"/>
  <c r="C268" i="110"/>
  <c r="C260" i="110"/>
  <c r="C252" i="110"/>
  <c r="C551" i="110"/>
  <c r="F528" i="110"/>
  <c r="C494" i="110"/>
  <c r="C407" i="110"/>
  <c r="C401" i="110"/>
  <c r="C395" i="110"/>
  <c r="C372" i="110"/>
  <c r="C356" i="110"/>
  <c r="F333" i="110"/>
  <c r="C314" i="110"/>
  <c r="C304" i="110"/>
  <c r="F233" i="110"/>
  <c r="C563" i="110"/>
  <c r="C540" i="110"/>
  <c r="C452" i="110"/>
  <c r="C333" i="110"/>
  <c r="C324" i="110"/>
  <c r="C317" i="110"/>
  <c r="C307" i="110"/>
  <c r="C289" i="110"/>
  <c r="C281" i="110"/>
  <c r="C273" i="110"/>
  <c r="C265" i="110"/>
  <c r="C257" i="110"/>
  <c r="C249" i="110"/>
  <c r="C451" i="110"/>
  <c r="F435" i="110"/>
  <c r="C406" i="110"/>
  <c r="C371" i="110"/>
  <c r="C363" i="110"/>
  <c r="C315" i="110"/>
  <c r="C309" i="110"/>
  <c r="C223" i="110"/>
  <c r="C213" i="110"/>
  <c r="C203" i="110"/>
  <c r="F144" i="110"/>
  <c r="C487" i="110"/>
  <c r="C465" i="110"/>
  <c r="C448" i="110"/>
  <c r="C308" i="110"/>
  <c r="C209" i="110"/>
  <c r="C532" i="110"/>
  <c r="C391" i="110"/>
  <c r="C447" i="110"/>
  <c r="C432" i="110"/>
  <c r="C575" i="110"/>
  <c r="C528" i="110"/>
  <c r="C460" i="110"/>
  <c r="F413" i="110"/>
  <c r="C524" i="110"/>
  <c r="F459" i="110"/>
  <c r="C412" i="110"/>
  <c r="C400" i="110"/>
  <c r="C348" i="110"/>
  <c r="C318" i="110"/>
  <c r="C312" i="110"/>
  <c r="C296" i="110"/>
  <c r="F279" i="110"/>
  <c r="F238" i="110"/>
  <c r="F221" i="110"/>
  <c r="C218" i="110"/>
  <c r="C208" i="110"/>
  <c r="F172" i="110"/>
  <c r="F164" i="110"/>
  <c r="C572" i="110"/>
  <c r="C502" i="110"/>
  <c r="C443" i="110"/>
  <c r="C306" i="110"/>
  <c r="C291" i="110"/>
  <c r="C279" i="110"/>
  <c r="C266" i="110"/>
  <c r="C253" i="110"/>
  <c r="C245" i="110"/>
  <c r="C231" i="110"/>
  <c r="C221" i="110"/>
  <c r="C211" i="110"/>
  <c r="C180" i="110"/>
  <c r="C172" i="110"/>
  <c r="C164" i="110"/>
  <c r="C156" i="110"/>
  <c r="C148" i="110"/>
  <c r="C140" i="110"/>
  <c r="C132" i="110"/>
  <c r="C124" i="110"/>
  <c r="F121" i="110"/>
  <c r="C500" i="110"/>
  <c r="C398" i="110"/>
  <c r="C339" i="110"/>
  <c r="C331" i="110"/>
  <c r="C224" i="110"/>
  <c r="C545" i="110"/>
  <c r="C425" i="110"/>
  <c r="C364" i="110"/>
  <c r="C355" i="110"/>
  <c r="C323" i="110"/>
  <c r="C287" i="110"/>
  <c r="C274" i="110"/>
  <c r="C261" i="110"/>
  <c r="C248" i="110"/>
  <c r="C241" i="110"/>
  <c r="C234" i="110"/>
  <c r="C227" i="110"/>
  <c r="C201" i="110"/>
  <c r="C177" i="110"/>
  <c r="C169" i="110"/>
  <c r="C161" i="110"/>
  <c r="C153" i="110"/>
  <c r="C145" i="110"/>
  <c r="C137" i="110"/>
  <c r="F134" i="110"/>
  <c r="C129" i="110"/>
  <c r="F126" i="110"/>
  <c r="C121" i="110"/>
  <c r="C113" i="110"/>
  <c r="C105" i="110"/>
  <c r="C316" i="110"/>
  <c r="C204" i="110"/>
  <c r="C568" i="110"/>
  <c r="C476" i="110"/>
  <c r="C456" i="110"/>
  <c r="C440" i="110"/>
  <c r="C385" i="110"/>
  <c r="C374" i="110"/>
  <c r="C310" i="110"/>
  <c r="F290" i="110"/>
  <c r="C282" i="110"/>
  <c r="C269" i="110"/>
  <c r="C256" i="110"/>
  <c r="F240" i="110"/>
  <c r="C237" i="110"/>
  <c r="C217" i="110"/>
  <c r="C194" i="110"/>
  <c r="C191" i="110"/>
  <c r="C188" i="110"/>
  <c r="C185" i="110"/>
  <c r="C182" i="110"/>
  <c r="C174" i="110"/>
  <c r="F171" i="110"/>
  <c r="C166" i="110"/>
  <c r="F163" i="110"/>
  <c r="C158" i="110"/>
  <c r="F13" i="110"/>
  <c r="C16" i="110"/>
  <c r="F21" i="110"/>
  <c r="C24" i="110"/>
  <c r="F29" i="110"/>
  <c r="C32" i="110"/>
  <c r="F37" i="110"/>
  <c r="C40" i="110"/>
  <c r="F45" i="110"/>
  <c r="C48" i="110"/>
  <c r="F53" i="110"/>
  <c r="C56" i="110"/>
  <c r="C64" i="110"/>
  <c r="F69" i="110"/>
  <c r="C72" i="110"/>
  <c r="F77" i="110"/>
  <c r="C80" i="110"/>
  <c r="C94" i="110"/>
  <c r="C115" i="110"/>
  <c r="C118" i="110"/>
  <c r="C138" i="110"/>
  <c r="C146" i="110"/>
  <c r="C150" i="110"/>
  <c r="F218" i="110"/>
  <c r="C225" i="110"/>
  <c r="F296" i="110"/>
  <c r="F349" i="110"/>
  <c r="F369" i="110"/>
  <c r="C520" i="110"/>
  <c r="C97" i="110"/>
  <c r="C100" i="110"/>
  <c r="C103" i="110"/>
  <c r="C106" i="110"/>
  <c r="C109" i="110"/>
  <c r="C112" i="110"/>
  <c r="C128" i="110"/>
  <c r="C142" i="110"/>
  <c r="C170" i="110"/>
  <c r="C199" i="110"/>
  <c r="C212" i="110"/>
  <c r="C239" i="110"/>
  <c r="C263" i="110"/>
  <c r="C288" i="110"/>
  <c r="C334" i="110"/>
  <c r="C455" i="110"/>
  <c r="C11" i="110"/>
  <c r="C19" i="110"/>
  <c r="C27" i="110"/>
  <c r="C35" i="110"/>
  <c r="C43" i="110"/>
  <c r="C51" i="110"/>
  <c r="C59" i="110"/>
  <c r="C67" i="110"/>
  <c r="C75" i="110"/>
  <c r="C83" i="110"/>
  <c r="C125" i="110"/>
  <c r="C135" i="110"/>
  <c r="C151" i="110"/>
  <c r="C155" i="110"/>
  <c r="C165" i="110"/>
  <c r="C181" i="110"/>
  <c r="C193" i="110"/>
  <c r="C232" i="110"/>
  <c r="C255" i="110"/>
  <c r="C280" i="110"/>
  <c r="C86" i="110"/>
  <c r="C122" i="110"/>
  <c r="C219" i="110"/>
  <c r="C14" i="110"/>
  <c r="C22" i="110"/>
  <c r="C30" i="110"/>
  <c r="C38" i="110"/>
  <c r="C46" i="110"/>
  <c r="C54" i="110"/>
  <c r="C62" i="110"/>
  <c r="C70" i="110"/>
  <c r="C78" i="110"/>
  <c r="C89" i="110"/>
  <c r="C119" i="110"/>
  <c r="C139" i="110"/>
  <c r="C143" i="110"/>
  <c r="C147" i="110"/>
  <c r="C160" i="110"/>
  <c r="C176" i="110"/>
  <c r="C187" i="110"/>
  <c r="C226" i="110"/>
  <c r="C247" i="110"/>
  <c r="C272" i="110"/>
  <c r="C468" i="110"/>
  <c r="C92" i="110"/>
  <c r="C116" i="110"/>
  <c r="F139" i="110"/>
  <c r="F147" i="110"/>
  <c r="C171" i="110"/>
  <c r="C200" i="110"/>
  <c r="C233" i="110"/>
  <c r="C240" i="110"/>
  <c r="C264" i="110"/>
  <c r="C290" i="110"/>
  <c r="C380" i="110"/>
  <c r="C489" i="110"/>
  <c r="F44" i="110"/>
  <c r="F60" i="110"/>
  <c r="F68" i="110"/>
  <c r="F76" i="110"/>
  <c r="C87" i="110"/>
  <c r="C133" i="110"/>
  <c r="C144" i="110"/>
  <c r="C157" i="110"/>
  <c r="C162" i="110"/>
  <c r="F167" i="110"/>
  <c r="C178" i="110"/>
  <c r="F183" i="110"/>
  <c r="F215" i="110"/>
  <c r="C235" i="110"/>
  <c r="C250" i="110"/>
  <c r="C275" i="110"/>
  <c r="C302" i="110"/>
  <c r="C326" i="110"/>
  <c r="C433" i="110"/>
  <c r="C587" i="110"/>
  <c r="C10" i="110"/>
  <c r="C18" i="110"/>
  <c r="C26" i="110"/>
  <c r="F31" i="110"/>
  <c r="C34" i="110"/>
  <c r="F39" i="110"/>
  <c r="C42" i="110"/>
  <c r="F47" i="110"/>
  <c r="C50" i="110"/>
  <c r="F55" i="110"/>
  <c r="C58" i="110"/>
  <c r="C66" i="110"/>
  <c r="F71" i="110"/>
  <c r="C74" i="110"/>
  <c r="F79" i="110"/>
  <c r="C82" i="110"/>
  <c r="F90" i="110"/>
  <c r="C96" i="110"/>
  <c r="C99" i="110"/>
  <c r="C102" i="110"/>
  <c r="C141" i="110"/>
  <c r="C168" i="110"/>
  <c r="C184" i="110"/>
  <c r="F190" i="110"/>
  <c r="C216" i="110"/>
  <c r="C243" i="110"/>
  <c r="C259" i="110"/>
  <c r="C285" i="110"/>
  <c r="F293" i="110"/>
  <c r="F10" i="110"/>
  <c r="F34" i="110"/>
  <c r="F42" i="110"/>
  <c r="F50" i="110"/>
  <c r="F58" i="110"/>
  <c r="F66" i="110"/>
  <c r="F82" i="110"/>
  <c r="F124" i="110"/>
  <c r="C163" i="110"/>
  <c r="C179" i="110"/>
  <c r="C210" i="110"/>
  <c r="C251" i="110"/>
  <c r="C277" i="110"/>
  <c r="G7" i="109"/>
  <c r="G9" i="109"/>
  <c r="E6" i="112" l="1"/>
  <c r="J9" i="109" s="1"/>
  <c r="G6" i="112"/>
  <c r="L9" i="109" s="1"/>
  <c r="H6" i="112"/>
  <c r="M9" i="109" s="1"/>
  <c r="E6" i="111"/>
  <c r="J8" i="109" s="1"/>
  <c r="F490" i="111"/>
  <c r="F234" i="111"/>
  <c r="F409" i="111"/>
  <c r="F153" i="111"/>
  <c r="F584" i="111"/>
  <c r="F328" i="111"/>
  <c r="F72" i="111"/>
  <c r="F487" i="111"/>
  <c r="F231" i="111"/>
  <c r="F358" i="111"/>
  <c r="F102" i="111"/>
  <c r="F453" i="111"/>
  <c r="F69" i="111"/>
  <c r="F389" i="111"/>
  <c r="F388" i="111"/>
  <c r="F132" i="111"/>
  <c r="F517" i="111"/>
  <c r="F435" i="111"/>
  <c r="F179" i="111"/>
  <c r="F257" i="111"/>
  <c r="F30" i="111"/>
  <c r="F474" i="111"/>
  <c r="F218" i="111"/>
  <c r="F393" i="111"/>
  <c r="F137" i="111"/>
  <c r="F568" i="111"/>
  <c r="F312" i="111"/>
  <c r="F56" i="111"/>
  <c r="F471" i="111"/>
  <c r="F215" i="111"/>
  <c r="F342" i="111"/>
  <c r="F86" i="111"/>
  <c r="F405" i="111"/>
  <c r="F53" i="111"/>
  <c r="F341" i="111"/>
  <c r="F372" i="111"/>
  <c r="F116" i="111"/>
  <c r="F469" i="111"/>
  <c r="F419" i="111"/>
  <c r="F163" i="111"/>
  <c r="F432" i="111"/>
  <c r="F176" i="111"/>
  <c r="F539" i="111"/>
  <c r="F283" i="111"/>
  <c r="F27" i="111"/>
  <c r="F458" i="111"/>
  <c r="F202" i="111"/>
  <c r="F377" i="111"/>
  <c r="F121" i="111"/>
  <c r="F552" i="111"/>
  <c r="F296" i="111"/>
  <c r="F40" i="111"/>
  <c r="F455" i="111"/>
  <c r="F199" i="111"/>
  <c r="F326" i="111"/>
  <c r="F70" i="111"/>
  <c r="F357" i="111"/>
  <c r="F37" i="111"/>
  <c r="F197" i="111"/>
  <c r="F356" i="111"/>
  <c r="F100" i="111"/>
  <c r="F421" i="111"/>
  <c r="F403" i="111"/>
  <c r="F147" i="111"/>
  <c r="F442" i="111"/>
  <c r="F186" i="111"/>
  <c r="F361" i="111"/>
  <c r="F105" i="111"/>
  <c r="F536" i="111"/>
  <c r="F280" i="111"/>
  <c r="F24" i="111"/>
  <c r="F439" i="111"/>
  <c r="F183" i="111"/>
  <c r="F310" i="111"/>
  <c r="F54" i="111"/>
  <c r="F309" i="111"/>
  <c r="F21" i="111"/>
  <c r="F596" i="111"/>
  <c r="F340" i="111"/>
  <c r="F84" i="111"/>
  <c r="F373" i="111"/>
  <c r="F387" i="111"/>
  <c r="F131" i="111"/>
  <c r="H9" i="111"/>
  <c r="H10" i="111" s="1"/>
  <c r="H11" i="111" s="1"/>
  <c r="H12" i="111" s="1"/>
  <c r="H13" i="111" s="1"/>
  <c r="H14" i="111" s="1"/>
  <c r="H15" i="111" s="1"/>
  <c r="H16" i="111" s="1"/>
  <c r="H17" i="111" s="1"/>
  <c r="H18" i="111" s="1"/>
  <c r="H19" i="111" s="1"/>
  <c r="H20" i="111" s="1"/>
  <c r="H21" i="111" s="1"/>
  <c r="H22" i="111" s="1"/>
  <c r="H23" i="111" s="1"/>
  <c r="H24" i="111" s="1"/>
  <c r="H25" i="111" s="1"/>
  <c r="H26" i="111" s="1"/>
  <c r="H27" i="111" s="1"/>
  <c r="H28" i="111" s="1"/>
  <c r="H29" i="111" s="1"/>
  <c r="H30" i="111" s="1"/>
  <c r="H31" i="111" s="1"/>
  <c r="H32" i="111" s="1"/>
  <c r="H33" i="111" s="1"/>
  <c r="H34" i="111" s="1"/>
  <c r="H35" i="111" s="1"/>
  <c r="H36" i="111" s="1"/>
  <c r="H37" i="111" s="1"/>
  <c r="H38" i="111" s="1"/>
  <c r="H39" i="111" s="1"/>
  <c r="H40" i="111" s="1"/>
  <c r="H41" i="111" s="1"/>
  <c r="H42" i="111" s="1"/>
  <c r="H43" i="111" s="1"/>
  <c r="H44" i="111" s="1"/>
  <c r="H45" i="111" s="1"/>
  <c r="H46" i="111" s="1"/>
  <c r="H47" i="111" s="1"/>
  <c r="H48" i="111" s="1"/>
  <c r="H49" i="111" s="1"/>
  <c r="H50" i="111" s="1"/>
  <c r="H51" i="111" s="1"/>
  <c r="H52" i="111" s="1"/>
  <c r="H53" i="111" s="1"/>
  <c r="H54" i="111" s="1"/>
  <c r="H55" i="111" s="1"/>
  <c r="H56" i="111" s="1"/>
  <c r="H57" i="111" s="1"/>
  <c r="H58" i="111" s="1"/>
  <c r="H59" i="111" s="1"/>
  <c r="H60" i="111" s="1"/>
  <c r="H61" i="111" s="1"/>
  <c r="H62" i="111" s="1"/>
  <c r="H63" i="111" s="1"/>
  <c r="H64" i="111" s="1"/>
  <c r="H65" i="111" s="1"/>
  <c r="H66" i="111" s="1"/>
  <c r="H67" i="111" s="1"/>
  <c r="H68" i="111" s="1"/>
  <c r="H69" i="111" s="1"/>
  <c r="H70" i="111" s="1"/>
  <c r="H71" i="111" s="1"/>
  <c r="H72" i="111" s="1"/>
  <c r="H73" i="111" s="1"/>
  <c r="H74" i="111" s="1"/>
  <c r="H75" i="111" s="1"/>
  <c r="H76" i="111" s="1"/>
  <c r="H77" i="111" s="1"/>
  <c r="H78" i="111" s="1"/>
  <c r="H79" i="111" s="1"/>
  <c r="H80" i="111" s="1"/>
  <c r="H81" i="111" s="1"/>
  <c r="H82" i="111" s="1"/>
  <c r="H83" i="111" s="1"/>
  <c r="H84" i="111" s="1"/>
  <c r="H85" i="111" s="1"/>
  <c r="H86" i="111" s="1"/>
  <c r="H87" i="111" s="1"/>
  <c r="H88" i="111" s="1"/>
  <c r="H89" i="111" s="1"/>
  <c r="H90" i="111" s="1"/>
  <c r="H91" i="111" s="1"/>
  <c r="H92" i="111" s="1"/>
  <c r="H93" i="111" s="1"/>
  <c r="H94" i="111" s="1"/>
  <c r="H95" i="111" s="1"/>
  <c r="H96" i="111" s="1"/>
  <c r="H97" i="111" s="1"/>
  <c r="H98" i="111" s="1"/>
  <c r="H99" i="111" s="1"/>
  <c r="H100" i="111" s="1"/>
  <c r="H101" i="111" s="1"/>
  <c r="H102" i="111" s="1"/>
  <c r="H103" i="111" s="1"/>
  <c r="H104" i="111" s="1"/>
  <c r="H105" i="111" s="1"/>
  <c r="H106" i="111" s="1"/>
  <c r="H107" i="111" s="1"/>
  <c r="H108" i="111" s="1"/>
  <c r="H109" i="111" s="1"/>
  <c r="H110" i="111" s="1"/>
  <c r="H111" i="111" s="1"/>
  <c r="H112" i="111" s="1"/>
  <c r="H113" i="111" s="1"/>
  <c r="H114" i="111" s="1"/>
  <c r="H115" i="111" s="1"/>
  <c r="H116" i="111" s="1"/>
  <c r="H117" i="111" s="1"/>
  <c r="H118" i="111" s="1"/>
  <c r="H119" i="111" s="1"/>
  <c r="H120" i="111" s="1"/>
  <c r="H121" i="111" s="1"/>
  <c r="H122" i="111" s="1"/>
  <c r="H123" i="111" s="1"/>
  <c r="H124" i="111" s="1"/>
  <c r="H125" i="111" s="1"/>
  <c r="H126" i="111" s="1"/>
  <c r="H127" i="111" s="1"/>
  <c r="H128" i="111" s="1"/>
  <c r="H129" i="111" s="1"/>
  <c r="H130" i="111" s="1"/>
  <c r="H131" i="111" s="1"/>
  <c r="H132" i="111" s="1"/>
  <c r="H133" i="111" s="1"/>
  <c r="H134" i="111" s="1"/>
  <c r="H135" i="111" s="1"/>
  <c r="H136" i="111" s="1"/>
  <c r="H137" i="111" s="1"/>
  <c r="H138" i="111" s="1"/>
  <c r="H139" i="111" s="1"/>
  <c r="H140" i="111" s="1"/>
  <c r="H141" i="111" s="1"/>
  <c r="H142" i="111" s="1"/>
  <c r="H143" i="111" s="1"/>
  <c r="H144" i="111" s="1"/>
  <c r="H145" i="111" s="1"/>
  <c r="H146" i="111" s="1"/>
  <c r="H147" i="111" s="1"/>
  <c r="H148" i="111" s="1"/>
  <c r="H149" i="111" s="1"/>
  <c r="H150" i="111" s="1"/>
  <c r="H151" i="111" s="1"/>
  <c r="H152" i="111" s="1"/>
  <c r="H153" i="111" s="1"/>
  <c r="H154" i="111" s="1"/>
  <c r="H155" i="111" s="1"/>
  <c r="H156" i="111" s="1"/>
  <c r="H157" i="111" s="1"/>
  <c r="H158" i="111" s="1"/>
  <c r="H159" i="111" s="1"/>
  <c r="H160" i="111" s="1"/>
  <c r="H161" i="111" s="1"/>
  <c r="H162" i="111" s="1"/>
  <c r="H163" i="111" s="1"/>
  <c r="H164" i="111" s="1"/>
  <c r="H165" i="111" s="1"/>
  <c r="H166" i="111" s="1"/>
  <c r="H167" i="111" s="1"/>
  <c r="H168" i="111" s="1"/>
  <c r="H169" i="111" s="1"/>
  <c r="H170" i="111" s="1"/>
  <c r="H171" i="111" s="1"/>
  <c r="H172" i="111" s="1"/>
  <c r="H173" i="111" s="1"/>
  <c r="H174" i="111" s="1"/>
  <c r="H175" i="111" s="1"/>
  <c r="H176" i="111" s="1"/>
  <c r="H177" i="111" s="1"/>
  <c r="H178" i="111" s="1"/>
  <c r="H179" i="111" s="1"/>
  <c r="H180" i="111" s="1"/>
  <c r="H181" i="111" s="1"/>
  <c r="H182" i="111" s="1"/>
  <c r="H183" i="111" s="1"/>
  <c r="H184" i="111" s="1"/>
  <c r="H185" i="111" s="1"/>
  <c r="H186" i="111" s="1"/>
  <c r="H187" i="111" s="1"/>
  <c r="H188" i="111" s="1"/>
  <c r="H189" i="111" s="1"/>
  <c r="H190" i="111" s="1"/>
  <c r="H191" i="111" s="1"/>
  <c r="H192" i="111" s="1"/>
  <c r="H193" i="111" s="1"/>
  <c r="H194" i="111" s="1"/>
  <c r="H195" i="111" s="1"/>
  <c r="H196" i="111" s="1"/>
  <c r="H197" i="111" s="1"/>
  <c r="H198" i="111" s="1"/>
  <c r="H199" i="111" s="1"/>
  <c r="H200" i="111" s="1"/>
  <c r="H201" i="111" s="1"/>
  <c r="H202" i="111" s="1"/>
  <c r="H203" i="111" s="1"/>
  <c r="H204" i="111" s="1"/>
  <c r="H205" i="111" s="1"/>
  <c r="H206" i="111" s="1"/>
  <c r="H207" i="111" s="1"/>
  <c r="H208" i="111" s="1"/>
  <c r="H209" i="111" s="1"/>
  <c r="H210" i="111" s="1"/>
  <c r="H211" i="111" s="1"/>
  <c r="H212" i="111" s="1"/>
  <c r="H213" i="111" s="1"/>
  <c r="H214" i="111" s="1"/>
  <c r="H215" i="111" s="1"/>
  <c r="H216" i="111" s="1"/>
  <c r="H217" i="111" s="1"/>
  <c r="H218" i="111" s="1"/>
  <c r="H219" i="111" s="1"/>
  <c r="H220" i="111" s="1"/>
  <c r="H221" i="111" s="1"/>
  <c r="H222" i="111" s="1"/>
  <c r="H223" i="111" s="1"/>
  <c r="H224" i="111" s="1"/>
  <c r="H225" i="111" s="1"/>
  <c r="H226" i="111" s="1"/>
  <c r="H227" i="111" s="1"/>
  <c r="H228" i="111" s="1"/>
  <c r="H229" i="111" s="1"/>
  <c r="H230" i="111" s="1"/>
  <c r="H231" i="111" s="1"/>
  <c r="H232" i="111" s="1"/>
  <c r="H233" i="111" s="1"/>
  <c r="H234" i="111" s="1"/>
  <c r="H235" i="111" s="1"/>
  <c r="H236" i="111" s="1"/>
  <c r="H237" i="111" s="1"/>
  <c r="H238" i="111" s="1"/>
  <c r="H239" i="111" s="1"/>
  <c r="H240" i="111" s="1"/>
  <c r="H241" i="111" s="1"/>
  <c r="H242" i="111" s="1"/>
  <c r="H243" i="111" s="1"/>
  <c r="H244" i="111" s="1"/>
  <c r="H245" i="111" s="1"/>
  <c r="H246" i="111" s="1"/>
  <c r="H247" i="111" s="1"/>
  <c r="H248" i="111" s="1"/>
  <c r="H249" i="111" s="1"/>
  <c r="H250" i="111" s="1"/>
  <c r="H251" i="111" s="1"/>
  <c r="H252" i="111" s="1"/>
  <c r="H253" i="111" s="1"/>
  <c r="H254" i="111" s="1"/>
  <c r="H255" i="111" s="1"/>
  <c r="H256" i="111" s="1"/>
  <c r="H257" i="111" s="1"/>
  <c r="H258" i="111" s="1"/>
  <c r="H259" i="111" s="1"/>
  <c r="H260" i="111" s="1"/>
  <c r="H261" i="111" s="1"/>
  <c r="H262" i="111" s="1"/>
  <c r="H263" i="111" s="1"/>
  <c r="H264" i="111" s="1"/>
  <c r="H265" i="111" s="1"/>
  <c r="H266" i="111" s="1"/>
  <c r="H267" i="111" s="1"/>
  <c r="H268" i="111" s="1"/>
  <c r="H269" i="111" s="1"/>
  <c r="H270" i="111" s="1"/>
  <c r="H271" i="111" s="1"/>
  <c r="H272" i="111" s="1"/>
  <c r="H273" i="111" s="1"/>
  <c r="H274" i="111" s="1"/>
  <c r="H275" i="111" s="1"/>
  <c r="H276" i="111" s="1"/>
  <c r="H277" i="111" s="1"/>
  <c r="H278" i="111" s="1"/>
  <c r="H279" i="111" s="1"/>
  <c r="H280" i="111" s="1"/>
  <c r="H281" i="111" s="1"/>
  <c r="H282" i="111" s="1"/>
  <c r="H283" i="111" s="1"/>
  <c r="H284" i="111" s="1"/>
  <c r="H285" i="111" s="1"/>
  <c r="H286" i="111" s="1"/>
  <c r="H287" i="111" s="1"/>
  <c r="H288" i="111" s="1"/>
  <c r="H289" i="111" s="1"/>
  <c r="H290" i="111" s="1"/>
  <c r="H291" i="111" s="1"/>
  <c r="H292" i="111" s="1"/>
  <c r="H293" i="111" s="1"/>
  <c r="H294" i="111" s="1"/>
  <c r="H295" i="111" s="1"/>
  <c r="H296" i="111" s="1"/>
  <c r="H297" i="111" s="1"/>
  <c r="H298" i="111" s="1"/>
  <c r="H299" i="111" s="1"/>
  <c r="H300" i="111" s="1"/>
  <c r="H301" i="111" s="1"/>
  <c r="H302" i="111" s="1"/>
  <c r="H303" i="111" s="1"/>
  <c r="H304" i="111" s="1"/>
  <c r="H305" i="111" s="1"/>
  <c r="H306" i="111" s="1"/>
  <c r="H307" i="111" s="1"/>
  <c r="H308" i="111" s="1"/>
  <c r="H309" i="111" s="1"/>
  <c r="H310" i="111" s="1"/>
  <c r="H311" i="111" s="1"/>
  <c r="H312" i="111" s="1"/>
  <c r="H313" i="111" s="1"/>
  <c r="H314" i="111" s="1"/>
  <c r="H315" i="111" s="1"/>
  <c r="H316" i="111" s="1"/>
  <c r="H317" i="111" s="1"/>
  <c r="H318" i="111" s="1"/>
  <c r="H319" i="111" s="1"/>
  <c r="H320" i="111" s="1"/>
  <c r="H321" i="111" s="1"/>
  <c r="H322" i="111" s="1"/>
  <c r="H323" i="111" s="1"/>
  <c r="H324" i="111" s="1"/>
  <c r="H325" i="111" s="1"/>
  <c r="H326" i="111" s="1"/>
  <c r="H327" i="111" s="1"/>
  <c r="H328" i="111" s="1"/>
  <c r="H329" i="111" s="1"/>
  <c r="H330" i="111" s="1"/>
  <c r="H331" i="111" s="1"/>
  <c r="H332" i="111" s="1"/>
  <c r="H333" i="111" s="1"/>
  <c r="H334" i="111" s="1"/>
  <c r="H335" i="111" s="1"/>
  <c r="H336" i="111" s="1"/>
  <c r="H337" i="111" s="1"/>
  <c r="H338" i="111" s="1"/>
  <c r="H339" i="111" s="1"/>
  <c r="H340" i="111" s="1"/>
  <c r="H341" i="111" s="1"/>
  <c r="H342" i="111" s="1"/>
  <c r="H343" i="111" s="1"/>
  <c r="H344" i="111" s="1"/>
  <c r="H345" i="111" s="1"/>
  <c r="H346" i="111" s="1"/>
  <c r="H347" i="111" s="1"/>
  <c r="H348" i="111" s="1"/>
  <c r="H349" i="111" s="1"/>
  <c r="H350" i="111" s="1"/>
  <c r="H351" i="111" s="1"/>
  <c r="H352" i="111" s="1"/>
  <c r="H353" i="111" s="1"/>
  <c r="H354" i="111" s="1"/>
  <c r="H355" i="111" s="1"/>
  <c r="H356" i="111" s="1"/>
  <c r="H357" i="111" s="1"/>
  <c r="H358" i="111" s="1"/>
  <c r="H359" i="111" s="1"/>
  <c r="H360" i="111" s="1"/>
  <c r="H361" i="111" s="1"/>
  <c r="H362" i="111" s="1"/>
  <c r="H363" i="111" s="1"/>
  <c r="H364" i="111" s="1"/>
  <c r="H365" i="111" s="1"/>
  <c r="H366" i="111" s="1"/>
  <c r="H367" i="111" s="1"/>
  <c r="H368" i="111" s="1"/>
  <c r="H369" i="111" s="1"/>
  <c r="H370" i="111" s="1"/>
  <c r="H371" i="111" s="1"/>
  <c r="H372" i="111" s="1"/>
  <c r="H373" i="111" s="1"/>
  <c r="H374" i="111" s="1"/>
  <c r="H375" i="111" s="1"/>
  <c r="H376" i="111" s="1"/>
  <c r="H377" i="111" s="1"/>
  <c r="H378" i="111" s="1"/>
  <c r="H379" i="111" s="1"/>
  <c r="H380" i="111" s="1"/>
  <c r="H381" i="111" s="1"/>
  <c r="H382" i="111" s="1"/>
  <c r="H383" i="111" s="1"/>
  <c r="H384" i="111" s="1"/>
  <c r="H385" i="111" s="1"/>
  <c r="H386" i="111" s="1"/>
  <c r="H387" i="111" s="1"/>
  <c r="H388" i="111" s="1"/>
  <c r="H389" i="111" s="1"/>
  <c r="H390" i="111" s="1"/>
  <c r="H391" i="111" s="1"/>
  <c r="H392" i="111" s="1"/>
  <c r="H393" i="111" s="1"/>
  <c r="H394" i="111" s="1"/>
  <c r="H395" i="111" s="1"/>
  <c r="H396" i="111" s="1"/>
  <c r="H397" i="111" s="1"/>
  <c r="H398" i="111" s="1"/>
  <c r="H399" i="111" s="1"/>
  <c r="H400" i="111" s="1"/>
  <c r="H401" i="111" s="1"/>
  <c r="H402" i="111" s="1"/>
  <c r="H403" i="111" s="1"/>
  <c r="H404" i="111" s="1"/>
  <c r="H405" i="111" s="1"/>
  <c r="H406" i="111" s="1"/>
  <c r="H407" i="111" s="1"/>
  <c r="H408" i="111" s="1"/>
  <c r="H409" i="111" s="1"/>
  <c r="H410" i="111" s="1"/>
  <c r="H411" i="111" s="1"/>
  <c r="H412" i="111" s="1"/>
  <c r="H413" i="111" s="1"/>
  <c r="H414" i="111" s="1"/>
  <c r="H415" i="111" s="1"/>
  <c r="H416" i="111" s="1"/>
  <c r="H417" i="111" s="1"/>
  <c r="H418" i="111" s="1"/>
  <c r="H419" i="111" s="1"/>
  <c r="H420" i="111" s="1"/>
  <c r="H421" i="111" s="1"/>
  <c r="H422" i="111" s="1"/>
  <c r="H423" i="111" s="1"/>
  <c r="H424" i="111" s="1"/>
  <c r="H425" i="111" s="1"/>
  <c r="H426" i="111" s="1"/>
  <c r="H427" i="111" s="1"/>
  <c r="H428" i="111" s="1"/>
  <c r="H429" i="111" s="1"/>
  <c r="H430" i="111" s="1"/>
  <c r="H431" i="111" s="1"/>
  <c r="H432" i="111" s="1"/>
  <c r="H433" i="111" s="1"/>
  <c r="H434" i="111" s="1"/>
  <c r="H435" i="111" s="1"/>
  <c r="H436" i="111" s="1"/>
  <c r="H437" i="111" s="1"/>
  <c r="H438" i="111" s="1"/>
  <c r="H439" i="111" s="1"/>
  <c r="H440" i="111" s="1"/>
  <c r="H441" i="111" s="1"/>
  <c r="H442" i="111" s="1"/>
  <c r="H443" i="111" s="1"/>
  <c r="H444" i="111" s="1"/>
  <c r="H445" i="111" s="1"/>
  <c r="H446" i="111" s="1"/>
  <c r="H447" i="111" s="1"/>
  <c r="H448" i="111" s="1"/>
  <c r="H449" i="111" s="1"/>
  <c r="H450" i="111" s="1"/>
  <c r="H451" i="111" s="1"/>
  <c r="H452" i="111" s="1"/>
  <c r="H453" i="111" s="1"/>
  <c r="H454" i="111" s="1"/>
  <c r="H455" i="111" s="1"/>
  <c r="H456" i="111" s="1"/>
  <c r="H457" i="111" s="1"/>
  <c r="H458" i="111" s="1"/>
  <c r="H459" i="111" s="1"/>
  <c r="H460" i="111" s="1"/>
  <c r="H461" i="111" s="1"/>
  <c r="H462" i="111" s="1"/>
  <c r="H463" i="111" s="1"/>
  <c r="H464" i="111" s="1"/>
  <c r="H465" i="111" s="1"/>
  <c r="H466" i="111" s="1"/>
  <c r="H467" i="111" s="1"/>
  <c r="H468" i="111" s="1"/>
  <c r="H469" i="111" s="1"/>
  <c r="H470" i="111" s="1"/>
  <c r="H471" i="111" s="1"/>
  <c r="H472" i="111" s="1"/>
  <c r="H473" i="111" s="1"/>
  <c r="H474" i="111" s="1"/>
  <c r="H475" i="111" s="1"/>
  <c r="H476" i="111" s="1"/>
  <c r="H477" i="111" s="1"/>
  <c r="H478" i="111" s="1"/>
  <c r="H479" i="111" s="1"/>
  <c r="H480" i="111" s="1"/>
  <c r="H481" i="111" s="1"/>
  <c r="H482" i="111" s="1"/>
  <c r="H483" i="111" s="1"/>
  <c r="H484" i="111" s="1"/>
  <c r="H485" i="111" s="1"/>
  <c r="H486" i="111" s="1"/>
  <c r="H487" i="111" s="1"/>
  <c r="H488" i="111" s="1"/>
  <c r="H489" i="111" s="1"/>
  <c r="H490" i="111" s="1"/>
  <c r="H491" i="111" s="1"/>
  <c r="H492" i="111" s="1"/>
  <c r="H493" i="111" s="1"/>
  <c r="H494" i="111" s="1"/>
  <c r="H495" i="111" s="1"/>
  <c r="H496" i="111" s="1"/>
  <c r="H497" i="111" s="1"/>
  <c r="H498" i="111" s="1"/>
  <c r="H499" i="111" s="1"/>
  <c r="H500" i="111" s="1"/>
  <c r="H501" i="111" s="1"/>
  <c r="H502" i="111" s="1"/>
  <c r="H503" i="111" s="1"/>
  <c r="H504" i="111" s="1"/>
  <c r="H505" i="111" s="1"/>
  <c r="H506" i="111" s="1"/>
  <c r="H507" i="111" s="1"/>
  <c r="H508" i="111" s="1"/>
  <c r="H509" i="111" s="1"/>
  <c r="H510" i="111" s="1"/>
  <c r="H511" i="111" s="1"/>
  <c r="H512" i="111" s="1"/>
  <c r="H513" i="111" s="1"/>
  <c r="H514" i="111" s="1"/>
  <c r="H515" i="111" s="1"/>
  <c r="H516" i="111" s="1"/>
  <c r="H517" i="111" s="1"/>
  <c r="H518" i="111" s="1"/>
  <c r="H519" i="111" s="1"/>
  <c r="H520" i="111" s="1"/>
  <c r="H521" i="111" s="1"/>
  <c r="H522" i="111" s="1"/>
  <c r="H523" i="111" s="1"/>
  <c r="H524" i="111" s="1"/>
  <c r="H525" i="111" s="1"/>
  <c r="H526" i="111" s="1"/>
  <c r="H527" i="111" s="1"/>
  <c r="H528" i="111" s="1"/>
  <c r="H529" i="111" s="1"/>
  <c r="H530" i="111" s="1"/>
  <c r="H531" i="111" s="1"/>
  <c r="H532" i="111" s="1"/>
  <c r="H533" i="111" s="1"/>
  <c r="H534" i="111" s="1"/>
  <c r="H535" i="111" s="1"/>
  <c r="H536" i="111" s="1"/>
  <c r="H537" i="111" s="1"/>
  <c r="H538" i="111" s="1"/>
  <c r="H539" i="111" s="1"/>
  <c r="H540" i="111" s="1"/>
  <c r="H541" i="111" s="1"/>
  <c r="H542" i="111" s="1"/>
  <c r="H543" i="111" s="1"/>
  <c r="H544" i="111" s="1"/>
  <c r="H545" i="111" s="1"/>
  <c r="H546" i="111" s="1"/>
  <c r="H547" i="111" s="1"/>
  <c r="H548" i="111" s="1"/>
  <c r="H549" i="111" s="1"/>
  <c r="H550" i="111" s="1"/>
  <c r="H551" i="111" s="1"/>
  <c r="H552" i="111" s="1"/>
  <c r="H553" i="111" s="1"/>
  <c r="H554" i="111" s="1"/>
  <c r="H555" i="111" s="1"/>
  <c r="H556" i="111" s="1"/>
  <c r="H557" i="111" s="1"/>
  <c r="H558" i="111" s="1"/>
  <c r="H559" i="111" s="1"/>
  <c r="H560" i="111" s="1"/>
  <c r="H561" i="111" s="1"/>
  <c r="H562" i="111" s="1"/>
  <c r="H563" i="111" s="1"/>
  <c r="H564" i="111" s="1"/>
  <c r="H565" i="111" s="1"/>
  <c r="H566" i="111" s="1"/>
  <c r="H567" i="111" s="1"/>
  <c r="H568" i="111" s="1"/>
  <c r="H569" i="111" s="1"/>
  <c r="H570" i="111" s="1"/>
  <c r="H571" i="111" s="1"/>
  <c r="H572" i="111" s="1"/>
  <c r="H573" i="111" s="1"/>
  <c r="H574" i="111" s="1"/>
  <c r="H575" i="111" s="1"/>
  <c r="H576" i="111" s="1"/>
  <c r="H577" i="111" s="1"/>
  <c r="H578" i="111" s="1"/>
  <c r="H579" i="111" s="1"/>
  <c r="H580" i="111" s="1"/>
  <c r="H581" i="111" s="1"/>
  <c r="H582" i="111" s="1"/>
  <c r="H583" i="111" s="1"/>
  <c r="H584" i="111" s="1"/>
  <c r="H585" i="111" s="1"/>
  <c r="H586" i="111" s="1"/>
  <c r="H587" i="111" s="1"/>
  <c r="H588" i="111" s="1"/>
  <c r="H589" i="111" s="1"/>
  <c r="H590" i="111" s="1"/>
  <c r="H591" i="111" s="1"/>
  <c r="H592" i="111" s="1"/>
  <c r="H593" i="111" s="1"/>
  <c r="H594" i="111" s="1"/>
  <c r="H595" i="111" s="1"/>
  <c r="H596" i="111" s="1"/>
  <c r="H597" i="111" s="1"/>
  <c r="H598" i="111" s="1"/>
  <c r="H599" i="111" s="1"/>
  <c r="H600" i="111" s="1"/>
  <c r="H601" i="111" s="1"/>
  <c r="H602" i="111" s="1"/>
  <c r="H603" i="111" s="1"/>
  <c r="H604" i="111" s="1"/>
  <c r="H605" i="111" s="1"/>
  <c r="H606" i="111" s="1"/>
  <c r="H607" i="111" s="1"/>
  <c r="H608" i="111" s="1"/>
  <c r="F9" i="111"/>
  <c r="F426" i="111"/>
  <c r="F170" i="111"/>
  <c r="F601" i="111"/>
  <c r="F345" i="111"/>
  <c r="F89" i="111"/>
  <c r="F520" i="111"/>
  <c r="F264" i="111"/>
  <c r="F423" i="111"/>
  <c r="F167" i="111"/>
  <c r="F598" i="111"/>
  <c r="F294" i="111"/>
  <c r="F38" i="111"/>
  <c r="F293" i="111"/>
  <c r="F580" i="111"/>
  <c r="F324" i="111"/>
  <c r="F68" i="111"/>
  <c r="F325" i="111"/>
  <c r="F371" i="111"/>
  <c r="F115" i="111"/>
  <c r="F410" i="111"/>
  <c r="F154" i="111"/>
  <c r="F585" i="111"/>
  <c r="F329" i="111"/>
  <c r="F73" i="111"/>
  <c r="F504" i="111"/>
  <c r="F248" i="111"/>
  <c r="F407" i="111"/>
  <c r="F151" i="111"/>
  <c r="F582" i="111"/>
  <c r="F278" i="111"/>
  <c r="F22" i="111"/>
  <c r="F277" i="111"/>
  <c r="F564" i="111"/>
  <c r="F308" i="111"/>
  <c r="F52" i="111"/>
  <c r="F213" i="111"/>
  <c r="F355" i="111"/>
  <c r="F99" i="111"/>
  <c r="F462" i="111"/>
  <c r="F206" i="111"/>
  <c r="F394" i="111"/>
  <c r="F138" i="111"/>
  <c r="F569" i="111"/>
  <c r="F313" i="111"/>
  <c r="F57" i="111"/>
  <c r="F488" i="111"/>
  <c r="F232" i="111"/>
  <c r="F391" i="111"/>
  <c r="F135" i="111"/>
  <c r="F550" i="111"/>
  <c r="F262" i="111"/>
  <c r="F261" i="111"/>
  <c r="F548" i="111"/>
  <c r="F292" i="111"/>
  <c r="F36" i="111"/>
  <c r="F595" i="111"/>
  <c r="F339" i="111"/>
  <c r="F83" i="111"/>
  <c r="F378" i="111"/>
  <c r="F122" i="111"/>
  <c r="F553" i="111"/>
  <c r="F297" i="111"/>
  <c r="F41" i="111"/>
  <c r="F472" i="111"/>
  <c r="F216" i="111"/>
  <c r="F375" i="111"/>
  <c r="F119" i="111"/>
  <c r="F502" i="111"/>
  <c r="F246" i="111"/>
  <c r="F245" i="111"/>
  <c r="F532" i="111"/>
  <c r="F276" i="111"/>
  <c r="F20" i="111"/>
  <c r="F579" i="111"/>
  <c r="F323" i="111"/>
  <c r="F67" i="111"/>
  <c r="F362" i="111"/>
  <c r="F106" i="111"/>
  <c r="F537" i="111"/>
  <c r="F281" i="111"/>
  <c r="F25" i="111"/>
  <c r="F456" i="111"/>
  <c r="F200" i="111"/>
  <c r="F359" i="111"/>
  <c r="F103" i="111"/>
  <c r="F486" i="111"/>
  <c r="F230" i="111"/>
  <c r="F229" i="111"/>
  <c r="F516" i="111"/>
  <c r="F260" i="111"/>
  <c r="F563" i="111"/>
  <c r="F307" i="111"/>
  <c r="F51" i="111"/>
  <c r="F338" i="111"/>
  <c r="F429" i="111"/>
  <c r="F173" i="111"/>
  <c r="F602" i="111"/>
  <c r="F346" i="111"/>
  <c r="F90" i="111"/>
  <c r="F521" i="111"/>
  <c r="F265" i="111"/>
  <c r="F440" i="111"/>
  <c r="F184" i="111"/>
  <c r="F343" i="111"/>
  <c r="F87" i="111"/>
  <c r="F470" i="111"/>
  <c r="F214" i="111"/>
  <c r="F181" i="111"/>
  <c r="F500" i="111"/>
  <c r="F244" i="111"/>
  <c r="F547" i="111"/>
  <c r="F291" i="111"/>
  <c r="F35" i="111"/>
  <c r="F82" i="111"/>
  <c r="F513" i="111"/>
  <c r="F492" i="111"/>
  <c r="F236" i="111"/>
  <c r="F586" i="111"/>
  <c r="F330" i="111"/>
  <c r="F74" i="111"/>
  <c r="F505" i="111"/>
  <c r="F249" i="111"/>
  <c r="F424" i="111"/>
  <c r="F168" i="111"/>
  <c r="F583" i="111"/>
  <c r="F327" i="111"/>
  <c r="F71" i="111"/>
  <c r="F454" i="111"/>
  <c r="F198" i="111"/>
  <c r="F165" i="111"/>
  <c r="F599" i="111"/>
  <c r="F484" i="111"/>
  <c r="F228" i="111"/>
  <c r="F531" i="111"/>
  <c r="F275" i="111"/>
  <c r="F19" i="111"/>
  <c r="F591" i="111"/>
  <c r="F335" i="111"/>
  <c r="F79" i="111"/>
  <c r="F570" i="111"/>
  <c r="F314" i="111"/>
  <c r="F58" i="111"/>
  <c r="F489" i="111"/>
  <c r="F233" i="111"/>
  <c r="F408" i="111"/>
  <c r="F152" i="111"/>
  <c r="F567" i="111"/>
  <c r="F311" i="111"/>
  <c r="F55" i="111"/>
  <c r="F438" i="111"/>
  <c r="F182" i="111"/>
  <c r="F149" i="111"/>
  <c r="F534" i="111"/>
  <c r="F468" i="111"/>
  <c r="F212" i="111"/>
  <c r="F515" i="111"/>
  <c r="F259" i="111"/>
  <c r="F554" i="111"/>
  <c r="F298" i="111"/>
  <c r="F42" i="111"/>
  <c r="F473" i="111"/>
  <c r="F217" i="111"/>
  <c r="F392" i="111"/>
  <c r="F136" i="111"/>
  <c r="F551" i="111"/>
  <c r="F295" i="111"/>
  <c r="F39" i="111"/>
  <c r="F422" i="111"/>
  <c r="F166" i="111"/>
  <c r="F566" i="111"/>
  <c r="F133" i="111"/>
  <c r="F597" i="111"/>
  <c r="F452" i="111"/>
  <c r="F196" i="111"/>
  <c r="F499" i="111"/>
  <c r="F243" i="111"/>
  <c r="F594" i="111"/>
  <c r="F94" i="111"/>
  <c r="F538" i="111"/>
  <c r="F282" i="111"/>
  <c r="F26" i="111"/>
  <c r="F457" i="111"/>
  <c r="F201" i="111"/>
  <c r="F376" i="111"/>
  <c r="F120" i="111"/>
  <c r="F535" i="111"/>
  <c r="F279" i="111"/>
  <c r="F23" i="111"/>
  <c r="F406" i="111"/>
  <c r="F150" i="111"/>
  <c r="F581" i="111"/>
  <c r="F117" i="111"/>
  <c r="F549" i="111"/>
  <c r="F436" i="111"/>
  <c r="F180" i="111"/>
  <c r="F483" i="111"/>
  <c r="F227" i="111"/>
  <c r="F62" i="111"/>
  <c r="F10" i="111"/>
  <c r="G10" i="111"/>
  <c r="G11" i="111" s="1"/>
  <c r="G12" i="111" s="1"/>
  <c r="G13" i="111" s="1"/>
  <c r="G14" i="111" s="1"/>
  <c r="G15" i="111" s="1"/>
  <c r="G16" i="111" s="1"/>
  <c r="G17" i="111" s="1"/>
  <c r="G18" i="111" s="1"/>
  <c r="G19" i="111" s="1"/>
  <c r="G20" i="111" s="1"/>
  <c r="F522" i="111"/>
  <c r="F266" i="111"/>
  <c r="F441" i="111"/>
  <c r="F185" i="111"/>
  <c r="F360" i="111"/>
  <c r="F104" i="111"/>
  <c r="F519" i="111"/>
  <c r="F263" i="111"/>
  <c r="F390" i="111"/>
  <c r="F134" i="111"/>
  <c r="F533" i="111"/>
  <c r="F101" i="111"/>
  <c r="F485" i="111"/>
  <c r="F420" i="111"/>
  <c r="F164" i="111"/>
  <c r="F518" i="111"/>
  <c r="F467" i="111"/>
  <c r="F211" i="111"/>
  <c r="F181" i="110"/>
  <c r="F65" i="110"/>
  <c r="F242" i="110"/>
  <c r="F237" i="110"/>
  <c r="F208" i="110"/>
  <c r="F209" i="110"/>
  <c r="F258" i="110"/>
  <c r="F201" i="110"/>
  <c r="F452" i="110"/>
  <c r="F560" i="110"/>
  <c r="F305" i="110"/>
  <c r="F153" i="110"/>
  <c r="F198" i="110"/>
  <c r="F26" i="110"/>
  <c r="F113" i="110"/>
  <c r="F570" i="110"/>
  <c r="F353" i="110"/>
  <c r="F116" i="110"/>
  <c r="F277" i="110"/>
  <c r="F213" i="110"/>
  <c r="F315" i="110"/>
  <c r="F360" i="110"/>
  <c r="F196" i="110"/>
  <c r="F231" i="110"/>
  <c r="F162" i="110"/>
  <c r="F120" i="110"/>
  <c r="F12" i="110"/>
  <c r="F23" i="110"/>
  <c r="F306" i="110"/>
  <c r="F15" i="110"/>
  <c r="F250" i="110"/>
  <c r="F264" i="110"/>
  <c r="F87" i="110"/>
  <c r="F228" i="110"/>
  <c r="F189" i="110"/>
  <c r="F180" i="110"/>
  <c r="F123" i="110"/>
  <c r="F85" i="110"/>
  <c r="F245" i="110"/>
  <c r="F420" i="110"/>
  <c r="F133" i="110"/>
  <c r="F74" i="110"/>
  <c r="F210" i="110"/>
  <c r="F110" i="110"/>
  <c r="F253" i="110"/>
  <c r="F343" i="110"/>
  <c r="F358" i="110"/>
  <c r="F36" i="110"/>
  <c r="F424" i="110"/>
  <c r="F312" i="110"/>
  <c r="F266" i="110"/>
  <c r="F230" i="110"/>
  <c r="F497" i="110"/>
  <c r="F525" i="110"/>
  <c r="F478" i="110"/>
  <c r="F222" i="110"/>
  <c r="F405" i="110"/>
  <c r="F101" i="110"/>
  <c r="F223" i="110"/>
  <c r="F61" i="110"/>
  <c r="F154" i="110"/>
  <c r="F200" i="110"/>
  <c r="F173" i="110"/>
  <c r="F98" i="110"/>
  <c r="F84" i="110"/>
  <c r="F52" i="110"/>
  <c r="F63" i="110"/>
  <c r="F179" i="110"/>
  <c r="F428" i="110"/>
  <c r="F178" i="110"/>
  <c r="F18" i="110"/>
  <c r="F130" i="110"/>
  <c r="F99" i="110"/>
  <c r="F592" i="110"/>
  <c r="F129" i="110"/>
  <c r="F254" i="110"/>
  <c r="F380" i="110"/>
  <c r="F423" i="110"/>
  <c r="F551" i="110"/>
  <c r="F535" i="110"/>
  <c r="F356" i="110"/>
  <c r="F158" i="110"/>
  <c r="F187" i="110"/>
  <c r="F345" i="110"/>
  <c r="F376" i="110"/>
  <c r="F151" i="110"/>
  <c r="F377" i="110"/>
  <c r="F442" i="110"/>
  <c r="F267" i="110"/>
  <c r="F354" i="110"/>
  <c r="F409" i="110"/>
  <c r="F142" i="110"/>
  <c r="F64" i="110"/>
  <c r="F334" i="110"/>
  <c r="F451" i="110"/>
  <c r="F433" i="110"/>
  <c r="F555" i="110"/>
  <c r="F564" i="110"/>
  <c r="F303" i="110"/>
  <c r="F256" i="110"/>
  <c r="F426" i="110"/>
  <c r="F554" i="110"/>
  <c r="F545" i="110"/>
  <c r="F225" i="110"/>
  <c r="F524" i="110"/>
  <c r="F297" i="110"/>
  <c r="F399" i="110"/>
  <c r="F197" i="110"/>
  <c r="F520" i="110"/>
  <c r="F523" i="110"/>
  <c r="F272" i="110"/>
  <c r="F359" i="110"/>
  <c r="F227" i="110"/>
  <c r="F436" i="110"/>
  <c r="F605" i="110"/>
  <c r="F397" i="110"/>
  <c r="F339" i="110"/>
  <c r="F128" i="110"/>
  <c r="F375" i="110"/>
  <c r="F338" i="110"/>
  <c r="F465" i="110"/>
  <c r="F386" i="110"/>
  <c r="F463" i="110"/>
  <c r="F591" i="110"/>
  <c r="F387" i="110"/>
  <c r="F412" i="110"/>
  <c r="F346" i="110"/>
  <c r="F300" i="110"/>
  <c r="F481" i="110"/>
  <c r="F417" i="110"/>
  <c r="F282" i="110"/>
  <c r="F547" i="110"/>
  <c r="F281" i="110"/>
  <c r="F394" i="110"/>
  <c r="F466" i="110"/>
  <c r="F594" i="110"/>
  <c r="F286" i="110"/>
  <c r="F410" i="110"/>
  <c r="F326" i="110"/>
  <c r="F289" i="110"/>
  <c r="F571" i="110"/>
  <c r="F484" i="110"/>
  <c r="F474" i="110"/>
  <c r="F602" i="110"/>
  <c r="F595" i="110"/>
  <c r="F321" i="110"/>
  <c r="F464" i="110"/>
  <c r="F275" i="110"/>
  <c r="F340" i="110"/>
  <c r="F511" i="110"/>
  <c r="F255" i="110"/>
  <c r="F159" i="110"/>
  <c r="F483" i="110"/>
  <c r="F291" i="110"/>
  <c r="F313" i="110"/>
  <c r="F373" i="110"/>
  <c r="F445" i="110"/>
  <c r="F519" i="110"/>
  <c r="F166" i="110"/>
  <c r="F517" i="110"/>
  <c r="F298" i="110"/>
  <c r="F362" i="110"/>
  <c r="F174" i="110"/>
  <c r="F378" i="110"/>
  <c r="F332" i="110"/>
  <c r="F513" i="110"/>
  <c r="F529" i="110"/>
  <c r="F24" i="110"/>
  <c r="F310" i="110"/>
  <c r="F496" i="110"/>
  <c r="F384" i="110"/>
  <c r="F604" i="110"/>
  <c r="F522" i="110"/>
  <c r="E6" i="110"/>
  <c r="J7" i="109" s="1"/>
  <c r="F175" i="110"/>
  <c r="F374" i="110"/>
  <c r="F206" i="110"/>
  <c r="F109" i="110"/>
  <c r="F16" i="110"/>
  <c r="F385" i="110"/>
  <c r="F248" i="110"/>
  <c r="F351" i="110"/>
  <c r="F579" i="110"/>
  <c r="F372" i="110"/>
  <c r="F530" i="110"/>
  <c r="F518" i="110"/>
  <c r="F335" i="110"/>
  <c r="F182" i="110"/>
  <c r="F115" i="110"/>
  <c r="F131" i="110"/>
  <c r="F440" i="110"/>
  <c r="F88" i="110"/>
  <c r="F468" i="110"/>
  <c r="F195" i="110"/>
  <c r="F402" i="110"/>
  <c r="F538" i="110"/>
  <c r="F449" i="110"/>
  <c r="F118" i="110"/>
  <c r="F103" i="110"/>
  <c r="F456" i="110"/>
  <c r="F366" i="110"/>
  <c r="F226" i="110"/>
  <c r="F350" i="110"/>
  <c r="F475" i="110"/>
  <c r="F389" i="110"/>
  <c r="F431" i="110"/>
  <c r="F559" i="110"/>
  <c r="F581" i="110"/>
  <c r="F608" i="110"/>
  <c r="F425" i="110"/>
  <c r="F503" i="110"/>
  <c r="F165" i="110"/>
  <c r="F217" i="110"/>
  <c r="F278" i="110"/>
  <c r="F224" i="110"/>
  <c r="F241" i="110"/>
  <c r="F204" i="110"/>
  <c r="F311" i="110"/>
  <c r="F396" i="110"/>
  <c r="F421" i="110"/>
  <c r="F439" i="110"/>
  <c r="F567" i="110"/>
  <c r="F185" i="110"/>
  <c r="F381" i="110"/>
  <c r="F514" i="110"/>
  <c r="F155" i="110"/>
  <c r="F112" i="110"/>
  <c r="F247" i="110"/>
  <c r="F361" i="110"/>
  <c r="F219" i="110"/>
  <c r="F488" i="110"/>
  <c r="F544" i="110"/>
  <c r="F537" i="110"/>
  <c r="F447" i="110"/>
  <c r="F575" i="110"/>
  <c r="F434" i="110"/>
  <c r="F562" i="110"/>
  <c r="F597" i="110"/>
  <c r="F432" i="110"/>
  <c r="F70" i="110"/>
  <c r="F125" i="110"/>
  <c r="F27" i="110"/>
  <c r="F323" i="110"/>
  <c r="F379" i="110"/>
  <c r="F246" i="110"/>
  <c r="F168" i="110"/>
  <c r="F444" i="110"/>
  <c r="F273" i="110"/>
  <c r="F236" i="110"/>
  <c r="F553" i="110"/>
  <c r="F251" i="110"/>
  <c r="F400" i="110"/>
  <c r="F401" i="110"/>
  <c r="F491" i="110"/>
  <c r="F556" i="110"/>
  <c r="F487" i="110"/>
  <c r="F506" i="110"/>
  <c r="F565" i="110"/>
  <c r="F430" i="110"/>
  <c r="F83" i="110"/>
  <c r="F145" i="110"/>
  <c r="F143" i="110"/>
  <c r="F62" i="110"/>
  <c r="F280" i="110"/>
  <c r="F19" i="110"/>
  <c r="F56" i="110"/>
  <c r="F205" i="110"/>
  <c r="F140" i="110"/>
  <c r="F443" i="110"/>
  <c r="F403" i="110"/>
  <c r="F138" i="110"/>
  <c r="F176" i="110"/>
  <c r="F563" i="110"/>
  <c r="F244" i="110"/>
  <c r="F342" i="110"/>
  <c r="F259" i="110"/>
  <c r="F406" i="110"/>
  <c r="F492" i="110"/>
  <c r="F548" i="110"/>
  <c r="F473" i="110"/>
  <c r="F404" i="110"/>
  <c r="F495" i="110"/>
  <c r="F573" i="110"/>
  <c r="F603" i="110"/>
  <c r="F438" i="110"/>
  <c r="F566" i="110"/>
  <c r="F127" i="110"/>
  <c r="F102" i="110"/>
  <c r="F141" i="110"/>
  <c r="F54" i="110"/>
  <c r="F11" i="110"/>
  <c r="F106" i="110"/>
  <c r="F48" i="110"/>
  <c r="F148" i="110"/>
  <c r="F146" i="110"/>
  <c r="F184" i="110"/>
  <c r="F252" i="110"/>
  <c r="F347" i="110"/>
  <c r="F576" i="110"/>
  <c r="F539" i="110"/>
  <c r="F357" i="110"/>
  <c r="F516" i="110"/>
  <c r="F308" i="110"/>
  <c r="F407" i="110"/>
  <c r="F572" i="110"/>
  <c r="F453" i="110"/>
  <c r="F446" i="110"/>
  <c r="F574" i="110"/>
  <c r="F229" i="110"/>
  <c r="F75" i="110"/>
  <c r="F94" i="110"/>
  <c r="F114" i="110"/>
  <c r="F93" i="110"/>
  <c r="F46" i="110"/>
  <c r="F132" i="110"/>
  <c r="F40" i="110"/>
  <c r="F192" i="110"/>
  <c r="F295" i="110"/>
  <c r="F476" i="110"/>
  <c r="F156" i="110"/>
  <c r="F270" i="110"/>
  <c r="F263" i="110"/>
  <c r="F532" i="110"/>
  <c r="F472" i="110"/>
  <c r="F260" i="110"/>
  <c r="F352" i="110"/>
  <c r="F536" i="110"/>
  <c r="F365" i="110"/>
  <c r="F316" i="110"/>
  <c r="F504" i="110"/>
  <c r="F457" i="110"/>
  <c r="F580" i="110"/>
  <c r="F461" i="110"/>
  <c r="F589" i="110"/>
  <c r="F584" i="110"/>
  <c r="F454" i="110"/>
  <c r="F582" i="110"/>
  <c r="F22" i="110"/>
  <c r="F336" i="110"/>
  <c r="F86" i="110"/>
  <c r="F271" i="110"/>
  <c r="F137" i="110"/>
  <c r="F38" i="110"/>
  <c r="F232" i="110"/>
  <c r="F100" i="110"/>
  <c r="F32" i="110"/>
  <c r="F186" i="110"/>
  <c r="F299" i="110"/>
  <c r="F288" i="110"/>
  <c r="F344" i="110"/>
  <c r="F268" i="110"/>
  <c r="F368" i="110"/>
  <c r="F309" i="110"/>
  <c r="F283" i="110"/>
  <c r="F505" i="110"/>
  <c r="F467" i="110"/>
  <c r="F324" i="110"/>
  <c r="F588" i="110"/>
  <c r="F469" i="110"/>
  <c r="F462" i="110"/>
  <c r="F590" i="110"/>
  <c r="F97" i="110"/>
  <c r="F150" i="110"/>
  <c r="F170" i="110"/>
  <c r="F307" i="110"/>
  <c r="F304" i="110"/>
  <c r="F500" i="110"/>
  <c r="F330" i="110"/>
  <c r="F552" i="110"/>
  <c r="F596" i="110"/>
  <c r="F527" i="110"/>
  <c r="F418" i="110"/>
  <c r="F546" i="110"/>
  <c r="F477" i="110"/>
  <c r="F600" i="110"/>
  <c r="F470" i="110"/>
  <c r="F598" i="110"/>
  <c r="F234" i="110"/>
  <c r="F302" i="110"/>
  <c r="F216" i="110"/>
  <c r="F284" i="110"/>
  <c r="F319" i="110"/>
  <c r="F485" i="110"/>
  <c r="F606" i="110"/>
  <c r="F269" i="110"/>
  <c r="F568" i="110"/>
  <c r="F199" i="110"/>
  <c r="F96" i="110"/>
  <c r="F317" i="110"/>
  <c r="F437" i="110"/>
  <c r="F480" i="110"/>
  <c r="F348" i="110"/>
  <c r="F415" i="110"/>
  <c r="F543" i="110"/>
  <c r="F493" i="110"/>
  <c r="F486" i="110"/>
  <c r="H10" i="110"/>
  <c r="H11" i="110" s="1"/>
  <c r="H12" i="110" s="1"/>
  <c r="H13" i="110" s="1"/>
  <c r="H14" i="110" s="1"/>
  <c r="H15" i="110" s="1"/>
  <c r="H16" i="110" s="1"/>
  <c r="H17" i="110" s="1"/>
  <c r="H18" i="110" s="1"/>
  <c r="H19" i="110" s="1"/>
  <c r="H20" i="110" s="1"/>
  <c r="H21" i="110" s="1"/>
  <c r="H22" i="110" s="1"/>
  <c r="H23" i="110" s="1"/>
  <c r="H24" i="110" s="1"/>
  <c r="H25" i="110" s="1"/>
  <c r="H26" i="110" s="1"/>
  <c r="H27" i="110" s="1"/>
  <c r="H28" i="110" s="1"/>
  <c r="H29" i="110" s="1"/>
  <c r="H30" i="110" s="1"/>
  <c r="H31" i="110" s="1"/>
  <c r="H32" i="110" s="1"/>
  <c r="H33" i="110" s="1"/>
  <c r="H34" i="110" s="1"/>
  <c r="H35" i="110" s="1"/>
  <c r="H36" i="110" s="1"/>
  <c r="H37" i="110" s="1"/>
  <c r="H38" i="110" s="1"/>
  <c r="H39" i="110" s="1"/>
  <c r="H40" i="110" s="1"/>
  <c r="H41" i="110" s="1"/>
  <c r="H42" i="110" s="1"/>
  <c r="H43" i="110" s="1"/>
  <c r="H44" i="110" s="1"/>
  <c r="H45" i="110" s="1"/>
  <c r="H46" i="110" s="1"/>
  <c r="H47" i="110" s="1"/>
  <c r="H48" i="110" s="1"/>
  <c r="H49" i="110" s="1"/>
  <c r="H50" i="110" s="1"/>
  <c r="H51" i="110" s="1"/>
  <c r="H52" i="110" s="1"/>
  <c r="H53" i="110" s="1"/>
  <c r="H54" i="110" s="1"/>
  <c r="H55" i="110" s="1"/>
  <c r="H56" i="110" s="1"/>
  <c r="H57" i="110" s="1"/>
  <c r="H58" i="110" s="1"/>
  <c r="H59" i="110" s="1"/>
  <c r="H60" i="110" s="1"/>
  <c r="H61" i="110" s="1"/>
  <c r="H62" i="110" s="1"/>
  <c r="H63" i="110" s="1"/>
  <c r="H64" i="110" s="1"/>
  <c r="H65" i="110" s="1"/>
  <c r="H66" i="110" s="1"/>
  <c r="H67" i="110" s="1"/>
  <c r="H68" i="110" s="1"/>
  <c r="H69" i="110" s="1"/>
  <c r="H70" i="110" s="1"/>
  <c r="H71" i="110" s="1"/>
  <c r="H72" i="110" s="1"/>
  <c r="H73" i="110" s="1"/>
  <c r="H74" i="110" s="1"/>
  <c r="H75" i="110" s="1"/>
  <c r="H76" i="110" s="1"/>
  <c r="H77" i="110" s="1"/>
  <c r="H78" i="110" s="1"/>
  <c r="H79" i="110" s="1"/>
  <c r="H80" i="110" s="1"/>
  <c r="H81" i="110" s="1"/>
  <c r="H82" i="110" s="1"/>
  <c r="H83" i="110" s="1"/>
  <c r="H84" i="110" s="1"/>
  <c r="H85" i="110" s="1"/>
  <c r="H86" i="110" s="1"/>
  <c r="H87" i="110" s="1"/>
  <c r="H88" i="110" s="1"/>
  <c r="H89" i="110" s="1"/>
  <c r="H90" i="110" s="1"/>
  <c r="H91" i="110" s="1"/>
  <c r="H92" i="110" s="1"/>
  <c r="H93" i="110" s="1"/>
  <c r="H94" i="110" s="1"/>
  <c r="H95" i="110" s="1"/>
  <c r="H96" i="110" s="1"/>
  <c r="H97" i="110" s="1"/>
  <c r="H98" i="110" s="1"/>
  <c r="H99" i="110" s="1"/>
  <c r="H100" i="110" s="1"/>
  <c r="H101" i="110" s="1"/>
  <c r="H102" i="110" s="1"/>
  <c r="H103" i="110" s="1"/>
  <c r="H104" i="110" s="1"/>
  <c r="H105" i="110" s="1"/>
  <c r="H106" i="110" s="1"/>
  <c r="H107" i="110" s="1"/>
  <c r="H108" i="110" s="1"/>
  <c r="H109" i="110" s="1"/>
  <c r="H110" i="110" s="1"/>
  <c r="H111" i="110" s="1"/>
  <c r="H112" i="110" s="1"/>
  <c r="H113" i="110" s="1"/>
  <c r="H114" i="110" s="1"/>
  <c r="H115" i="110" s="1"/>
  <c r="H116" i="110" s="1"/>
  <c r="H117" i="110" s="1"/>
  <c r="H118" i="110" s="1"/>
  <c r="H119" i="110" s="1"/>
  <c r="H120" i="110" s="1"/>
  <c r="H121" i="110" s="1"/>
  <c r="H122" i="110" s="1"/>
  <c r="H123" i="110" s="1"/>
  <c r="H124" i="110" s="1"/>
  <c r="H125" i="110" s="1"/>
  <c r="H126" i="110" s="1"/>
  <c r="H127" i="110" s="1"/>
  <c r="H128" i="110" s="1"/>
  <c r="H129" i="110" s="1"/>
  <c r="H130" i="110" s="1"/>
  <c r="H131" i="110" s="1"/>
  <c r="H132" i="110" s="1"/>
  <c r="H133" i="110" s="1"/>
  <c r="H134" i="110" s="1"/>
  <c r="H135" i="110" s="1"/>
  <c r="H136" i="110" s="1"/>
  <c r="H137" i="110" s="1"/>
  <c r="H138" i="110" s="1"/>
  <c r="H139" i="110" s="1"/>
  <c r="H140" i="110" s="1"/>
  <c r="H141" i="110" s="1"/>
  <c r="H142" i="110" s="1"/>
  <c r="H143" i="110" s="1"/>
  <c r="H144" i="110" s="1"/>
  <c r="H145" i="110" s="1"/>
  <c r="H146" i="110" s="1"/>
  <c r="H147" i="110" s="1"/>
  <c r="H148" i="110" s="1"/>
  <c r="H149" i="110" s="1"/>
  <c r="H150" i="110" s="1"/>
  <c r="H151" i="110" s="1"/>
  <c r="H152" i="110" s="1"/>
  <c r="H153" i="110" s="1"/>
  <c r="H154" i="110" s="1"/>
  <c r="H155" i="110" s="1"/>
  <c r="H156" i="110" s="1"/>
  <c r="H157" i="110" s="1"/>
  <c r="H158" i="110" s="1"/>
  <c r="H159" i="110" s="1"/>
  <c r="H160" i="110" s="1"/>
  <c r="H161" i="110" s="1"/>
  <c r="H162" i="110" s="1"/>
  <c r="H163" i="110" s="1"/>
  <c r="H164" i="110" s="1"/>
  <c r="H165" i="110" s="1"/>
  <c r="H166" i="110" s="1"/>
  <c r="H167" i="110" s="1"/>
  <c r="H168" i="110" s="1"/>
  <c r="H169" i="110" s="1"/>
  <c r="H170" i="110" s="1"/>
  <c r="H171" i="110" s="1"/>
  <c r="H172" i="110" s="1"/>
  <c r="H173" i="110" s="1"/>
  <c r="H174" i="110" s="1"/>
  <c r="H175" i="110" s="1"/>
  <c r="H176" i="110" s="1"/>
  <c r="H177" i="110" s="1"/>
  <c r="H178" i="110" s="1"/>
  <c r="H179" i="110" s="1"/>
  <c r="H180" i="110" s="1"/>
  <c r="H181" i="110" s="1"/>
  <c r="H182" i="110" s="1"/>
  <c r="H183" i="110" s="1"/>
  <c r="H184" i="110" s="1"/>
  <c r="H185" i="110" s="1"/>
  <c r="H186" i="110" s="1"/>
  <c r="H187" i="110" s="1"/>
  <c r="H188" i="110" s="1"/>
  <c r="H189" i="110" s="1"/>
  <c r="H190" i="110" s="1"/>
  <c r="H191" i="110" s="1"/>
  <c r="H192" i="110" s="1"/>
  <c r="H193" i="110" s="1"/>
  <c r="H194" i="110" s="1"/>
  <c r="H195" i="110" s="1"/>
  <c r="H196" i="110" s="1"/>
  <c r="H197" i="110" s="1"/>
  <c r="H198" i="110" s="1"/>
  <c r="H199" i="110" s="1"/>
  <c r="H200" i="110" s="1"/>
  <c r="H201" i="110" s="1"/>
  <c r="H202" i="110" s="1"/>
  <c r="H203" i="110" s="1"/>
  <c r="H204" i="110" s="1"/>
  <c r="H205" i="110" s="1"/>
  <c r="H206" i="110" s="1"/>
  <c r="H207" i="110" s="1"/>
  <c r="H208" i="110" s="1"/>
  <c r="H209" i="110" s="1"/>
  <c r="H210" i="110" s="1"/>
  <c r="H211" i="110" s="1"/>
  <c r="H212" i="110" s="1"/>
  <c r="H213" i="110" s="1"/>
  <c r="H214" i="110" s="1"/>
  <c r="H215" i="110" s="1"/>
  <c r="H216" i="110" s="1"/>
  <c r="H217" i="110" s="1"/>
  <c r="H218" i="110" s="1"/>
  <c r="H219" i="110" s="1"/>
  <c r="H220" i="110" s="1"/>
  <c r="H221" i="110" s="1"/>
  <c r="H222" i="110" s="1"/>
  <c r="H223" i="110" s="1"/>
  <c r="H224" i="110" s="1"/>
  <c r="H225" i="110" s="1"/>
  <c r="H226" i="110" s="1"/>
  <c r="H227" i="110" s="1"/>
  <c r="H228" i="110" s="1"/>
  <c r="H229" i="110" s="1"/>
  <c r="H230" i="110" s="1"/>
  <c r="H231" i="110" s="1"/>
  <c r="H232" i="110" s="1"/>
  <c r="H233" i="110" s="1"/>
  <c r="H234" i="110" s="1"/>
  <c r="H235" i="110" s="1"/>
  <c r="H236" i="110" s="1"/>
  <c r="H237" i="110" s="1"/>
  <c r="H238" i="110" s="1"/>
  <c r="H239" i="110" s="1"/>
  <c r="H240" i="110" s="1"/>
  <c r="H241" i="110" s="1"/>
  <c r="H242" i="110" s="1"/>
  <c r="H243" i="110" s="1"/>
  <c r="H244" i="110" s="1"/>
  <c r="H245" i="110" s="1"/>
  <c r="H246" i="110" s="1"/>
  <c r="H247" i="110" s="1"/>
  <c r="H248" i="110" s="1"/>
  <c r="H249" i="110" s="1"/>
  <c r="H250" i="110" s="1"/>
  <c r="H251" i="110" s="1"/>
  <c r="H252" i="110" s="1"/>
  <c r="H253" i="110" s="1"/>
  <c r="H254" i="110" s="1"/>
  <c r="H255" i="110" s="1"/>
  <c r="H256" i="110" s="1"/>
  <c r="H257" i="110" s="1"/>
  <c r="H258" i="110" s="1"/>
  <c r="H259" i="110" s="1"/>
  <c r="H260" i="110" s="1"/>
  <c r="H261" i="110" s="1"/>
  <c r="H262" i="110" s="1"/>
  <c r="H263" i="110" s="1"/>
  <c r="H264" i="110" s="1"/>
  <c r="H265" i="110" s="1"/>
  <c r="H266" i="110" s="1"/>
  <c r="H267" i="110" s="1"/>
  <c r="H268" i="110" s="1"/>
  <c r="H269" i="110" s="1"/>
  <c r="H270" i="110" s="1"/>
  <c r="H271" i="110" s="1"/>
  <c r="H272" i="110" s="1"/>
  <c r="H273" i="110" s="1"/>
  <c r="H274" i="110" s="1"/>
  <c r="H275" i="110" s="1"/>
  <c r="H276" i="110" s="1"/>
  <c r="H277" i="110" s="1"/>
  <c r="H278" i="110" s="1"/>
  <c r="H279" i="110" s="1"/>
  <c r="H280" i="110" s="1"/>
  <c r="H281" i="110" s="1"/>
  <c r="H282" i="110" s="1"/>
  <c r="H283" i="110" s="1"/>
  <c r="H284" i="110" s="1"/>
  <c r="H285" i="110" s="1"/>
  <c r="H286" i="110" s="1"/>
  <c r="H287" i="110" s="1"/>
  <c r="H288" i="110" s="1"/>
  <c r="H289" i="110" s="1"/>
  <c r="H290" i="110" s="1"/>
  <c r="H291" i="110" s="1"/>
  <c r="H292" i="110" s="1"/>
  <c r="H293" i="110" s="1"/>
  <c r="H294" i="110" s="1"/>
  <c r="H295" i="110" s="1"/>
  <c r="H296" i="110" s="1"/>
  <c r="H297" i="110" s="1"/>
  <c r="H298" i="110" s="1"/>
  <c r="H299" i="110" s="1"/>
  <c r="H300" i="110" s="1"/>
  <c r="H301" i="110" s="1"/>
  <c r="H302" i="110" s="1"/>
  <c r="H303" i="110" s="1"/>
  <c r="H304" i="110" s="1"/>
  <c r="H305" i="110" s="1"/>
  <c r="H306" i="110" s="1"/>
  <c r="H307" i="110" s="1"/>
  <c r="H308" i="110" s="1"/>
  <c r="H309" i="110" s="1"/>
  <c r="H310" i="110" s="1"/>
  <c r="H311" i="110" s="1"/>
  <c r="H312" i="110" s="1"/>
  <c r="H313" i="110" s="1"/>
  <c r="H314" i="110" s="1"/>
  <c r="H315" i="110" s="1"/>
  <c r="H316" i="110" s="1"/>
  <c r="H317" i="110" s="1"/>
  <c r="H318" i="110" s="1"/>
  <c r="H319" i="110" s="1"/>
  <c r="H320" i="110" s="1"/>
  <c r="H321" i="110" s="1"/>
  <c r="H322" i="110" s="1"/>
  <c r="H323" i="110" s="1"/>
  <c r="H324" i="110" s="1"/>
  <c r="H325" i="110" s="1"/>
  <c r="H326" i="110" s="1"/>
  <c r="H327" i="110" s="1"/>
  <c r="H328" i="110" s="1"/>
  <c r="H329" i="110" s="1"/>
  <c r="H330" i="110" s="1"/>
  <c r="H331" i="110" s="1"/>
  <c r="H332" i="110" s="1"/>
  <c r="H333" i="110" s="1"/>
  <c r="H334" i="110" s="1"/>
  <c r="H335" i="110" s="1"/>
  <c r="H336" i="110" s="1"/>
  <c r="H337" i="110" s="1"/>
  <c r="H338" i="110" s="1"/>
  <c r="H339" i="110" s="1"/>
  <c r="H340" i="110" s="1"/>
  <c r="H341" i="110" s="1"/>
  <c r="H342" i="110" s="1"/>
  <c r="H343" i="110" s="1"/>
  <c r="H344" i="110" s="1"/>
  <c r="H345" i="110" s="1"/>
  <c r="H346" i="110" s="1"/>
  <c r="H347" i="110" s="1"/>
  <c r="H348" i="110" s="1"/>
  <c r="H349" i="110" s="1"/>
  <c r="H350" i="110" s="1"/>
  <c r="H351" i="110" s="1"/>
  <c r="H352" i="110" s="1"/>
  <c r="H353" i="110" s="1"/>
  <c r="H354" i="110" s="1"/>
  <c r="H355" i="110" s="1"/>
  <c r="H356" i="110" s="1"/>
  <c r="H357" i="110" s="1"/>
  <c r="H358" i="110" s="1"/>
  <c r="H359" i="110" s="1"/>
  <c r="H360" i="110" s="1"/>
  <c r="H361" i="110" s="1"/>
  <c r="H362" i="110" s="1"/>
  <c r="H363" i="110" s="1"/>
  <c r="H364" i="110" s="1"/>
  <c r="H365" i="110" s="1"/>
  <c r="H366" i="110" s="1"/>
  <c r="H367" i="110" s="1"/>
  <c r="H368" i="110" s="1"/>
  <c r="H369" i="110" s="1"/>
  <c r="H370" i="110" s="1"/>
  <c r="H371" i="110" s="1"/>
  <c r="H372" i="110" s="1"/>
  <c r="H373" i="110" s="1"/>
  <c r="H374" i="110" s="1"/>
  <c r="H375" i="110" s="1"/>
  <c r="H376" i="110" s="1"/>
  <c r="H377" i="110" s="1"/>
  <c r="H378" i="110" s="1"/>
  <c r="H379" i="110" s="1"/>
  <c r="H380" i="110" s="1"/>
  <c r="H381" i="110" s="1"/>
  <c r="H382" i="110" s="1"/>
  <c r="H383" i="110" s="1"/>
  <c r="H384" i="110" s="1"/>
  <c r="H385" i="110" s="1"/>
  <c r="H386" i="110" s="1"/>
  <c r="H387" i="110" s="1"/>
  <c r="H388" i="110" s="1"/>
  <c r="H389" i="110" s="1"/>
  <c r="H390" i="110" s="1"/>
  <c r="H391" i="110" s="1"/>
  <c r="H392" i="110" s="1"/>
  <c r="H393" i="110" s="1"/>
  <c r="H394" i="110" s="1"/>
  <c r="H395" i="110" s="1"/>
  <c r="H396" i="110" s="1"/>
  <c r="H397" i="110" s="1"/>
  <c r="H398" i="110" s="1"/>
  <c r="H399" i="110" s="1"/>
  <c r="H400" i="110" s="1"/>
  <c r="H401" i="110" s="1"/>
  <c r="H402" i="110" s="1"/>
  <c r="H403" i="110" s="1"/>
  <c r="H404" i="110" s="1"/>
  <c r="H405" i="110" s="1"/>
  <c r="H406" i="110" s="1"/>
  <c r="H407" i="110" s="1"/>
  <c r="H408" i="110" s="1"/>
  <c r="H409" i="110" s="1"/>
  <c r="H410" i="110" s="1"/>
  <c r="H411" i="110" s="1"/>
  <c r="H412" i="110" s="1"/>
  <c r="H413" i="110" s="1"/>
  <c r="H414" i="110" s="1"/>
  <c r="H415" i="110" s="1"/>
  <c r="H416" i="110" s="1"/>
  <c r="H417" i="110" s="1"/>
  <c r="H418" i="110" s="1"/>
  <c r="H419" i="110" s="1"/>
  <c r="H420" i="110" s="1"/>
  <c r="H421" i="110" s="1"/>
  <c r="H422" i="110" s="1"/>
  <c r="H423" i="110" s="1"/>
  <c r="H424" i="110" s="1"/>
  <c r="H425" i="110" s="1"/>
  <c r="H426" i="110" s="1"/>
  <c r="H427" i="110" s="1"/>
  <c r="H428" i="110" s="1"/>
  <c r="H429" i="110" s="1"/>
  <c r="H430" i="110" s="1"/>
  <c r="H431" i="110" s="1"/>
  <c r="H432" i="110" s="1"/>
  <c r="H433" i="110" s="1"/>
  <c r="H434" i="110" s="1"/>
  <c r="H435" i="110" s="1"/>
  <c r="H436" i="110" s="1"/>
  <c r="H437" i="110" s="1"/>
  <c r="H438" i="110" s="1"/>
  <c r="H439" i="110" s="1"/>
  <c r="H440" i="110" s="1"/>
  <c r="H441" i="110" s="1"/>
  <c r="H442" i="110" s="1"/>
  <c r="H443" i="110" s="1"/>
  <c r="H444" i="110" s="1"/>
  <c r="H445" i="110" s="1"/>
  <c r="H446" i="110" s="1"/>
  <c r="H447" i="110" s="1"/>
  <c r="H448" i="110" s="1"/>
  <c r="H449" i="110" s="1"/>
  <c r="H450" i="110" s="1"/>
  <c r="H451" i="110" s="1"/>
  <c r="H452" i="110" s="1"/>
  <c r="H453" i="110" s="1"/>
  <c r="H454" i="110" s="1"/>
  <c r="H455" i="110" s="1"/>
  <c r="H456" i="110" s="1"/>
  <c r="H457" i="110" s="1"/>
  <c r="H458" i="110" s="1"/>
  <c r="H459" i="110" s="1"/>
  <c r="H460" i="110" s="1"/>
  <c r="H461" i="110" s="1"/>
  <c r="H462" i="110" s="1"/>
  <c r="H463" i="110" s="1"/>
  <c r="H464" i="110" s="1"/>
  <c r="H465" i="110" s="1"/>
  <c r="H466" i="110" s="1"/>
  <c r="H467" i="110" s="1"/>
  <c r="H468" i="110" s="1"/>
  <c r="H469" i="110" s="1"/>
  <c r="H470" i="110" s="1"/>
  <c r="H471" i="110" s="1"/>
  <c r="H472" i="110" s="1"/>
  <c r="H473" i="110" s="1"/>
  <c r="H474" i="110" s="1"/>
  <c r="H475" i="110" s="1"/>
  <c r="H476" i="110" s="1"/>
  <c r="H477" i="110" s="1"/>
  <c r="H478" i="110" s="1"/>
  <c r="H479" i="110" s="1"/>
  <c r="H480" i="110" s="1"/>
  <c r="H481" i="110" s="1"/>
  <c r="H482" i="110" s="1"/>
  <c r="H483" i="110" s="1"/>
  <c r="H484" i="110" s="1"/>
  <c r="H485" i="110" s="1"/>
  <c r="H486" i="110" s="1"/>
  <c r="H487" i="110" s="1"/>
  <c r="H488" i="110" s="1"/>
  <c r="H489" i="110" s="1"/>
  <c r="H490" i="110" s="1"/>
  <c r="H491" i="110" s="1"/>
  <c r="H492" i="110" s="1"/>
  <c r="H493" i="110" s="1"/>
  <c r="H494" i="110" s="1"/>
  <c r="H495" i="110" s="1"/>
  <c r="H496" i="110" s="1"/>
  <c r="H497" i="110" s="1"/>
  <c r="H498" i="110" s="1"/>
  <c r="H499" i="110" s="1"/>
  <c r="H500" i="110" s="1"/>
  <c r="H501" i="110" s="1"/>
  <c r="H502" i="110" s="1"/>
  <c r="H503" i="110" s="1"/>
  <c r="H504" i="110" s="1"/>
  <c r="H505" i="110" s="1"/>
  <c r="H506" i="110" s="1"/>
  <c r="H507" i="110" s="1"/>
  <c r="H508" i="110" s="1"/>
  <c r="H509" i="110" s="1"/>
  <c r="H510" i="110" s="1"/>
  <c r="H511" i="110" s="1"/>
  <c r="H512" i="110" s="1"/>
  <c r="H513" i="110" s="1"/>
  <c r="H514" i="110" s="1"/>
  <c r="H515" i="110" s="1"/>
  <c r="H516" i="110" s="1"/>
  <c r="H517" i="110" s="1"/>
  <c r="H518" i="110" s="1"/>
  <c r="H519" i="110" s="1"/>
  <c r="H520" i="110" s="1"/>
  <c r="H521" i="110" s="1"/>
  <c r="H522" i="110" s="1"/>
  <c r="H523" i="110" s="1"/>
  <c r="H524" i="110" s="1"/>
  <c r="H525" i="110" s="1"/>
  <c r="H526" i="110" s="1"/>
  <c r="H527" i="110" s="1"/>
  <c r="H528" i="110" s="1"/>
  <c r="H529" i="110" s="1"/>
  <c r="H530" i="110" s="1"/>
  <c r="H531" i="110" s="1"/>
  <c r="H532" i="110" s="1"/>
  <c r="H533" i="110" s="1"/>
  <c r="H534" i="110" s="1"/>
  <c r="H535" i="110" s="1"/>
  <c r="H536" i="110" s="1"/>
  <c r="H537" i="110" s="1"/>
  <c r="H538" i="110" s="1"/>
  <c r="H539" i="110" s="1"/>
  <c r="H540" i="110" s="1"/>
  <c r="H541" i="110" s="1"/>
  <c r="H542" i="110" s="1"/>
  <c r="H543" i="110" s="1"/>
  <c r="H544" i="110" s="1"/>
  <c r="H545" i="110" s="1"/>
  <c r="H546" i="110" s="1"/>
  <c r="H547" i="110" s="1"/>
  <c r="H548" i="110" s="1"/>
  <c r="H549" i="110" s="1"/>
  <c r="H550" i="110" s="1"/>
  <c r="H551" i="110" s="1"/>
  <c r="H552" i="110" s="1"/>
  <c r="H553" i="110" s="1"/>
  <c r="H554" i="110" s="1"/>
  <c r="H555" i="110" s="1"/>
  <c r="H556" i="110" s="1"/>
  <c r="H557" i="110" s="1"/>
  <c r="H558" i="110" s="1"/>
  <c r="H559" i="110" s="1"/>
  <c r="H560" i="110" s="1"/>
  <c r="H561" i="110" s="1"/>
  <c r="H562" i="110" s="1"/>
  <c r="H563" i="110" s="1"/>
  <c r="H564" i="110" s="1"/>
  <c r="H565" i="110" s="1"/>
  <c r="H566" i="110" s="1"/>
  <c r="H567" i="110" s="1"/>
  <c r="H568" i="110" s="1"/>
  <c r="H569" i="110" s="1"/>
  <c r="H570" i="110" s="1"/>
  <c r="H571" i="110" s="1"/>
  <c r="H572" i="110" s="1"/>
  <c r="H573" i="110" s="1"/>
  <c r="H574" i="110" s="1"/>
  <c r="H575" i="110" s="1"/>
  <c r="H576" i="110" s="1"/>
  <c r="H577" i="110" s="1"/>
  <c r="H578" i="110" s="1"/>
  <c r="H579" i="110" s="1"/>
  <c r="H580" i="110" s="1"/>
  <c r="H581" i="110" s="1"/>
  <c r="H582" i="110" s="1"/>
  <c r="H583" i="110" s="1"/>
  <c r="H584" i="110" s="1"/>
  <c r="H585" i="110" s="1"/>
  <c r="H586" i="110" s="1"/>
  <c r="H587" i="110" s="1"/>
  <c r="H588" i="110" s="1"/>
  <c r="H589" i="110" s="1"/>
  <c r="H590" i="110" s="1"/>
  <c r="H591" i="110" s="1"/>
  <c r="H592" i="110" s="1"/>
  <c r="H593" i="110" s="1"/>
  <c r="H594" i="110" s="1"/>
  <c r="H595" i="110" s="1"/>
  <c r="H596" i="110" s="1"/>
  <c r="H597" i="110" s="1"/>
  <c r="H598" i="110" s="1"/>
  <c r="H599" i="110" s="1"/>
  <c r="H600" i="110" s="1"/>
  <c r="H601" i="110" s="1"/>
  <c r="H602" i="110" s="1"/>
  <c r="H603" i="110" s="1"/>
  <c r="H604" i="110" s="1"/>
  <c r="H605" i="110" s="1"/>
  <c r="H606" i="110" s="1"/>
  <c r="H607" i="110" s="1"/>
  <c r="H608" i="110" s="1"/>
  <c r="F202" i="110"/>
  <c r="F193" i="110"/>
  <c r="F104" i="110"/>
  <c r="F314" i="110"/>
  <c r="F416" i="110"/>
  <c r="F331" i="110"/>
  <c r="F390" i="110"/>
  <c r="F501" i="110"/>
  <c r="F494" i="110"/>
  <c r="F119" i="110"/>
  <c r="F261" i="110"/>
  <c r="F393" i="110"/>
  <c r="F364" i="110"/>
  <c r="F450" i="110"/>
  <c r="F578" i="110"/>
  <c r="F509" i="110"/>
  <c r="F502" i="110"/>
  <c r="F274" i="110"/>
  <c r="F337" i="110"/>
  <c r="F301" i="110"/>
  <c r="F203" i="110"/>
  <c r="F370" i="110"/>
  <c r="F458" i="110"/>
  <c r="F586" i="110"/>
  <c r="F510" i="110"/>
  <c r="F188" i="110"/>
  <c r="F211" i="110"/>
  <c r="F508" i="110"/>
  <c r="F287" i="110"/>
  <c r="F448" i="110"/>
  <c r="F577" i="110"/>
  <c r="F455" i="110"/>
  <c r="F583" i="110"/>
  <c r="F533" i="110"/>
  <c r="F526" i="110"/>
  <c r="F136" i="110"/>
  <c r="F111" i="110"/>
  <c r="F89" i="110"/>
  <c r="F51" i="110"/>
  <c r="F262" i="110"/>
  <c r="G10" i="110"/>
  <c r="G11" i="110" s="1"/>
  <c r="G12" i="110" s="1"/>
  <c r="G13" i="110" s="1"/>
  <c r="G14" i="110" s="1"/>
  <c r="G15" i="110" s="1"/>
  <c r="G16" i="110" s="1"/>
  <c r="G17" i="110" s="1"/>
  <c r="G18" i="110" s="1"/>
  <c r="G19" i="110" s="1"/>
  <c r="G20" i="110" s="1"/>
  <c r="G21" i="110" s="1"/>
  <c r="G22" i="110" s="1"/>
  <c r="G23" i="110" s="1"/>
  <c r="G24" i="110" s="1"/>
  <c r="G25" i="110" s="1"/>
  <c r="G26" i="110" s="1"/>
  <c r="G27" i="110" s="1"/>
  <c r="G28" i="110" s="1"/>
  <c r="G29" i="110" s="1"/>
  <c r="G30" i="110" s="1"/>
  <c r="G31" i="110" s="1"/>
  <c r="G32" i="110" s="1"/>
  <c r="G33" i="110" s="1"/>
  <c r="F194" i="110"/>
  <c r="F169" i="110"/>
  <c r="F285" i="110"/>
  <c r="F249" i="110"/>
  <c r="F212" i="110"/>
  <c r="F408" i="110"/>
  <c r="F561" i="110"/>
  <c r="F419" i="110"/>
  <c r="F512" i="110"/>
  <c r="F392" i="110"/>
  <c r="F585" i="110"/>
  <c r="F482" i="110"/>
  <c r="F541" i="110"/>
  <c r="F534" i="110"/>
  <c r="F122" i="110"/>
  <c r="F191" i="110"/>
  <c r="F363" i="110"/>
  <c r="F320" i="110"/>
  <c r="F43" i="110"/>
  <c r="F80" i="110"/>
  <c r="F207" i="110"/>
  <c r="F177" i="110"/>
  <c r="F152" i="110"/>
  <c r="F429" i="110"/>
  <c r="F257" i="110"/>
  <c r="F220" i="110"/>
  <c r="F325" i="110"/>
  <c r="F507" i="110"/>
  <c r="F235" i="110"/>
  <c r="F355" i="110"/>
  <c r="F328" i="110"/>
  <c r="F411" i="110"/>
  <c r="F427" i="110"/>
  <c r="F460" i="110"/>
  <c r="F395" i="110"/>
  <c r="F569" i="110"/>
  <c r="F521" i="110"/>
  <c r="F593" i="110"/>
  <c r="F471" i="110"/>
  <c r="F599" i="110"/>
  <c r="F490" i="110"/>
  <c r="F549" i="110"/>
  <c r="F414" i="110"/>
  <c r="F542" i="110"/>
  <c r="F149" i="110"/>
  <c r="F30" i="110"/>
  <c r="F117" i="110"/>
  <c r="F67" i="110"/>
  <c r="F59" i="110"/>
  <c r="F161" i="110"/>
  <c r="F108" i="110"/>
  <c r="F105" i="110"/>
  <c r="F78" i="110"/>
  <c r="F135" i="110"/>
  <c r="F35" i="110"/>
  <c r="F72" i="110"/>
  <c r="F91" i="110"/>
  <c r="F214" i="110"/>
  <c r="F239" i="110"/>
  <c r="F160" i="110"/>
  <c r="F265" i="110"/>
  <c r="F540" i="110"/>
  <c r="F367" i="110"/>
  <c r="F329" i="110"/>
  <c r="F243" i="110"/>
  <c r="F371" i="110"/>
  <c r="F531" i="110"/>
  <c r="F398" i="110"/>
  <c r="F441" i="110"/>
  <c r="F601" i="110"/>
  <c r="F479" i="110"/>
  <c r="F607" i="110"/>
  <c r="F498" i="110"/>
  <c r="F557" i="110"/>
  <c r="F587" i="110"/>
  <c r="F422" i="110"/>
  <c r="F550" i="110"/>
  <c r="H6" i="111" l="1"/>
  <c r="M8" i="109" s="1"/>
  <c r="G21" i="111"/>
  <c r="G22" i="111" s="1"/>
  <c r="G23" i="111" s="1"/>
  <c r="G24" i="111" s="1"/>
  <c r="G25" i="111" s="1"/>
  <c r="G26" i="111" s="1"/>
  <c r="G27" i="111" s="1"/>
  <c r="G28" i="111" s="1"/>
  <c r="G29" i="111" s="1"/>
  <c r="G30" i="111" s="1"/>
  <c r="G31" i="111" s="1"/>
  <c r="G32" i="111" s="1"/>
  <c r="G33" i="111" s="1"/>
  <c r="G34" i="111" s="1"/>
  <c r="G35" i="111" s="1"/>
  <c r="G36" i="111" s="1"/>
  <c r="G37" i="111" s="1"/>
  <c r="G38" i="111" s="1"/>
  <c r="G39" i="111" s="1"/>
  <c r="G40" i="111" s="1"/>
  <c r="G41" i="111" s="1"/>
  <c r="G42" i="111" s="1"/>
  <c r="G43" i="111" s="1"/>
  <c r="G44" i="111" s="1"/>
  <c r="G45" i="111" s="1"/>
  <c r="G46" i="111" s="1"/>
  <c r="G47" i="111" s="1"/>
  <c r="G48" i="111" s="1"/>
  <c r="G49" i="111" s="1"/>
  <c r="G50" i="111" s="1"/>
  <c r="G51" i="111" s="1"/>
  <c r="G52" i="111" s="1"/>
  <c r="G53" i="111" s="1"/>
  <c r="G54" i="111" s="1"/>
  <c r="G55" i="111" s="1"/>
  <c r="G56" i="111" s="1"/>
  <c r="G57" i="111" s="1"/>
  <c r="G58" i="111" s="1"/>
  <c r="G59" i="111" s="1"/>
  <c r="G60" i="111" s="1"/>
  <c r="G61" i="111" s="1"/>
  <c r="G62" i="111" s="1"/>
  <c r="G63" i="111" s="1"/>
  <c r="G64" i="111" s="1"/>
  <c r="G65" i="111" s="1"/>
  <c r="G66" i="111" s="1"/>
  <c r="G67" i="111" s="1"/>
  <c r="G68" i="111" s="1"/>
  <c r="G69" i="111" s="1"/>
  <c r="G70" i="111" s="1"/>
  <c r="G71" i="111" s="1"/>
  <c r="G72" i="111" s="1"/>
  <c r="G73" i="111" s="1"/>
  <c r="G74" i="111" s="1"/>
  <c r="G75" i="111" s="1"/>
  <c r="G76" i="111" s="1"/>
  <c r="G77" i="111" s="1"/>
  <c r="G78" i="111" s="1"/>
  <c r="G79" i="111" s="1"/>
  <c r="G80" i="111" s="1"/>
  <c r="G81" i="111" s="1"/>
  <c r="G82" i="111" s="1"/>
  <c r="G83" i="111" s="1"/>
  <c r="G84" i="111" s="1"/>
  <c r="G85" i="111" s="1"/>
  <c r="G86" i="111" s="1"/>
  <c r="G87" i="111" s="1"/>
  <c r="G88" i="111" s="1"/>
  <c r="G89" i="111" s="1"/>
  <c r="G90" i="111" s="1"/>
  <c r="G91" i="111" s="1"/>
  <c r="G92" i="111" s="1"/>
  <c r="G93" i="111" s="1"/>
  <c r="G94" i="111" s="1"/>
  <c r="G95" i="111" s="1"/>
  <c r="G96" i="111" s="1"/>
  <c r="G97" i="111" s="1"/>
  <c r="G98" i="111" s="1"/>
  <c r="G99" i="111" s="1"/>
  <c r="G100" i="111" s="1"/>
  <c r="G101" i="111" s="1"/>
  <c r="G102" i="111" s="1"/>
  <c r="G103" i="111" s="1"/>
  <c r="G104" i="111" s="1"/>
  <c r="G105" i="111" s="1"/>
  <c r="G106" i="111" s="1"/>
  <c r="G107" i="111" s="1"/>
  <c r="G108" i="111" s="1"/>
  <c r="G109" i="111" s="1"/>
  <c r="G110" i="111" s="1"/>
  <c r="G111" i="111" s="1"/>
  <c r="G112" i="111" s="1"/>
  <c r="G113" i="111" s="1"/>
  <c r="G114" i="111" s="1"/>
  <c r="G115" i="111" s="1"/>
  <c r="G116" i="111" s="1"/>
  <c r="G117" i="111" s="1"/>
  <c r="G118" i="111" s="1"/>
  <c r="G119" i="111" s="1"/>
  <c r="G120" i="111" s="1"/>
  <c r="G121" i="111" s="1"/>
  <c r="G122" i="111" s="1"/>
  <c r="G123" i="111" s="1"/>
  <c r="G124" i="111" s="1"/>
  <c r="G125" i="111" s="1"/>
  <c r="G126" i="111" s="1"/>
  <c r="G127" i="111" s="1"/>
  <c r="G128" i="111" s="1"/>
  <c r="G129" i="111" s="1"/>
  <c r="G130" i="111" s="1"/>
  <c r="G131" i="111" s="1"/>
  <c r="G132" i="111" s="1"/>
  <c r="G133" i="111" s="1"/>
  <c r="G134" i="111" s="1"/>
  <c r="G135" i="111" s="1"/>
  <c r="G136" i="111" s="1"/>
  <c r="G137" i="111" s="1"/>
  <c r="G138" i="111" s="1"/>
  <c r="G139" i="111" s="1"/>
  <c r="G140" i="111" s="1"/>
  <c r="G141" i="111" s="1"/>
  <c r="G142" i="111" s="1"/>
  <c r="G143" i="111" s="1"/>
  <c r="G144" i="111" s="1"/>
  <c r="G145" i="111" s="1"/>
  <c r="G146" i="111" s="1"/>
  <c r="G147" i="111" s="1"/>
  <c r="G148" i="111" s="1"/>
  <c r="G149" i="111" s="1"/>
  <c r="G150" i="111" s="1"/>
  <c r="G151" i="111" s="1"/>
  <c r="G152" i="111" s="1"/>
  <c r="G6" i="111"/>
  <c r="L8" i="109" s="1"/>
  <c r="F6" i="111"/>
  <c r="K8" i="109" s="1"/>
  <c r="F6" i="110"/>
  <c r="K7" i="109" s="1"/>
  <c r="H6" i="110"/>
  <c r="M7" i="109" s="1"/>
  <c r="G6" i="110"/>
  <c r="G34" i="110"/>
  <c r="G35" i="110" s="1"/>
  <c r="G36" i="110" s="1"/>
  <c r="G37" i="110" s="1"/>
  <c r="G38" i="110" s="1"/>
  <c r="G39" i="110" s="1"/>
  <c r="G40" i="110" s="1"/>
  <c r="G41" i="110" s="1"/>
  <c r="G42" i="110" s="1"/>
  <c r="G43" i="110" s="1"/>
  <c r="G44" i="110" s="1"/>
  <c r="G45" i="110" s="1"/>
  <c r="G46" i="110" s="1"/>
  <c r="G47" i="110" s="1"/>
  <c r="G48" i="110" s="1"/>
  <c r="G49" i="110" s="1"/>
  <c r="G50" i="110" s="1"/>
  <c r="G51" i="110" s="1"/>
  <c r="G52" i="110" s="1"/>
  <c r="G53" i="110" s="1"/>
  <c r="G54" i="110" s="1"/>
  <c r="G55" i="110" s="1"/>
  <c r="G56" i="110" s="1"/>
  <c r="G57" i="110" s="1"/>
  <c r="G58" i="110" s="1"/>
  <c r="G59" i="110" s="1"/>
  <c r="G60" i="110" s="1"/>
  <c r="G61" i="110" s="1"/>
  <c r="G62" i="110" s="1"/>
  <c r="G63" i="110" s="1"/>
  <c r="G64" i="110" s="1"/>
  <c r="G65" i="110" s="1"/>
  <c r="G66" i="110" s="1"/>
  <c r="G67" i="110" s="1"/>
  <c r="G68" i="110" s="1"/>
  <c r="G69" i="110" s="1"/>
  <c r="G70" i="110" s="1"/>
  <c r="G71" i="110" s="1"/>
  <c r="G72" i="110" s="1"/>
  <c r="G73" i="110" s="1"/>
  <c r="G74" i="110" s="1"/>
  <c r="G75" i="110" s="1"/>
  <c r="G76" i="110" s="1"/>
  <c r="G77" i="110" s="1"/>
  <c r="G78" i="110" s="1"/>
  <c r="G79" i="110" s="1"/>
  <c r="G80" i="110" s="1"/>
  <c r="G81" i="110" s="1"/>
  <c r="G82" i="110" s="1"/>
  <c r="G83" i="110" s="1"/>
  <c r="G84" i="110" s="1"/>
  <c r="G85" i="110" s="1"/>
  <c r="G86" i="110" s="1"/>
  <c r="G87" i="110" s="1"/>
  <c r="G88" i="110" s="1"/>
  <c r="G89" i="110" s="1"/>
  <c r="G90" i="110" s="1"/>
  <c r="G91" i="110" s="1"/>
  <c r="G92" i="110" s="1"/>
  <c r="G93" i="110" s="1"/>
  <c r="G94" i="110" s="1"/>
  <c r="G95" i="110" s="1"/>
  <c r="G96" i="110" s="1"/>
  <c r="G97" i="110" s="1"/>
  <c r="G98" i="110" s="1"/>
  <c r="G99" i="110" s="1"/>
  <c r="G100" i="110" s="1"/>
  <c r="G101" i="110" s="1"/>
  <c r="G102" i="110" s="1"/>
  <c r="G103" i="110" s="1"/>
  <c r="G104" i="110" s="1"/>
  <c r="G105" i="110" s="1"/>
  <c r="G106" i="110" s="1"/>
  <c r="G107" i="110" s="1"/>
  <c r="G108" i="110" s="1"/>
  <c r="G109" i="110" s="1"/>
  <c r="G110" i="110" s="1"/>
  <c r="G111" i="110" s="1"/>
  <c r="G112" i="110" s="1"/>
  <c r="G113" i="110" s="1"/>
  <c r="G114" i="110" s="1"/>
  <c r="G115" i="110" s="1"/>
  <c r="G116" i="110" s="1"/>
  <c r="G117" i="110" s="1"/>
  <c r="G118" i="110" s="1"/>
  <c r="G119" i="110" s="1"/>
  <c r="G120" i="110" s="1"/>
  <c r="G121" i="110" s="1"/>
  <c r="G122" i="110" s="1"/>
  <c r="G123" i="110" s="1"/>
  <c r="G124" i="110" s="1"/>
  <c r="G125" i="110" s="1"/>
  <c r="G126" i="110" s="1"/>
  <c r="G127" i="110" s="1"/>
  <c r="G128" i="110" s="1"/>
  <c r="G129" i="110" s="1"/>
  <c r="G130" i="110" s="1"/>
  <c r="G131" i="110" s="1"/>
  <c r="G132" i="110" s="1"/>
  <c r="G133" i="110" s="1"/>
  <c r="G134" i="110" s="1"/>
  <c r="G135" i="110" s="1"/>
  <c r="G136" i="110" s="1"/>
  <c r="G137" i="110" s="1"/>
  <c r="G138" i="110" s="1"/>
  <c r="G139" i="110" s="1"/>
  <c r="G140" i="110" s="1"/>
  <c r="G141" i="110" s="1"/>
  <c r="G142" i="110" s="1"/>
  <c r="G143" i="110" s="1"/>
  <c r="G144" i="110" s="1"/>
  <c r="G145" i="110" s="1"/>
  <c r="G146" i="110" s="1"/>
  <c r="G147" i="110" s="1"/>
  <c r="G148" i="110" s="1"/>
  <c r="G149" i="110" s="1"/>
  <c r="G150" i="110" s="1"/>
  <c r="G151" i="110" s="1"/>
  <c r="G152" i="110" s="1"/>
  <c r="G153" i="110" s="1"/>
  <c r="G154" i="110" s="1"/>
  <c r="G155" i="110" s="1"/>
  <c r="G156" i="110" s="1"/>
  <c r="G157" i="110" s="1"/>
  <c r="G158" i="110" s="1"/>
  <c r="G159" i="110" s="1"/>
  <c r="G160" i="110" s="1"/>
  <c r="G161" i="110" s="1"/>
  <c r="G162" i="110" s="1"/>
  <c r="G163" i="110" s="1"/>
  <c r="G164" i="110" s="1"/>
  <c r="G165" i="110" s="1"/>
  <c r="G166" i="110" s="1"/>
  <c r="G167" i="110" s="1"/>
  <c r="G168" i="110" s="1"/>
  <c r="G169" i="110" s="1"/>
  <c r="G170" i="110" s="1"/>
  <c r="G171" i="110" s="1"/>
  <c r="G172" i="110" s="1"/>
  <c r="G173" i="110" s="1"/>
  <c r="G174" i="110" s="1"/>
  <c r="G175" i="110" s="1"/>
  <c r="G176" i="110" s="1"/>
  <c r="G177" i="110" s="1"/>
  <c r="G178" i="110" s="1"/>
  <c r="G179" i="110" s="1"/>
  <c r="G180" i="110" s="1"/>
  <c r="G181" i="110" s="1"/>
  <c r="G182" i="110" s="1"/>
  <c r="G183" i="110" s="1"/>
  <c r="G184" i="110" s="1"/>
  <c r="G185" i="110" s="1"/>
  <c r="G186" i="110" s="1"/>
  <c r="G187" i="110" s="1"/>
  <c r="G188" i="110" s="1"/>
  <c r="G189" i="110" s="1"/>
  <c r="G190" i="110" s="1"/>
  <c r="G191" i="110" s="1"/>
  <c r="G192" i="110" s="1"/>
  <c r="G193" i="110" s="1"/>
  <c r="G194" i="110" s="1"/>
  <c r="G195" i="110" s="1"/>
  <c r="G196" i="110" s="1"/>
  <c r="G197" i="110" s="1"/>
  <c r="G198" i="110" s="1"/>
  <c r="G199" i="110" s="1"/>
  <c r="G200" i="110" s="1"/>
  <c r="G201" i="110" s="1"/>
  <c r="G202" i="110" s="1"/>
  <c r="G203" i="110" s="1"/>
  <c r="G204" i="110" s="1"/>
  <c r="G205" i="110" s="1"/>
  <c r="G206" i="110" s="1"/>
  <c r="G207" i="110" s="1"/>
  <c r="G208" i="110" s="1"/>
  <c r="G209" i="110" s="1"/>
  <c r="G210" i="110" s="1"/>
  <c r="G211" i="110" s="1"/>
  <c r="G212" i="110" s="1"/>
  <c r="G213" i="110" s="1"/>
  <c r="G214" i="110" s="1"/>
  <c r="G215" i="110" s="1"/>
  <c r="G216" i="110" s="1"/>
  <c r="G217" i="110" s="1"/>
  <c r="G218" i="110" s="1"/>
  <c r="G219" i="110" s="1"/>
  <c r="G220" i="110" s="1"/>
  <c r="G221" i="110" s="1"/>
  <c r="G222" i="110" s="1"/>
  <c r="G223" i="110" s="1"/>
  <c r="G224" i="110" s="1"/>
  <c r="G225" i="110" s="1"/>
  <c r="G226" i="110" s="1"/>
  <c r="G227" i="110" s="1"/>
  <c r="G228" i="110" s="1"/>
  <c r="G229" i="110" s="1"/>
  <c r="G230" i="110" s="1"/>
  <c r="G231" i="110" s="1"/>
  <c r="G232" i="110" s="1"/>
  <c r="G233" i="110" s="1"/>
  <c r="G234" i="110" s="1"/>
  <c r="G235" i="110" s="1"/>
  <c r="G236" i="110" s="1"/>
  <c r="G237" i="110" s="1"/>
  <c r="G238" i="110" s="1"/>
  <c r="G239" i="110" s="1"/>
  <c r="G240" i="110" s="1"/>
  <c r="G241" i="110" s="1"/>
  <c r="G242" i="110" s="1"/>
  <c r="G243" i="110" s="1"/>
  <c r="G244" i="110" s="1"/>
  <c r="G245" i="110" s="1"/>
  <c r="G246" i="110" s="1"/>
  <c r="G247" i="110" s="1"/>
  <c r="G248" i="110" s="1"/>
  <c r="G249" i="110" s="1"/>
  <c r="G250" i="110" s="1"/>
  <c r="G251" i="110" s="1"/>
  <c r="G252" i="110" s="1"/>
  <c r="G253" i="110" s="1"/>
  <c r="G254" i="110" s="1"/>
  <c r="G255" i="110" s="1"/>
  <c r="G256" i="110" s="1"/>
  <c r="G257" i="110" s="1"/>
  <c r="G258" i="110" s="1"/>
  <c r="G259" i="110" s="1"/>
  <c r="G260" i="110" s="1"/>
  <c r="G261" i="110" s="1"/>
  <c r="G262" i="110" s="1"/>
  <c r="G263" i="110" s="1"/>
  <c r="G264" i="110" s="1"/>
  <c r="G265" i="110" s="1"/>
  <c r="G266" i="110" s="1"/>
  <c r="G267" i="110" s="1"/>
  <c r="G268" i="110" s="1"/>
  <c r="G269" i="110" s="1"/>
  <c r="G270" i="110" s="1"/>
  <c r="G271" i="110" s="1"/>
  <c r="G272" i="110" s="1"/>
  <c r="G273" i="110" s="1"/>
  <c r="G274" i="110" s="1"/>
  <c r="G275" i="110" s="1"/>
  <c r="G276" i="110" s="1"/>
  <c r="G277" i="110" s="1"/>
  <c r="G278" i="110" s="1"/>
  <c r="G279" i="110" s="1"/>
  <c r="G280" i="110" s="1"/>
  <c r="G281" i="110" s="1"/>
  <c r="G282" i="110" s="1"/>
  <c r="G283" i="110" s="1"/>
  <c r="G284" i="110" s="1"/>
  <c r="G285" i="110" s="1"/>
  <c r="G286" i="110" s="1"/>
  <c r="G287" i="110" s="1"/>
  <c r="G288" i="110" s="1"/>
  <c r="G289" i="110" s="1"/>
  <c r="G290" i="110" s="1"/>
  <c r="G291" i="110" s="1"/>
  <c r="G292" i="110" s="1"/>
  <c r="G293" i="110" s="1"/>
  <c r="G294" i="110" s="1"/>
  <c r="G295" i="110" s="1"/>
  <c r="G296" i="110" s="1"/>
  <c r="G297" i="110" s="1"/>
  <c r="G298" i="110" s="1"/>
  <c r="G299" i="110" s="1"/>
  <c r="G300" i="110" s="1"/>
  <c r="G301" i="110" s="1"/>
  <c r="G302" i="110" s="1"/>
  <c r="G303" i="110" s="1"/>
  <c r="G304" i="110" s="1"/>
  <c r="G305" i="110" s="1"/>
  <c r="G306" i="110" s="1"/>
  <c r="G307" i="110" s="1"/>
  <c r="G308" i="110" s="1"/>
  <c r="G309" i="110" s="1"/>
  <c r="G310" i="110" s="1"/>
  <c r="G311" i="110" s="1"/>
  <c r="G312" i="110" s="1"/>
  <c r="G313" i="110" s="1"/>
  <c r="G314" i="110" s="1"/>
  <c r="G315" i="110" s="1"/>
  <c r="G316" i="110" s="1"/>
  <c r="G317" i="110" s="1"/>
  <c r="G318" i="110" s="1"/>
  <c r="G319" i="110" s="1"/>
  <c r="G320" i="110" s="1"/>
  <c r="G321" i="110" s="1"/>
  <c r="G322" i="110" s="1"/>
  <c r="G323" i="110" s="1"/>
  <c r="G324" i="110" s="1"/>
  <c r="G325" i="110" s="1"/>
  <c r="G326" i="110" s="1"/>
  <c r="G327" i="110" s="1"/>
  <c r="G328" i="110" s="1"/>
  <c r="G329" i="110" s="1"/>
  <c r="G330" i="110" s="1"/>
  <c r="G331" i="110" s="1"/>
  <c r="G332" i="110" s="1"/>
  <c r="G333" i="110" s="1"/>
  <c r="G334" i="110" s="1"/>
  <c r="G335" i="110" s="1"/>
  <c r="G336" i="110" s="1"/>
  <c r="G337" i="110" s="1"/>
  <c r="G338" i="110" s="1"/>
  <c r="G339" i="110" s="1"/>
  <c r="G340" i="110" s="1"/>
  <c r="G341" i="110" s="1"/>
  <c r="G342" i="110" s="1"/>
  <c r="G343" i="110" s="1"/>
  <c r="G344" i="110" s="1"/>
  <c r="G345" i="110" s="1"/>
  <c r="G346" i="110" s="1"/>
  <c r="G347" i="110" s="1"/>
  <c r="G348" i="110" s="1"/>
  <c r="G349" i="110" s="1"/>
  <c r="G350" i="110" s="1"/>
  <c r="G351" i="110" s="1"/>
  <c r="G352" i="110" s="1"/>
  <c r="G353" i="110" s="1"/>
  <c r="G354" i="110" s="1"/>
  <c r="G355" i="110" s="1"/>
  <c r="G356" i="110" s="1"/>
  <c r="G357" i="110" s="1"/>
  <c r="G358" i="110" s="1"/>
  <c r="G359" i="110" s="1"/>
  <c r="G360" i="110" s="1"/>
  <c r="G361" i="110" s="1"/>
  <c r="G362" i="110" s="1"/>
  <c r="G363" i="110" s="1"/>
  <c r="G364" i="110" s="1"/>
  <c r="G365" i="110" s="1"/>
  <c r="G366" i="110" s="1"/>
  <c r="G367" i="110" s="1"/>
  <c r="G368" i="110" s="1"/>
  <c r="G369" i="110" s="1"/>
  <c r="G370" i="110" s="1"/>
  <c r="G371" i="110" s="1"/>
  <c r="G372" i="110" s="1"/>
  <c r="G373" i="110" s="1"/>
  <c r="G374" i="110" s="1"/>
  <c r="G375" i="110" s="1"/>
  <c r="G376" i="110" s="1"/>
  <c r="G377" i="110" s="1"/>
  <c r="G378" i="110" s="1"/>
  <c r="G379" i="110" s="1"/>
  <c r="G380" i="110" s="1"/>
  <c r="G381" i="110" s="1"/>
  <c r="G382" i="110" s="1"/>
  <c r="G383" i="110" s="1"/>
  <c r="G384" i="110" s="1"/>
  <c r="G385" i="110" s="1"/>
  <c r="G386" i="110" s="1"/>
  <c r="G387" i="110" s="1"/>
  <c r="G388" i="110" s="1"/>
  <c r="G389" i="110" s="1"/>
  <c r="G390" i="110" s="1"/>
  <c r="G391" i="110" s="1"/>
  <c r="G392" i="110" s="1"/>
  <c r="G393" i="110" s="1"/>
  <c r="G394" i="110" s="1"/>
  <c r="G395" i="110" s="1"/>
  <c r="G396" i="110" s="1"/>
  <c r="G397" i="110" s="1"/>
  <c r="G398" i="110" s="1"/>
  <c r="G399" i="110" s="1"/>
  <c r="G400" i="110" s="1"/>
  <c r="G401" i="110" s="1"/>
  <c r="G402" i="110" s="1"/>
  <c r="G403" i="110" s="1"/>
  <c r="G404" i="110" s="1"/>
  <c r="G405" i="110" s="1"/>
  <c r="G406" i="110" s="1"/>
  <c r="G407" i="110" s="1"/>
  <c r="G408" i="110" s="1"/>
  <c r="G409" i="110" s="1"/>
  <c r="G410" i="110" s="1"/>
  <c r="G411" i="110" s="1"/>
  <c r="G412" i="110" s="1"/>
  <c r="G413" i="110" s="1"/>
  <c r="G414" i="110" s="1"/>
  <c r="G415" i="110" s="1"/>
  <c r="G416" i="110" s="1"/>
  <c r="G417" i="110" s="1"/>
  <c r="G418" i="110" s="1"/>
  <c r="G419" i="110" s="1"/>
  <c r="G420" i="110" s="1"/>
  <c r="G421" i="110" s="1"/>
  <c r="G422" i="110" s="1"/>
  <c r="G423" i="110" s="1"/>
  <c r="G424" i="110" s="1"/>
  <c r="G425" i="110" s="1"/>
  <c r="G426" i="110" s="1"/>
  <c r="G427" i="110" s="1"/>
  <c r="G428" i="110" s="1"/>
  <c r="G429" i="110" s="1"/>
  <c r="G430" i="110" s="1"/>
  <c r="G431" i="110" s="1"/>
  <c r="G432" i="110" s="1"/>
  <c r="G433" i="110" s="1"/>
  <c r="G434" i="110" s="1"/>
  <c r="G435" i="110" s="1"/>
  <c r="G436" i="110" s="1"/>
  <c r="G437" i="110" s="1"/>
  <c r="G438" i="110" s="1"/>
  <c r="G439" i="110" s="1"/>
  <c r="G440" i="110" s="1"/>
  <c r="G441" i="110" s="1"/>
  <c r="G442" i="110" s="1"/>
  <c r="G443" i="110" s="1"/>
  <c r="G444" i="110" s="1"/>
  <c r="G445" i="110" s="1"/>
  <c r="G446" i="110" s="1"/>
  <c r="G447" i="110" s="1"/>
  <c r="G448" i="110" s="1"/>
  <c r="G449" i="110" s="1"/>
  <c r="G450" i="110" s="1"/>
  <c r="G451" i="110" s="1"/>
  <c r="G452" i="110" s="1"/>
  <c r="G453" i="110" s="1"/>
  <c r="G454" i="110" s="1"/>
  <c r="G455" i="110" s="1"/>
  <c r="G456" i="110" s="1"/>
  <c r="G457" i="110" s="1"/>
  <c r="G458" i="110" s="1"/>
  <c r="G459" i="110" s="1"/>
  <c r="G460" i="110" s="1"/>
  <c r="G461" i="110" s="1"/>
  <c r="G462" i="110" s="1"/>
  <c r="G463" i="110" s="1"/>
  <c r="G464" i="110" s="1"/>
  <c r="G465" i="110" s="1"/>
  <c r="G466" i="110" s="1"/>
  <c r="G467" i="110" s="1"/>
  <c r="G468" i="110" s="1"/>
  <c r="G469" i="110" s="1"/>
  <c r="G470" i="110" s="1"/>
  <c r="G471" i="110" s="1"/>
  <c r="G472" i="110" s="1"/>
  <c r="G473" i="110" s="1"/>
  <c r="G474" i="110" s="1"/>
  <c r="G475" i="110" s="1"/>
  <c r="G476" i="110" s="1"/>
  <c r="G477" i="110" s="1"/>
  <c r="G478" i="110" s="1"/>
  <c r="G479" i="110" s="1"/>
  <c r="G480" i="110" s="1"/>
  <c r="G481" i="110" s="1"/>
  <c r="G482" i="110" s="1"/>
  <c r="G483" i="110" s="1"/>
  <c r="G484" i="110" s="1"/>
  <c r="G485" i="110" s="1"/>
  <c r="G486" i="110" s="1"/>
  <c r="G487" i="110" s="1"/>
  <c r="G488" i="110" s="1"/>
  <c r="G489" i="110" s="1"/>
  <c r="G490" i="110" s="1"/>
  <c r="G491" i="110" s="1"/>
  <c r="G492" i="110" s="1"/>
  <c r="G493" i="110" s="1"/>
  <c r="G494" i="110" s="1"/>
  <c r="G495" i="110" s="1"/>
  <c r="G496" i="110" s="1"/>
  <c r="G497" i="110" s="1"/>
  <c r="G498" i="110" s="1"/>
  <c r="G499" i="110" s="1"/>
  <c r="G500" i="110" s="1"/>
  <c r="G501" i="110" s="1"/>
  <c r="G502" i="110" s="1"/>
  <c r="G503" i="110" s="1"/>
  <c r="G504" i="110" s="1"/>
  <c r="G505" i="110" s="1"/>
  <c r="G506" i="110" s="1"/>
  <c r="G507" i="110" s="1"/>
  <c r="G508" i="110" s="1"/>
  <c r="G509" i="110" s="1"/>
  <c r="G510" i="110" s="1"/>
  <c r="G511" i="110" s="1"/>
  <c r="G512" i="110" s="1"/>
  <c r="G513" i="110" s="1"/>
  <c r="G514" i="110" s="1"/>
  <c r="G515" i="110" s="1"/>
  <c r="G516" i="110" s="1"/>
  <c r="G517" i="110" s="1"/>
  <c r="G518" i="110" s="1"/>
  <c r="G519" i="110" s="1"/>
  <c r="G520" i="110" s="1"/>
  <c r="G521" i="110" s="1"/>
  <c r="G522" i="110" s="1"/>
  <c r="G523" i="110" s="1"/>
  <c r="G524" i="110" s="1"/>
  <c r="G525" i="110" s="1"/>
  <c r="G526" i="110" s="1"/>
  <c r="G527" i="110" s="1"/>
  <c r="G528" i="110" s="1"/>
  <c r="G529" i="110" s="1"/>
  <c r="G530" i="110" s="1"/>
  <c r="G531" i="110" s="1"/>
  <c r="G532" i="110" s="1"/>
  <c r="G533" i="110" s="1"/>
  <c r="G534" i="110" s="1"/>
  <c r="G535" i="110" s="1"/>
  <c r="G536" i="110" s="1"/>
  <c r="G537" i="110" s="1"/>
  <c r="G538" i="110" s="1"/>
  <c r="G539" i="110" s="1"/>
  <c r="G540" i="110" s="1"/>
  <c r="G541" i="110" s="1"/>
  <c r="G542" i="110" s="1"/>
  <c r="G543" i="110" s="1"/>
  <c r="G544" i="110" s="1"/>
  <c r="G545" i="110" s="1"/>
  <c r="G546" i="110" s="1"/>
  <c r="G547" i="110" s="1"/>
  <c r="G548" i="110" s="1"/>
  <c r="G549" i="110" s="1"/>
  <c r="G550" i="110" s="1"/>
  <c r="G551" i="110" s="1"/>
  <c r="G552" i="110" s="1"/>
  <c r="G553" i="110" s="1"/>
  <c r="G554" i="110" s="1"/>
  <c r="G555" i="110" s="1"/>
  <c r="G556" i="110" s="1"/>
  <c r="G557" i="110" s="1"/>
  <c r="G558" i="110" s="1"/>
  <c r="G559" i="110" s="1"/>
  <c r="G560" i="110" s="1"/>
  <c r="G561" i="110" s="1"/>
  <c r="G562" i="110" s="1"/>
  <c r="G563" i="110" s="1"/>
  <c r="G564" i="110" s="1"/>
  <c r="G565" i="110" s="1"/>
  <c r="G566" i="110" s="1"/>
  <c r="G567" i="110" s="1"/>
  <c r="G568" i="110" s="1"/>
  <c r="G569" i="110" s="1"/>
  <c r="G570" i="110" s="1"/>
  <c r="G571" i="110" s="1"/>
  <c r="G572" i="110" s="1"/>
  <c r="G573" i="110" s="1"/>
  <c r="G574" i="110" s="1"/>
  <c r="G575" i="110" s="1"/>
  <c r="G576" i="110" s="1"/>
  <c r="G577" i="110" s="1"/>
  <c r="G578" i="110" s="1"/>
  <c r="G579" i="110" s="1"/>
  <c r="G580" i="110" s="1"/>
  <c r="G581" i="110" s="1"/>
  <c r="G582" i="110" s="1"/>
  <c r="G583" i="110" s="1"/>
  <c r="G584" i="110" s="1"/>
  <c r="G585" i="110" s="1"/>
  <c r="G586" i="110" s="1"/>
  <c r="G587" i="110" s="1"/>
  <c r="G588" i="110" s="1"/>
  <c r="G589" i="110" s="1"/>
  <c r="G590" i="110" s="1"/>
  <c r="G591" i="110" s="1"/>
  <c r="G592" i="110" s="1"/>
  <c r="G593" i="110" s="1"/>
  <c r="G594" i="110" s="1"/>
  <c r="G595" i="110" s="1"/>
  <c r="G596" i="110" s="1"/>
  <c r="G597" i="110" s="1"/>
  <c r="G598" i="110" s="1"/>
  <c r="G599" i="110" s="1"/>
  <c r="G600" i="110" s="1"/>
  <c r="G601" i="110" s="1"/>
  <c r="G602" i="110" s="1"/>
  <c r="G603" i="110" s="1"/>
  <c r="G604" i="110" s="1"/>
  <c r="G605" i="110" s="1"/>
  <c r="G606" i="110" s="1"/>
  <c r="G607" i="110" s="1"/>
  <c r="G608" i="110" s="1"/>
  <c r="L7" i="109" l="1"/>
  <c r="L4" i="109" l="1"/>
  <c r="M4" i="109" l="1"/>
  <c r="F5" i="81" s="1"/>
  <c r="H11" i="94" l="1"/>
  <c r="H12" i="94"/>
  <c r="H13" i="94"/>
  <c r="H14" i="94"/>
  <c r="H15" i="94"/>
  <c r="H16" i="94"/>
  <c r="P13" i="94"/>
  <c r="L9" i="87"/>
  <c r="S83" i="67"/>
  <c r="T83" i="67" s="1"/>
  <c r="L56" i="67" s="1"/>
  <c r="P12" i="56"/>
  <c r="O12" i="56"/>
  <c r="N12" i="56"/>
  <c r="M12" i="56"/>
  <c r="K12" i="56"/>
  <c r="I12" i="56"/>
  <c r="G12" i="56"/>
  <c r="A1" i="66" l="1"/>
  <c r="B11" i="66" s="1"/>
  <c r="A2" i="66"/>
  <c r="A1" i="65"/>
  <c r="B11" i="65" s="1"/>
  <c r="B20" i="65" s="1"/>
  <c r="B21" i="65" s="1"/>
  <c r="A2" i="65"/>
  <c r="A1" i="64"/>
  <c r="B11" i="64" s="1"/>
  <c r="A2" i="64"/>
  <c r="A1" i="63"/>
  <c r="B11" i="63" s="1"/>
  <c r="A2" i="63"/>
  <c r="A1" i="62"/>
  <c r="B11" i="62" s="1"/>
  <c r="A2" i="62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4" i="16"/>
  <c r="M40" i="1"/>
  <c r="K40" i="1"/>
  <c r="K32" i="67"/>
  <c r="L12" i="56"/>
  <c r="J40" i="1"/>
  <c r="A2" i="61"/>
  <c r="A1" i="61"/>
  <c r="J12" i="56"/>
  <c r="H40" i="1"/>
  <c r="C6" i="60"/>
  <c r="A2" i="60"/>
  <c r="A1" i="60"/>
  <c r="B11" i="60" s="1"/>
  <c r="B23" i="60" s="1"/>
  <c r="B24" i="60" s="1"/>
  <c r="N11" i="40"/>
  <c r="A2" i="59"/>
  <c r="A1" i="59"/>
  <c r="B11" i="59" s="1"/>
  <c r="J12" i="67"/>
  <c r="B27" i="87"/>
  <c r="B5" i="20"/>
  <c r="B6" i="20"/>
  <c r="B4" i="20"/>
  <c r="B7" i="20"/>
  <c r="B8" i="20"/>
  <c r="B9" i="20"/>
  <c r="B10" i="20"/>
  <c r="B11" i="20"/>
  <c r="B12" i="20"/>
  <c r="B13" i="20"/>
  <c r="B14" i="20"/>
  <c r="B15" i="20"/>
  <c r="B16" i="20"/>
  <c r="C52" i="18"/>
  <c r="H52" i="18" s="1"/>
  <c r="C58" i="18"/>
  <c r="M58" i="18" s="1"/>
  <c r="C65" i="18"/>
  <c r="C57" i="18"/>
  <c r="G57" i="18" s="1"/>
  <c r="C70" i="18"/>
  <c r="K70" i="18" s="1"/>
  <c r="C77" i="18"/>
  <c r="E77" i="18" s="1"/>
  <c r="C193" i="18"/>
  <c r="C196" i="18"/>
  <c r="C199" i="18"/>
  <c r="C187" i="18"/>
  <c r="G187" i="18" s="1"/>
  <c r="C173" i="18"/>
  <c r="C180" i="18"/>
  <c r="C181" i="18"/>
  <c r="C182" i="18"/>
  <c r="G182" i="18" s="1"/>
  <c r="C184" i="18"/>
  <c r="C186" i="18"/>
  <c r="C159" i="18"/>
  <c r="M159" i="18" s="1"/>
  <c r="C161" i="18"/>
  <c r="G161" i="18" s="1"/>
  <c r="C162" i="18"/>
  <c r="C163" i="18"/>
  <c r="C166" i="18"/>
  <c r="C170" i="18"/>
  <c r="C171" i="18"/>
  <c r="C157" i="18"/>
  <c r="C143" i="18"/>
  <c r="C148" i="18"/>
  <c r="C149" i="18"/>
  <c r="C150" i="18"/>
  <c r="C152" i="18"/>
  <c r="E152" i="18" s="1"/>
  <c r="C155" i="18"/>
  <c r="N155" i="18" s="1"/>
  <c r="C128" i="18"/>
  <c r="C113" i="18"/>
  <c r="C114" i="18"/>
  <c r="C121" i="18"/>
  <c r="E121" i="18" s="1"/>
  <c r="C100" i="18"/>
  <c r="C105" i="18"/>
  <c r="C108" i="18"/>
  <c r="O108" i="18" s="1"/>
  <c r="C97" i="18"/>
  <c r="K97" i="18" s="1"/>
  <c r="C84" i="18"/>
  <c r="C86" i="18"/>
  <c r="C92" i="18"/>
  <c r="O92" i="18" s="1"/>
  <c r="C93" i="18"/>
  <c r="M93" i="18" s="1"/>
  <c r="C96" i="18"/>
  <c r="C69" i="18"/>
  <c r="C75" i="18"/>
  <c r="C81" i="18"/>
  <c r="C41" i="18"/>
  <c r="C43" i="18"/>
  <c r="C44" i="18"/>
  <c r="C50" i="18"/>
  <c r="M50" i="18" s="1"/>
  <c r="C51" i="18"/>
  <c r="C37" i="18"/>
  <c r="C24" i="18"/>
  <c r="F24" i="18" s="1"/>
  <c r="C28" i="18"/>
  <c r="G28" i="18" s="1"/>
  <c r="C33" i="18"/>
  <c r="B14" i="18"/>
  <c r="C49" i="18"/>
  <c r="C112" i="18"/>
  <c r="N112" i="18" s="1"/>
  <c r="C142" i="18"/>
  <c r="C169" i="18"/>
  <c r="K169" i="18" s="1"/>
  <c r="C172" i="18"/>
  <c r="L172" i="18" s="1"/>
  <c r="C191" i="18"/>
  <c r="J191" i="18" s="1"/>
  <c r="C27" i="18"/>
  <c r="C46" i="18"/>
  <c r="C30" i="18"/>
  <c r="L30" i="18" s="1"/>
  <c r="C79" i="18"/>
  <c r="H79" i="18" s="1"/>
  <c r="B17" i="18"/>
  <c r="B13" i="18"/>
  <c r="B9" i="18"/>
  <c r="C25" i="18"/>
  <c r="C40" i="18"/>
  <c r="C78" i="18"/>
  <c r="C74" i="18"/>
  <c r="E74" i="18" s="1"/>
  <c r="C89" i="18"/>
  <c r="F89" i="18" s="1"/>
  <c r="C130" i="18"/>
  <c r="C145" i="18"/>
  <c r="J145" i="18" s="1"/>
  <c r="C168" i="18"/>
  <c r="M168" i="18" s="1"/>
  <c r="C160" i="18"/>
  <c r="F160" i="18" s="1"/>
  <c r="C198" i="18"/>
  <c r="B11" i="18"/>
  <c r="B16" i="18"/>
  <c r="B12" i="18"/>
  <c r="B8" i="18"/>
  <c r="C32" i="18"/>
  <c r="C47" i="18"/>
  <c r="E47" i="18" s="1"/>
  <c r="C73" i="18"/>
  <c r="H73" i="18" s="1"/>
  <c r="C111" i="18"/>
  <c r="C107" i="18"/>
  <c r="C103" i="18"/>
  <c r="H103" i="18" s="1"/>
  <c r="C99" i="18"/>
  <c r="G99" i="18" s="1"/>
  <c r="C141" i="18"/>
  <c r="C137" i="18"/>
  <c r="C129" i="18"/>
  <c r="E129" i="18" s="1"/>
  <c r="C167" i="18"/>
  <c r="C178" i="18"/>
  <c r="C174" i="18"/>
  <c r="C189" i="18"/>
  <c r="F189" i="18" s="1"/>
  <c r="C216" i="18"/>
  <c r="F216" i="18" s="1"/>
  <c r="C212" i="18"/>
  <c r="B15" i="18"/>
  <c r="C35" i="18"/>
  <c r="F35" i="18" s="1"/>
  <c r="C95" i="18"/>
  <c r="K95" i="18" s="1"/>
  <c r="C91" i="18"/>
  <c r="C87" i="18"/>
  <c r="C106" i="18"/>
  <c r="L106" i="18" s="1"/>
  <c r="C117" i="18"/>
  <c r="C136" i="18"/>
  <c r="C147" i="18"/>
  <c r="F147" i="18" s="1"/>
  <c r="C158" i="18"/>
  <c r="C177" i="18"/>
  <c r="H177" i="18" s="1"/>
  <c r="C200" i="18"/>
  <c r="C188" i="18"/>
  <c r="H188" i="18" s="1"/>
  <c r="C215" i="18"/>
  <c r="H215" i="18" s="1"/>
  <c r="C202" i="18"/>
  <c r="H202" i="18" s="1"/>
  <c r="C203" i="18"/>
  <c r="E203" i="18" s="1"/>
  <c r="C204" i="18"/>
  <c r="C207" i="18"/>
  <c r="C72" i="18"/>
  <c r="G72" i="18" s="1"/>
  <c r="C71" i="18"/>
  <c r="C197" i="18"/>
  <c r="C140" i="18"/>
  <c r="C101" i="18"/>
  <c r="C94" i="18"/>
  <c r="C38" i="18"/>
  <c r="C104" i="18"/>
  <c r="M104" i="18" s="1"/>
  <c r="C127" i="18"/>
  <c r="E127" i="18" s="1"/>
  <c r="C82" i="18"/>
  <c r="M82" i="18" s="1"/>
  <c r="C76" i="18"/>
  <c r="C26" i="18"/>
  <c r="C165" i="18"/>
  <c r="C154" i="18"/>
  <c r="C125" i="18"/>
  <c r="C67" i="18"/>
  <c r="C146" i="18"/>
  <c r="C59" i="18"/>
  <c r="B6" i="18"/>
  <c r="C36" i="18"/>
  <c r="G36" i="18" s="1"/>
  <c r="C151" i="18"/>
  <c r="K151" i="18" s="1"/>
  <c r="C194" i="18"/>
  <c r="C209" i="18"/>
  <c r="C210" i="18"/>
  <c r="F210" i="18" s="1"/>
  <c r="C48" i="18"/>
  <c r="C132" i="18"/>
  <c r="C116" i="18"/>
  <c r="N116" i="18" s="1"/>
  <c r="C131" i="18"/>
  <c r="C179" i="18"/>
  <c r="C201" i="18"/>
  <c r="B7" i="18"/>
  <c r="H7" i="18" s="1"/>
  <c r="B18" i="18"/>
  <c r="F18" i="18" s="1"/>
  <c r="C213" i="18"/>
  <c r="H213" i="18" s="1"/>
  <c r="C134" i="18"/>
  <c r="C85" i="18"/>
  <c r="C118" i="18"/>
  <c r="M118" i="18" s="1"/>
  <c r="C133" i="18"/>
  <c r="C115" i="18"/>
  <c r="C45" i="18"/>
  <c r="F45" i="18" s="1"/>
  <c r="C185" i="18"/>
  <c r="C190" i="18"/>
  <c r="C205" i="18"/>
  <c r="C64" i="18"/>
  <c r="C23" i="18"/>
  <c r="N23" i="18" s="1"/>
  <c r="C144" i="18"/>
  <c r="F144" i="18" s="1"/>
  <c r="C122" i="18"/>
  <c r="C139" i="18"/>
  <c r="C80" i="18"/>
  <c r="C124" i="18"/>
  <c r="F124" i="18" s="1"/>
  <c r="C55" i="18"/>
  <c r="L55" i="18" s="1"/>
  <c r="C119" i="18"/>
  <c r="L119" i="18" s="1"/>
  <c r="B15" i="16"/>
  <c r="C40" i="1"/>
  <c r="A2" i="68"/>
  <c r="A1" i="68"/>
  <c r="A2" i="67"/>
  <c r="A1" i="67"/>
  <c r="A2" i="40"/>
  <c r="A1" i="40"/>
  <c r="B11" i="40" s="1"/>
  <c r="E40" i="1"/>
  <c r="A2" i="69"/>
  <c r="A1" i="69"/>
  <c r="B11" i="69" s="1"/>
  <c r="B20" i="69" s="1"/>
  <c r="B21" i="69" s="1"/>
  <c r="B4" i="17"/>
  <c r="C4" i="17" s="1"/>
  <c r="B5" i="17"/>
  <c r="H5" i="17" s="1"/>
  <c r="B6" i="17"/>
  <c r="B7" i="17"/>
  <c r="K7" i="17" s="1"/>
  <c r="B8" i="17"/>
  <c r="H8" i="17" s="1"/>
  <c r="B9" i="17"/>
  <c r="H9" i="17" s="1"/>
  <c r="B10" i="17"/>
  <c r="G10" i="17" s="1"/>
  <c r="B11" i="17"/>
  <c r="B12" i="17"/>
  <c r="H12" i="17" s="1"/>
  <c r="B13" i="17"/>
  <c r="F13" i="17" s="1"/>
  <c r="B14" i="17"/>
  <c r="C14" i="17" s="1"/>
  <c r="B15" i="17"/>
  <c r="F15" i="17" s="1"/>
  <c r="B16" i="17"/>
  <c r="H16" i="17" s="1"/>
  <c r="B17" i="17"/>
  <c r="F17" i="17" s="1"/>
  <c r="I11" i="17"/>
  <c r="C12" i="17"/>
  <c r="D12" i="17"/>
  <c r="I12" i="17"/>
  <c r="F12" i="56"/>
  <c r="B4" i="16"/>
  <c r="D40" i="1"/>
  <c r="B6" i="16"/>
  <c r="B7" i="16"/>
  <c r="B8" i="16"/>
  <c r="B22" i="16" s="1"/>
  <c r="B9" i="16"/>
  <c r="B10" i="16"/>
  <c r="B24" i="16" s="1"/>
  <c r="B11" i="16"/>
  <c r="B25" i="16" s="1"/>
  <c r="B12" i="16"/>
  <c r="B13" i="16"/>
  <c r="B16" i="16"/>
  <c r="B30" i="16" s="1"/>
  <c r="B17" i="16"/>
  <c r="B31" i="16" s="1"/>
  <c r="B18" i="16"/>
  <c r="B32" i="16" s="1"/>
  <c r="H12" i="56"/>
  <c r="I7" i="94"/>
  <c r="O7" i="94" s="1"/>
  <c r="I8" i="94"/>
  <c r="O8" i="94" s="1"/>
  <c r="I9" i="94"/>
  <c r="O9" i="94" s="1"/>
  <c r="S10" i="94"/>
  <c r="S11" i="94"/>
  <c r="S12" i="94"/>
  <c r="I11" i="94"/>
  <c r="O44" i="1"/>
  <c r="P44" i="1" s="1"/>
  <c r="B10" i="87"/>
  <c r="B11" i="87"/>
  <c r="B12" i="87"/>
  <c r="B13" i="87"/>
  <c r="B14" i="87"/>
  <c r="B15" i="87"/>
  <c r="B16" i="87"/>
  <c r="B17" i="87"/>
  <c r="B18" i="87"/>
  <c r="B19" i="87"/>
  <c r="B20" i="87"/>
  <c r="B21" i="87"/>
  <c r="B22" i="87"/>
  <c r="B23" i="87"/>
  <c r="B24" i="87"/>
  <c r="B25" i="87"/>
  <c r="B26" i="87"/>
  <c r="B28" i="87"/>
  <c r="B29" i="87"/>
  <c r="B30" i="87"/>
  <c r="B31" i="87"/>
  <c r="B32" i="87"/>
  <c r="B33" i="87"/>
  <c r="B34" i="87"/>
  <c r="B35" i="87"/>
  <c r="B36" i="87"/>
  <c r="B37" i="87"/>
  <c r="B38" i="87"/>
  <c r="B39" i="87"/>
  <c r="B40" i="87"/>
  <c r="B41" i="87"/>
  <c r="B42" i="87"/>
  <c r="B43" i="87"/>
  <c r="B9" i="87"/>
  <c r="M8" i="85"/>
  <c r="N8" i="85" s="1"/>
  <c r="O8" i="85" s="1"/>
  <c r="M9" i="85"/>
  <c r="N9" i="85"/>
  <c r="O9" i="85"/>
  <c r="M10" i="85"/>
  <c r="N10" i="85"/>
  <c r="O10" i="85"/>
  <c r="M11" i="85"/>
  <c r="N11" i="85"/>
  <c r="O11" i="85"/>
  <c r="M12" i="85"/>
  <c r="M13" i="85"/>
  <c r="N13" i="85"/>
  <c r="O13" i="85"/>
  <c r="M14" i="85"/>
  <c r="N14" i="85"/>
  <c r="O14" i="85"/>
  <c r="M15" i="85"/>
  <c r="M16" i="85"/>
  <c r="N16" i="85"/>
  <c r="O16" i="85"/>
  <c r="M7" i="85"/>
  <c r="N7" i="85" s="1"/>
  <c r="O7" i="85" s="1"/>
  <c r="H9" i="85"/>
  <c r="G9" i="85"/>
  <c r="H10" i="85"/>
  <c r="G10" i="85"/>
  <c r="H11" i="85"/>
  <c r="G11" i="85"/>
  <c r="H12" i="85"/>
  <c r="G12" i="85"/>
  <c r="H13" i="85"/>
  <c r="G13" i="85"/>
  <c r="H14" i="85"/>
  <c r="G14" i="85"/>
  <c r="H15" i="85"/>
  <c r="H16" i="85"/>
  <c r="G16" i="85"/>
  <c r="I10" i="94"/>
  <c r="I12" i="94"/>
  <c r="I13" i="94"/>
  <c r="I14" i="94"/>
  <c r="O14" i="94" s="1"/>
  <c r="I15" i="94"/>
  <c r="O15" i="94" s="1"/>
  <c r="S15" i="94" s="1"/>
  <c r="Q15" i="94"/>
  <c r="R15" i="94" s="1"/>
  <c r="I16" i="94"/>
  <c r="H8" i="85"/>
  <c r="G8" i="85" s="1"/>
  <c r="H7" i="85"/>
  <c r="G7" i="85" s="1"/>
  <c r="K4" i="81"/>
  <c r="I6" i="81"/>
  <c r="I9" i="81"/>
  <c r="K5" i="81" s="1"/>
  <c r="U78" i="67"/>
  <c r="C53" i="18"/>
  <c r="O53" i="18" s="1"/>
  <c r="C54" i="18"/>
  <c r="G54" i="18" s="1"/>
  <c r="J55" i="18"/>
  <c r="K55" i="18"/>
  <c r="O55" i="18"/>
  <c r="C56" i="18"/>
  <c r="M56" i="18" s="1"/>
  <c r="C60" i="18"/>
  <c r="M60" i="18" s="1"/>
  <c r="C61" i="18"/>
  <c r="M61" i="18" s="1"/>
  <c r="C62" i="18"/>
  <c r="G62" i="18" s="1"/>
  <c r="C63" i="18"/>
  <c r="H63" i="18" s="1"/>
  <c r="F65" i="18"/>
  <c r="C66" i="18"/>
  <c r="H66" i="18" s="1"/>
  <c r="B18" i="1"/>
  <c r="B16" i="1"/>
  <c r="O16" i="1"/>
  <c r="P16" i="1"/>
  <c r="B17" i="1"/>
  <c r="O17" i="1"/>
  <c r="P17" i="1"/>
  <c r="B10" i="21"/>
  <c r="O65" i="18"/>
  <c r="G65" i="18"/>
  <c r="N65" i="18"/>
  <c r="E65" i="18"/>
  <c r="H65" i="18"/>
  <c r="J65" i="18"/>
  <c r="K65" i="18"/>
  <c r="L65" i="18"/>
  <c r="M65" i="18"/>
  <c r="J57" i="18"/>
  <c r="C68" i="18"/>
  <c r="N68" i="18" s="1"/>
  <c r="B82" i="18"/>
  <c r="B67" i="18"/>
  <c r="B52" i="18"/>
  <c r="J3" i="56"/>
  <c r="Q10" i="94"/>
  <c r="R10" i="94" s="1"/>
  <c r="Q11" i="94"/>
  <c r="R11" i="94"/>
  <c r="Q12" i="94"/>
  <c r="R12" i="94" s="1"/>
  <c r="Q16" i="94"/>
  <c r="R16" i="94" s="1"/>
  <c r="S16" i="94" s="1"/>
  <c r="J8" i="94"/>
  <c r="J9" i="94"/>
  <c r="J10" i="94"/>
  <c r="P10" i="94"/>
  <c r="J11" i="94"/>
  <c r="J12" i="94"/>
  <c r="J13" i="94"/>
  <c r="J14" i="94"/>
  <c r="J15" i="94"/>
  <c r="J16" i="94"/>
  <c r="P16" i="94" s="1"/>
  <c r="J7" i="94"/>
  <c r="P7" i="94" s="1"/>
  <c r="I8" i="85"/>
  <c r="I9" i="85"/>
  <c r="I10" i="85"/>
  <c r="I11" i="85"/>
  <c r="I12" i="85"/>
  <c r="I13" i="85"/>
  <c r="I14" i="85"/>
  <c r="I15" i="85"/>
  <c r="I16" i="85"/>
  <c r="I7" i="85"/>
  <c r="O21" i="1"/>
  <c r="P21" i="1" s="1"/>
  <c r="O22" i="1"/>
  <c r="P22" i="1"/>
  <c r="O23" i="1"/>
  <c r="P23" i="1" s="1"/>
  <c r="O24" i="1"/>
  <c r="P24" i="1" s="1"/>
  <c r="O25" i="1"/>
  <c r="P25" i="1" s="1"/>
  <c r="O26" i="1"/>
  <c r="P26" i="1" s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E29" i="81"/>
  <c r="N12" i="85"/>
  <c r="O12" i="85"/>
  <c r="N15" i="85"/>
  <c r="O15" i="85"/>
  <c r="P11" i="94"/>
  <c r="P12" i="94"/>
  <c r="O10" i="94"/>
  <c r="O11" i="94"/>
  <c r="O12" i="94"/>
  <c r="O13" i="94"/>
  <c r="H10" i="94"/>
  <c r="G15" i="85"/>
  <c r="N4" i="85"/>
  <c r="J5" i="66"/>
  <c r="J5" i="65"/>
  <c r="J5" i="64"/>
  <c r="J5" i="63"/>
  <c r="J5" i="62"/>
  <c r="J5" i="61"/>
  <c r="J5" i="60"/>
  <c r="J5" i="59"/>
  <c r="J5" i="40"/>
  <c r="J5" i="69"/>
  <c r="J5" i="68"/>
  <c r="O6" i="1"/>
  <c r="P6" i="1" s="1"/>
  <c r="O7" i="1"/>
  <c r="P7" i="1" s="1"/>
  <c r="O8" i="1"/>
  <c r="P8" i="1" s="1"/>
  <c r="O9" i="1"/>
  <c r="P9" i="1"/>
  <c r="O10" i="1"/>
  <c r="P10" i="1" s="1"/>
  <c r="O11" i="1"/>
  <c r="P11" i="1"/>
  <c r="O12" i="1"/>
  <c r="P12" i="1" s="1"/>
  <c r="O13" i="1"/>
  <c r="P13" i="1"/>
  <c r="O14" i="1"/>
  <c r="P14" i="1"/>
  <c r="O15" i="1"/>
  <c r="P15" i="1"/>
  <c r="B6" i="1"/>
  <c r="B7" i="1"/>
  <c r="B8" i="1"/>
  <c r="B9" i="1"/>
  <c r="B10" i="1"/>
  <c r="B11" i="1"/>
  <c r="B12" i="1"/>
  <c r="B13" i="1"/>
  <c r="B14" i="1"/>
  <c r="B15" i="1"/>
  <c r="B5" i="1"/>
  <c r="C206" i="18"/>
  <c r="L206" i="18" s="1"/>
  <c r="C208" i="18"/>
  <c r="L210" i="18"/>
  <c r="E210" i="18"/>
  <c r="J210" i="18"/>
  <c r="N210" i="18"/>
  <c r="C211" i="18"/>
  <c r="M211" i="18" s="1"/>
  <c r="C214" i="18"/>
  <c r="G214" i="18" s="1"/>
  <c r="O190" i="18"/>
  <c r="C192" i="18"/>
  <c r="L192" i="18" s="1"/>
  <c r="C195" i="18"/>
  <c r="F195" i="18" s="1"/>
  <c r="M201" i="18"/>
  <c r="C175" i="18"/>
  <c r="G175" i="18" s="1"/>
  <c r="C176" i="18"/>
  <c r="K176" i="18" s="1"/>
  <c r="C183" i="18"/>
  <c r="F183" i="18" s="1"/>
  <c r="C164" i="18"/>
  <c r="E164" i="18" s="1"/>
  <c r="O166" i="18"/>
  <c r="N145" i="18"/>
  <c r="C153" i="18"/>
  <c r="J153" i="18" s="1"/>
  <c r="C156" i="18"/>
  <c r="M156" i="18" s="1"/>
  <c r="L129" i="18"/>
  <c r="F129" i="18"/>
  <c r="G129" i="18"/>
  <c r="H129" i="18"/>
  <c r="K129" i="18"/>
  <c r="M129" i="18"/>
  <c r="N129" i="18"/>
  <c r="O134" i="18"/>
  <c r="C135" i="18"/>
  <c r="J135" i="18" s="1"/>
  <c r="C138" i="18"/>
  <c r="N138" i="18" s="1"/>
  <c r="F141" i="18"/>
  <c r="E141" i="18"/>
  <c r="G141" i="18"/>
  <c r="H141" i="18"/>
  <c r="J141" i="18"/>
  <c r="K141" i="18"/>
  <c r="L141" i="18"/>
  <c r="M141" i="18"/>
  <c r="N141" i="18"/>
  <c r="O141" i="18"/>
  <c r="C120" i="18"/>
  <c r="C123" i="18"/>
  <c r="H123" i="18" s="1"/>
  <c r="C126" i="18"/>
  <c r="G126" i="18" s="1"/>
  <c r="C98" i="18"/>
  <c r="L98" i="18" s="1"/>
  <c r="C102" i="18"/>
  <c r="E102" i="18" s="1"/>
  <c r="E106" i="18"/>
  <c r="C109" i="18"/>
  <c r="O109" i="18" s="1"/>
  <c r="C110" i="18"/>
  <c r="C83" i="18"/>
  <c r="C88" i="18"/>
  <c r="H88" i="18" s="1"/>
  <c r="C90" i="18"/>
  <c r="M90" i="18" s="1"/>
  <c r="C39" i="18"/>
  <c r="G39" i="18" s="1"/>
  <c r="G40" i="18"/>
  <c r="C42" i="18"/>
  <c r="E42" i="18" s="1"/>
  <c r="G25" i="18"/>
  <c r="H27" i="18"/>
  <c r="C29" i="18"/>
  <c r="G29" i="18" s="1"/>
  <c r="C31" i="18"/>
  <c r="L31" i="18" s="1"/>
  <c r="C34" i="18"/>
  <c r="C22" i="18"/>
  <c r="E22" i="18" s="1"/>
  <c r="B10" i="18"/>
  <c r="O11" i="18"/>
  <c r="O15" i="18"/>
  <c r="O16" i="18"/>
  <c r="O17" i="18"/>
  <c r="B19" i="18"/>
  <c r="O19" i="18" s="1"/>
  <c r="B20" i="18"/>
  <c r="F20" i="18" s="1"/>
  <c r="G49" i="18"/>
  <c r="M45" i="18"/>
  <c r="G41" i="18"/>
  <c r="L112" i="18"/>
  <c r="J139" i="18"/>
  <c r="G142" i="18"/>
  <c r="E142" i="18"/>
  <c r="F142" i="18"/>
  <c r="H142" i="18"/>
  <c r="J142" i="18"/>
  <c r="K142" i="18"/>
  <c r="M142" i="18"/>
  <c r="N142" i="18"/>
  <c r="O142" i="18"/>
  <c r="J169" i="18"/>
  <c r="N169" i="18"/>
  <c r="E172" i="18"/>
  <c r="F172" i="18"/>
  <c r="G172" i="18"/>
  <c r="J172" i="18"/>
  <c r="K172" i="18"/>
  <c r="N172" i="18"/>
  <c r="E27" i="18"/>
  <c r="F27" i="18"/>
  <c r="G27" i="18"/>
  <c r="J27" i="18"/>
  <c r="K27" i="18"/>
  <c r="L27" i="18"/>
  <c r="M27" i="18"/>
  <c r="N27" i="18"/>
  <c r="O27" i="18"/>
  <c r="E17" i="18"/>
  <c r="F17" i="18"/>
  <c r="G17" i="18"/>
  <c r="H17" i="18"/>
  <c r="J17" i="18"/>
  <c r="K17" i="18"/>
  <c r="L17" i="18"/>
  <c r="M17" i="18"/>
  <c r="N17" i="18"/>
  <c r="E13" i="18"/>
  <c r="G13" i="18"/>
  <c r="L13" i="18"/>
  <c r="O9" i="18"/>
  <c r="F78" i="18"/>
  <c r="G78" i="18"/>
  <c r="J78" i="18"/>
  <c r="L78" i="18"/>
  <c r="N78" i="18"/>
  <c r="F74" i="18"/>
  <c r="G74" i="18"/>
  <c r="J74" i="18"/>
  <c r="L74" i="18"/>
  <c r="M74" i="18"/>
  <c r="N74" i="18"/>
  <c r="G108" i="18"/>
  <c r="M108" i="18"/>
  <c r="G119" i="18"/>
  <c r="E119" i="18"/>
  <c r="J119" i="18"/>
  <c r="M119" i="18"/>
  <c r="O119" i="18"/>
  <c r="H115" i="18"/>
  <c r="G115" i="18"/>
  <c r="N115" i="18"/>
  <c r="G130" i="18"/>
  <c r="G149" i="18"/>
  <c r="H149" i="18"/>
  <c r="J149" i="18"/>
  <c r="L149" i="18"/>
  <c r="E149" i="18"/>
  <c r="F149" i="18"/>
  <c r="K149" i="18"/>
  <c r="M149" i="18"/>
  <c r="N149" i="18"/>
  <c r="O149" i="18"/>
  <c r="E145" i="18"/>
  <c r="G145" i="18"/>
  <c r="H198" i="18"/>
  <c r="E198" i="18"/>
  <c r="F198" i="18"/>
  <c r="G198" i="18"/>
  <c r="J198" i="18"/>
  <c r="K198" i="18"/>
  <c r="L198" i="18"/>
  <c r="M198" i="18"/>
  <c r="N198" i="18"/>
  <c r="O198" i="18"/>
  <c r="E11" i="18"/>
  <c r="H11" i="18"/>
  <c r="H8" i="18"/>
  <c r="H9" i="18"/>
  <c r="H15" i="18"/>
  <c r="H16" i="18"/>
  <c r="H19" i="18"/>
  <c r="K11" i="18"/>
  <c r="M11" i="18"/>
  <c r="G80" i="18"/>
  <c r="J80" i="18"/>
  <c r="K80" i="18"/>
  <c r="O80" i="18"/>
  <c r="O12" i="18"/>
  <c r="L12" i="18"/>
  <c r="O8" i="18"/>
  <c r="E8" i="18"/>
  <c r="F8" i="18"/>
  <c r="G8" i="18"/>
  <c r="J8" i="18"/>
  <c r="K8" i="18"/>
  <c r="L8" i="18"/>
  <c r="M8" i="18"/>
  <c r="N8" i="18"/>
  <c r="F32" i="18"/>
  <c r="H32" i="18"/>
  <c r="K32" i="18"/>
  <c r="M32" i="18"/>
  <c r="O32" i="18"/>
  <c r="F47" i="18"/>
  <c r="G47" i="18"/>
  <c r="H47" i="18"/>
  <c r="K47" i="18"/>
  <c r="L47" i="18"/>
  <c r="M47" i="18"/>
  <c r="O47" i="18"/>
  <c r="F43" i="18"/>
  <c r="H43" i="18"/>
  <c r="K43" i="18"/>
  <c r="M43" i="18"/>
  <c r="O43" i="18"/>
  <c r="F111" i="18"/>
  <c r="E111" i="18"/>
  <c r="G111" i="18"/>
  <c r="H111" i="18"/>
  <c r="J111" i="18"/>
  <c r="K111" i="18"/>
  <c r="L111" i="18"/>
  <c r="M111" i="18"/>
  <c r="N111" i="18"/>
  <c r="O111" i="18"/>
  <c r="F107" i="18"/>
  <c r="G118" i="18"/>
  <c r="H118" i="18"/>
  <c r="O118" i="18"/>
  <c r="E137" i="18"/>
  <c r="G137" i="18"/>
  <c r="K137" i="18"/>
  <c r="M137" i="18"/>
  <c r="O137" i="18"/>
  <c r="F133" i="18"/>
  <c r="E167" i="18"/>
  <c r="F167" i="18"/>
  <c r="K167" i="18"/>
  <c r="L167" i="18"/>
  <c r="G163" i="18"/>
  <c r="E178" i="18"/>
  <c r="F178" i="18"/>
  <c r="G178" i="18"/>
  <c r="H178" i="18"/>
  <c r="J178" i="18"/>
  <c r="K178" i="18"/>
  <c r="L178" i="18"/>
  <c r="M178" i="18"/>
  <c r="N178" i="18"/>
  <c r="O178" i="18"/>
  <c r="G174" i="18"/>
  <c r="E174" i="18"/>
  <c r="F174" i="18"/>
  <c r="J174" i="18"/>
  <c r="K174" i="18"/>
  <c r="L174" i="18"/>
  <c r="N174" i="18"/>
  <c r="O174" i="18"/>
  <c r="K201" i="18"/>
  <c r="L201" i="18"/>
  <c r="E201" i="18"/>
  <c r="F201" i="18"/>
  <c r="G201" i="18"/>
  <c r="H201" i="18"/>
  <c r="J201" i="18"/>
  <c r="N201" i="18"/>
  <c r="O201" i="18"/>
  <c r="E189" i="18"/>
  <c r="G189" i="18"/>
  <c r="H189" i="18"/>
  <c r="J189" i="18"/>
  <c r="L189" i="18"/>
  <c r="M189" i="18"/>
  <c r="N189" i="18"/>
  <c r="F212" i="18"/>
  <c r="E212" i="18"/>
  <c r="G212" i="18"/>
  <c r="H212" i="18"/>
  <c r="J212" i="18"/>
  <c r="K212" i="18"/>
  <c r="L212" i="18"/>
  <c r="M212" i="18"/>
  <c r="N212" i="18"/>
  <c r="O212" i="18"/>
  <c r="H91" i="18"/>
  <c r="E91" i="18"/>
  <c r="F91" i="18"/>
  <c r="G91" i="18"/>
  <c r="J91" i="18"/>
  <c r="K91" i="18"/>
  <c r="L91" i="18"/>
  <c r="M91" i="18"/>
  <c r="N91" i="18"/>
  <c r="O91" i="18"/>
  <c r="F87" i="18"/>
  <c r="H87" i="18"/>
  <c r="J87" i="18"/>
  <c r="L87" i="18"/>
  <c r="M87" i="18"/>
  <c r="N87" i="18"/>
  <c r="G106" i="18"/>
  <c r="H106" i="18"/>
  <c r="K106" i="18"/>
  <c r="N106" i="18"/>
  <c r="O106" i="18"/>
  <c r="M102" i="18"/>
  <c r="F117" i="18"/>
  <c r="E117" i="18"/>
  <c r="K117" i="18"/>
  <c r="M117" i="18"/>
  <c r="E136" i="18"/>
  <c r="F136" i="18"/>
  <c r="G136" i="18"/>
  <c r="H136" i="18"/>
  <c r="J136" i="18"/>
  <c r="K136" i="18"/>
  <c r="L136" i="18"/>
  <c r="M136" i="18"/>
  <c r="N136" i="18"/>
  <c r="O136" i="18"/>
  <c r="F162" i="18"/>
  <c r="F158" i="18"/>
  <c r="E158" i="18"/>
  <c r="G158" i="18"/>
  <c r="H158" i="18"/>
  <c r="J158" i="18"/>
  <c r="K158" i="18"/>
  <c r="L158" i="18"/>
  <c r="M158" i="18"/>
  <c r="N158" i="18"/>
  <c r="O158" i="18"/>
  <c r="J177" i="18"/>
  <c r="O177" i="18"/>
  <c r="F200" i="18"/>
  <c r="E200" i="18"/>
  <c r="G200" i="18"/>
  <c r="H200" i="18"/>
  <c r="J200" i="18"/>
  <c r="K200" i="18"/>
  <c r="L200" i="18"/>
  <c r="M200" i="18"/>
  <c r="N200" i="18"/>
  <c r="O200" i="18"/>
  <c r="F188" i="18"/>
  <c r="E188" i="18"/>
  <c r="G188" i="18"/>
  <c r="J188" i="18"/>
  <c r="K188" i="18"/>
  <c r="L188" i="18"/>
  <c r="M188" i="18"/>
  <c r="N188" i="18"/>
  <c r="O188" i="18"/>
  <c r="M204" i="18"/>
  <c r="E204" i="18"/>
  <c r="F204" i="18"/>
  <c r="G204" i="18"/>
  <c r="H204" i="18"/>
  <c r="J204" i="18"/>
  <c r="K204" i="18"/>
  <c r="L204" i="18"/>
  <c r="N204" i="18"/>
  <c r="O204" i="18"/>
  <c r="F205" i="18"/>
  <c r="E205" i="18"/>
  <c r="G205" i="18"/>
  <c r="H205" i="18"/>
  <c r="J205" i="18"/>
  <c r="K205" i="18"/>
  <c r="L205" i="18"/>
  <c r="M205" i="18"/>
  <c r="N205" i="18"/>
  <c r="O205" i="18"/>
  <c r="E206" i="18"/>
  <c r="F206" i="18"/>
  <c r="G206" i="18"/>
  <c r="H206" i="18"/>
  <c r="J206" i="18"/>
  <c r="K206" i="18"/>
  <c r="M206" i="18"/>
  <c r="N206" i="18"/>
  <c r="E207" i="18"/>
  <c r="H207" i="18"/>
  <c r="J207" i="18"/>
  <c r="K207" i="18"/>
  <c r="L207" i="18"/>
  <c r="F207" i="18"/>
  <c r="G207" i="18"/>
  <c r="M207" i="18"/>
  <c r="N207" i="18"/>
  <c r="O207" i="18"/>
  <c r="E72" i="18"/>
  <c r="F72" i="18"/>
  <c r="K72" i="18"/>
  <c r="L72" i="18"/>
  <c r="O72" i="18"/>
  <c r="N71" i="18"/>
  <c r="E71" i="18"/>
  <c r="F71" i="18"/>
  <c r="G71" i="18"/>
  <c r="H71" i="18"/>
  <c r="J71" i="18"/>
  <c r="K71" i="18"/>
  <c r="L71" i="18"/>
  <c r="M71" i="18"/>
  <c r="O71" i="18"/>
  <c r="E197" i="18"/>
  <c r="F197" i="18"/>
  <c r="G197" i="18"/>
  <c r="H197" i="18"/>
  <c r="J197" i="18"/>
  <c r="K197" i="18"/>
  <c r="L197" i="18"/>
  <c r="M197" i="18"/>
  <c r="N197" i="18"/>
  <c r="O197" i="18"/>
  <c r="G164" i="18"/>
  <c r="H164" i="18"/>
  <c r="J164" i="18"/>
  <c r="K164" i="18"/>
  <c r="L164" i="18"/>
  <c r="M164" i="18"/>
  <c r="N164" i="18"/>
  <c r="O164" i="18"/>
  <c r="H114" i="18"/>
  <c r="E124" i="18"/>
  <c r="F34" i="18"/>
  <c r="H34" i="18"/>
  <c r="L34" i="18"/>
  <c r="E34" i="18"/>
  <c r="G34" i="18"/>
  <c r="J34" i="18"/>
  <c r="K34" i="18"/>
  <c r="M34" i="18"/>
  <c r="N34" i="18"/>
  <c r="O34" i="18"/>
  <c r="G150" i="18"/>
  <c r="E180" i="18"/>
  <c r="G180" i="18"/>
  <c r="H180" i="18"/>
  <c r="J180" i="18"/>
  <c r="K180" i="18"/>
  <c r="L180" i="18"/>
  <c r="M180" i="18"/>
  <c r="N180" i="18"/>
  <c r="O180" i="18"/>
  <c r="E148" i="18"/>
  <c r="F130" i="18"/>
  <c r="F175" i="18"/>
  <c r="H175" i="18"/>
  <c r="L175" i="18"/>
  <c r="E175" i="18"/>
  <c r="O175" i="18"/>
  <c r="M85" i="18"/>
  <c r="N85" i="18"/>
  <c r="O85" i="18"/>
  <c r="E186" i="18"/>
  <c r="F186" i="18"/>
  <c r="G186" i="18"/>
  <c r="H186" i="18"/>
  <c r="J186" i="18"/>
  <c r="K186" i="18"/>
  <c r="L186" i="18"/>
  <c r="O186" i="18"/>
  <c r="E107" i="18"/>
  <c r="G107" i="18"/>
  <c r="H107" i="18"/>
  <c r="J107" i="18"/>
  <c r="K107" i="18"/>
  <c r="L107" i="18"/>
  <c r="M107" i="18"/>
  <c r="N107" i="18"/>
  <c r="O107" i="18"/>
  <c r="F41" i="18"/>
  <c r="G193" i="18"/>
  <c r="O50" i="18"/>
  <c r="N50" i="18"/>
  <c r="L50" i="18"/>
  <c r="K50" i="18"/>
  <c r="G50" i="18"/>
  <c r="H50" i="18"/>
  <c r="O38" i="18"/>
  <c r="M38" i="18"/>
  <c r="L38" i="18"/>
  <c r="H38" i="18"/>
  <c r="O113" i="18"/>
  <c r="N113" i="18"/>
  <c r="L113" i="18"/>
  <c r="J113" i="18"/>
  <c r="K113" i="18"/>
  <c r="G113" i="18"/>
  <c r="F113" i="18"/>
  <c r="M113" i="18"/>
  <c r="H113" i="18"/>
  <c r="N128" i="18"/>
  <c r="L128" i="18"/>
  <c r="E128" i="18"/>
  <c r="F128" i="18"/>
  <c r="G128" i="18"/>
  <c r="H128" i="18"/>
  <c r="J128" i="18"/>
  <c r="K128" i="18"/>
  <c r="M128" i="18"/>
  <c r="O128" i="18"/>
  <c r="N166" i="18"/>
  <c r="K166" i="18"/>
  <c r="M166" i="18"/>
  <c r="E166" i="18"/>
  <c r="F166" i="18"/>
  <c r="G166" i="18"/>
  <c r="H166" i="18"/>
  <c r="J166" i="18"/>
  <c r="O185" i="18"/>
  <c r="M185" i="18"/>
  <c r="L185" i="18"/>
  <c r="E185" i="18"/>
  <c r="F185" i="18"/>
  <c r="G185" i="18"/>
  <c r="H185" i="18"/>
  <c r="J185" i="18"/>
  <c r="K185" i="18"/>
  <c r="N185" i="18"/>
  <c r="N173" i="18"/>
  <c r="L173" i="18"/>
  <c r="E173" i="18"/>
  <c r="F173" i="18"/>
  <c r="G173" i="18"/>
  <c r="H173" i="18"/>
  <c r="J173" i="18"/>
  <c r="K173" i="18"/>
  <c r="M173" i="18"/>
  <c r="O173" i="18"/>
  <c r="O196" i="18"/>
  <c r="M196" i="18"/>
  <c r="L196" i="18"/>
  <c r="E196" i="18"/>
  <c r="F196" i="18"/>
  <c r="G196" i="18"/>
  <c r="H196" i="18"/>
  <c r="J196" i="18"/>
  <c r="K196" i="18"/>
  <c r="N196" i="18"/>
  <c r="E140" i="18"/>
  <c r="F140" i="18"/>
  <c r="G140" i="18"/>
  <c r="H140" i="18"/>
  <c r="J140" i="18"/>
  <c r="K140" i="18"/>
  <c r="L140" i="18"/>
  <c r="M140" i="18"/>
  <c r="N140" i="18"/>
  <c r="O140" i="18"/>
  <c r="E113" i="18"/>
  <c r="M23" i="18"/>
  <c r="F46" i="18"/>
  <c r="J26" i="18"/>
  <c r="K26" i="18"/>
  <c r="O37" i="18"/>
  <c r="M37" i="18"/>
  <c r="J37" i="18"/>
  <c r="L37" i="18"/>
  <c r="E37" i="18"/>
  <c r="F37" i="18"/>
  <c r="G37" i="18"/>
  <c r="H37" i="18"/>
  <c r="K37" i="18"/>
  <c r="O49" i="18"/>
  <c r="N49" i="18"/>
  <c r="M49" i="18"/>
  <c r="J49" i="18"/>
  <c r="L49" i="18"/>
  <c r="E49" i="18"/>
  <c r="F49" i="18"/>
  <c r="H49" i="18"/>
  <c r="K49" i="18"/>
  <c r="O41" i="18"/>
  <c r="N41" i="18"/>
  <c r="M41" i="18"/>
  <c r="J41" i="18"/>
  <c r="H41" i="18"/>
  <c r="L41" i="18"/>
  <c r="E41" i="18"/>
  <c r="K41" i="18"/>
  <c r="O67" i="18"/>
  <c r="M67" i="18"/>
  <c r="O75" i="18"/>
  <c r="N75" i="18"/>
  <c r="K75" i="18"/>
  <c r="M75" i="18"/>
  <c r="L75" i="18"/>
  <c r="G75" i="18"/>
  <c r="F75" i="18"/>
  <c r="E75" i="18"/>
  <c r="H75" i="18"/>
  <c r="J75" i="18"/>
  <c r="O82" i="18"/>
  <c r="N82" i="18"/>
  <c r="K82" i="18"/>
  <c r="L82" i="18"/>
  <c r="E82" i="18"/>
  <c r="F82" i="18"/>
  <c r="G82" i="18"/>
  <c r="H82" i="18"/>
  <c r="J82" i="18"/>
  <c r="O94" i="18"/>
  <c r="N94" i="18"/>
  <c r="K94" i="18"/>
  <c r="M94" i="18"/>
  <c r="G94" i="18"/>
  <c r="F94" i="18"/>
  <c r="E94" i="18"/>
  <c r="H94" i="18"/>
  <c r="J94" i="18"/>
  <c r="L94" i="18"/>
  <c r="O86" i="18"/>
  <c r="N86" i="18"/>
  <c r="M86" i="18"/>
  <c r="K86" i="18"/>
  <c r="L86" i="18"/>
  <c r="E86" i="18"/>
  <c r="F86" i="18"/>
  <c r="G86" i="18"/>
  <c r="H86" i="18"/>
  <c r="J86" i="18"/>
  <c r="O97" i="18"/>
  <c r="N97" i="18"/>
  <c r="M97" i="18"/>
  <c r="L97" i="18"/>
  <c r="E97" i="18"/>
  <c r="F97" i="18"/>
  <c r="G97" i="18"/>
  <c r="H97" i="18"/>
  <c r="J97" i="18"/>
  <c r="O105" i="18"/>
  <c r="N105" i="18"/>
  <c r="M105" i="18"/>
  <c r="K105" i="18"/>
  <c r="L105" i="18"/>
  <c r="E105" i="18"/>
  <c r="F105" i="18"/>
  <c r="G105" i="18"/>
  <c r="H105" i="18"/>
  <c r="J105" i="18"/>
  <c r="K101" i="18"/>
  <c r="O124" i="18"/>
  <c r="N124" i="18"/>
  <c r="L124" i="18"/>
  <c r="G124" i="18"/>
  <c r="H124" i="18"/>
  <c r="J124" i="18"/>
  <c r="K124" i="18"/>
  <c r="M124" i="18"/>
  <c r="O154" i="18"/>
  <c r="N154" i="18"/>
  <c r="K154" i="18"/>
  <c r="E154" i="18"/>
  <c r="F154" i="18"/>
  <c r="G154" i="18"/>
  <c r="H154" i="18"/>
  <c r="J154" i="18"/>
  <c r="L154" i="18"/>
  <c r="M154" i="18"/>
  <c r="O150" i="18"/>
  <c r="N150" i="18"/>
  <c r="K150" i="18"/>
  <c r="M150" i="18"/>
  <c r="J150" i="18"/>
  <c r="H150" i="18"/>
  <c r="N157" i="18"/>
  <c r="O157" i="18"/>
  <c r="K157" i="18"/>
  <c r="L157" i="18"/>
  <c r="E157" i="18"/>
  <c r="F157" i="18"/>
  <c r="G157" i="18"/>
  <c r="H157" i="18"/>
  <c r="J157" i="18"/>
  <c r="M157" i="18"/>
  <c r="N184" i="18"/>
  <c r="O184" i="18"/>
  <c r="M184" i="18"/>
  <c r="L184" i="18"/>
  <c r="E184" i="18"/>
  <c r="F184" i="18"/>
  <c r="G184" i="18"/>
  <c r="H184" i="18"/>
  <c r="J184" i="18"/>
  <c r="K184" i="18"/>
  <c r="O187" i="18"/>
  <c r="N187" i="18"/>
  <c r="M187" i="18"/>
  <c r="K187" i="18"/>
  <c r="J187" i="18"/>
  <c r="L187" i="18"/>
  <c r="E187" i="18"/>
  <c r="F187" i="18"/>
  <c r="H187" i="18"/>
  <c r="O199" i="18"/>
  <c r="N199" i="18"/>
  <c r="M199" i="18"/>
  <c r="K199" i="18"/>
  <c r="J199" i="18"/>
  <c r="H199" i="18"/>
  <c r="K214" i="18"/>
  <c r="E216" i="18"/>
  <c r="L168" i="18"/>
  <c r="E163" i="18"/>
  <c r="F163" i="18"/>
  <c r="H163" i="18"/>
  <c r="J163" i="18"/>
  <c r="K163" i="18"/>
  <c r="L163" i="18"/>
  <c r="M163" i="18"/>
  <c r="N163" i="18"/>
  <c r="O163" i="18"/>
  <c r="E122" i="18"/>
  <c r="G122" i="18"/>
  <c r="H122" i="18"/>
  <c r="J122" i="18"/>
  <c r="K122" i="18"/>
  <c r="L122" i="18"/>
  <c r="F122" i="18"/>
  <c r="M122" i="18"/>
  <c r="N122" i="18"/>
  <c r="O122" i="18"/>
  <c r="E101" i="18"/>
  <c r="F101" i="18"/>
  <c r="G101" i="18"/>
  <c r="H101" i="18"/>
  <c r="J101" i="18"/>
  <c r="L101" i="18"/>
  <c r="M101" i="18"/>
  <c r="N101" i="18"/>
  <c r="O101" i="18"/>
  <c r="E38" i="18"/>
  <c r="F38" i="18"/>
  <c r="G38" i="18"/>
  <c r="J38" i="18"/>
  <c r="K38" i="18"/>
  <c r="N38" i="18"/>
  <c r="F84" i="18"/>
  <c r="E84" i="18"/>
  <c r="G84" i="18"/>
  <c r="H84" i="18"/>
  <c r="J84" i="18"/>
  <c r="K84" i="18"/>
  <c r="L84" i="18"/>
  <c r="M84" i="18"/>
  <c r="N84" i="18"/>
  <c r="O84" i="18"/>
  <c r="F50" i="18"/>
  <c r="F40" i="18"/>
  <c r="E40" i="18"/>
  <c r="H40" i="18"/>
  <c r="J40" i="18"/>
  <c r="K40" i="18"/>
  <c r="L40" i="18"/>
  <c r="M40" i="18"/>
  <c r="N40" i="18"/>
  <c r="O40" i="18"/>
  <c r="L150" i="18"/>
  <c r="E150" i="18"/>
  <c r="F150" i="18"/>
  <c r="M146" i="18"/>
  <c r="N46" i="18"/>
  <c r="M46" i="18"/>
  <c r="L46" i="18"/>
  <c r="E46" i="18"/>
  <c r="G46" i="18"/>
  <c r="H46" i="18"/>
  <c r="K46" i="18"/>
  <c r="O46" i="18"/>
  <c r="O76" i="18"/>
  <c r="M76" i="18"/>
  <c r="N76" i="18"/>
  <c r="K76" i="18"/>
  <c r="L76" i="18"/>
  <c r="E76" i="18"/>
  <c r="F76" i="18"/>
  <c r="G76" i="18"/>
  <c r="H76" i="18"/>
  <c r="J76" i="18"/>
  <c r="N132" i="18"/>
  <c r="O132" i="18"/>
  <c r="L132" i="18"/>
  <c r="E132" i="18"/>
  <c r="F132" i="18"/>
  <c r="G132" i="18"/>
  <c r="H132" i="18"/>
  <c r="J132" i="18"/>
  <c r="K132" i="18"/>
  <c r="M132" i="18"/>
  <c r="N143" i="18"/>
  <c r="O143" i="18"/>
  <c r="L143" i="18"/>
  <c r="E143" i="18"/>
  <c r="F143" i="18"/>
  <c r="G143" i="18"/>
  <c r="H143" i="18"/>
  <c r="J143" i="18"/>
  <c r="K143" i="18"/>
  <c r="M143" i="18"/>
  <c r="O170" i="18"/>
  <c r="L170" i="18"/>
  <c r="E170" i="18"/>
  <c r="F170" i="18"/>
  <c r="G170" i="18"/>
  <c r="H170" i="18"/>
  <c r="J170" i="18"/>
  <c r="K170" i="18"/>
  <c r="M170" i="18"/>
  <c r="N170" i="18"/>
  <c r="E50" i="18"/>
  <c r="F22" i="18"/>
  <c r="F26" i="18"/>
  <c r="F33" i="18"/>
  <c r="F44" i="18"/>
  <c r="F48" i="18"/>
  <c r="F51" i="18"/>
  <c r="F59" i="18"/>
  <c r="F61" i="18"/>
  <c r="F64" i="18"/>
  <c r="F67" i="18"/>
  <c r="F69" i="18"/>
  <c r="F81" i="18"/>
  <c r="F83" i="18"/>
  <c r="F85" i="18"/>
  <c r="F90" i="18"/>
  <c r="F96" i="18"/>
  <c r="F100" i="18"/>
  <c r="F106" i="18"/>
  <c r="F108" i="18"/>
  <c r="F110" i="18"/>
  <c r="F115" i="18"/>
  <c r="F116" i="18"/>
  <c r="F118" i="18"/>
  <c r="F120" i="18"/>
  <c r="F121" i="18"/>
  <c r="F125" i="18"/>
  <c r="F134" i="18"/>
  <c r="F138" i="18"/>
  <c r="F139" i="18"/>
  <c r="F146" i="18"/>
  <c r="F148" i="18"/>
  <c r="F169" i="18"/>
  <c r="F171" i="18"/>
  <c r="F179" i="18"/>
  <c r="F181" i="18"/>
  <c r="F182" i="18"/>
  <c r="F193" i="18"/>
  <c r="F194" i="18"/>
  <c r="F199" i="18"/>
  <c r="F208" i="18"/>
  <c r="F209" i="18"/>
  <c r="G171" i="18"/>
  <c r="O33" i="18"/>
  <c r="M33" i="18"/>
  <c r="L33" i="18"/>
  <c r="E33" i="18"/>
  <c r="G33" i="18"/>
  <c r="H33" i="18"/>
  <c r="J33" i="18"/>
  <c r="K33" i="18"/>
  <c r="N33" i="18"/>
  <c r="O44" i="18"/>
  <c r="M44" i="18"/>
  <c r="L44" i="18"/>
  <c r="E44" i="18"/>
  <c r="G44" i="18"/>
  <c r="H44" i="18"/>
  <c r="J44" i="18"/>
  <c r="K44" i="18"/>
  <c r="N44" i="18"/>
  <c r="J70" i="18"/>
  <c r="M100" i="18"/>
  <c r="N100" i="18"/>
  <c r="O100" i="18"/>
  <c r="J100" i="18"/>
  <c r="E100" i="18"/>
  <c r="G100" i="18"/>
  <c r="H100" i="18"/>
  <c r="K100" i="18"/>
  <c r="L100" i="18"/>
  <c r="O130" i="18"/>
  <c r="M130" i="18"/>
  <c r="K130" i="18"/>
  <c r="N130" i="18"/>
  <c r="L130" i="18"/>
  <c r="E130" i="18"/>
  <c r="H130" i="18"/>
  <c r="J130" i="18"/>
  <c r="M194" i="18"/>
  <c r="L194" i="18"/>
  <c r="E194" i="18"/>
  <c r="G194" i="18"/>
  <c r="H194" i="18"/>
  <c r="J194" i="18"/>
  <c r="K194" i="18"/>
  <c r="N194" i="18"/>
  <c r="O194" i="18"/>
  <c r="E199" i="18"/>
  <c r="G199" i="18"/>
  <c r="L199" i="18"/>
  <c r="J31" i="18"/>
  <c r="E26" i="18"/>
  <c r="G26" i="18"/>
  <c r="H26" i="18"/>
  <c r="L26" i="18"/>
  <c r="M26" i="18"/>
  <c r="N26" i="18"/>
  <c r="O26" i="18"/>
  <c r="G146" i="18"/>
  <c r="M125" i="18"/>
  <c r="L125" i="18"/>
  <c r="J125" i="18"/>
  <c r="N121" i="18"/>
  <c r="O121" i="18"/>
  <c r="L121" i="18"/>
  <c r="M121" i="18"/>
  <c r="J121" i="18"/>
  <c r="G121" i="18"/>
  <c r="H121" i="18"/>
  <c r="K121" i="18"/>
  <c r="K147" i="18"/>
  <c r="M147" i="18"/>
  <c r="L147" i="18"/>
  <c r="G147" i="18"/>
  <c r="H147" i="18"/>
  <c r="N162" i="18"/>
  <c r="L162" i="18"/>
  <c r="E162" i="18"/>
  <c r="G162" i="18"/>
  <c r="H162" i="18"/>
  <c r="J162" i="18"/>
  <c r="K162" i="18"/>
  <c r="M162" i="18"/>
  <c r="O162" i="18"/>
  <c r="O181" i="18"/>
  <c r="L181" i="18"/>
  <c r="M181" i="18"/>
  <c r="K181" i="18"/>
  <c r="E181" i="18"/>
  <c r="G181" i="18"/>
  <c r="H181" i="18"/>
  <c r="J181" i="18"/>
  <c r="N181" i="18"/>
  <c r="O211" i="18"/>
  <c r="E45" i="18"/>
  <c r="E48" i="18"/>
  <c r="E51" i="18"/>
  <c r="E57" i="18"/>
  <c r="E59" i="18"/>
  <c r="E64" i="18"/>
  <c r="E67" i="18"/>
  <c r="E69" i="18"/>
  <c r="E80" i="18"/>
  <c r="E81" i="18"/>
  <c r="E83" i="18"/>
  <c r="E85" i="18"/>
  <c r="E90" i="18"/>
  <c r="E96" i="18"/>
  <c r="E108" i="18"/>
  <c r="E110" i="18"/>
  <c r="E115" i="18"/>
  <c r="E116" i="18"/>
  <c r="E118" i="18"/>
  <c r="E120" i="18"/>
  <c r="E125" i="18"/>
  <c r="E133" i="18"/>
  <c r="E134" i="18"/>
  <c r="E135" i="18"/>
  <c r="E138" i="18"/>
  <c r="E139" i="18"/>
  <c r="E146" i="18"/>
  <c r="E147" i="18"/>
  <c r="E171" i="18"/>
  <c r="E179" i="18"/>
  <c r="E182" i="18"/>
  <c r="E193" i="18"/>
  <c r="E208" i="18"/>
  <c r="E209" i="18"/>
  <c r="O51" i="18"/>
  <c r="N51" i="18"/>
  <c r="L51" i="18"/>
  <c r="K51" i="18"/>
  <c r="M51" i="18"/>
  <c r="J51" i="18"/>
  <c r="G51" i="18"/>
  <c r="H51" i="18"/>
  <c r="O81" i="18"/>
  <c r="M81" i="18"/>
  <c r="N81" i="18"/>
  <c r="K81" i="18"/>
  <c r="G81" i="18"/>
  <c r="H81" i="18"/>
  <c r="J81" i="18"/>
  <c r="L81" i="18"/>
  <c r="K69" i="18"/>
  <c r="G69" i="18"/>
  <c r="H69" i="18"/>
  <c r="J69" i="18"/>
  <c r="L69" i="18"/>
  <c r="M69" i="18"/>
  <c r="N69" i="18"/>
  <c r="O69" i="18"/>
  <c r="L88" i="18"/>
  <c r="N133" i="18"/>
  <c r="O133" i="18"/>
  <c r="M133" i="18"/>
  <c r="G133" i="18"/>
  <c r="J133" i="18"/>
  <c r="O148" i="18"/>
  <c r="N148" i="18"/>
  <c r="M148" i="18"/>
  <c r="L148" i="18"/>
  <c r="G148" i="18"/>
  <c r="H148" i="18"/>
  <c r="J148" i="18"/>
  <c r="K148" i="18"/>
  <c r="O171" i="18"/>
  <c r="N171" i="18"/>
  <c r="L171" i="18"/>
  <c r="M171" i="18"/>
  <c r="H171" i="18"/>
  <c r="N159" i="18"/>
  <c r="O182" i="18"/>
  <c r="N182" i="18"/>
  <c r="L182" i="18"/>
  <c r="H182" i="18"/>
  <c r="J182" i="18"/>
  <c r="K182" i="18"/>
  <c r="M182" i="18"/>
  <c r="N193" i="18"/>
  <c r="O193" i="18"/>
  <c r="L193" i="18"/>
  <c r="H193" i="18"/>
  <c r="J193" i="18"/>
  <c r="K193" i="18"/>
  <c r="M193" i="18"/>
  <c r="O216" i="18"/>
  <c r="N216" i="18"/>
  <c r="M216" i="18"/>
  <c r="L216" i="18"/>
  <c r="G216" i="18"/>
  <c r="H216" i="18"/>
  <c r="J216" i="18"/>
  <c r="K216" i="18"/>
  <c r="O208" i="18"/>
  <c r="L208" i="18"/>
  <c r="G208" i="18"/>
  <c r="H208" i="18"/>
  <c r="J208" i="18"/>
  <c r="K208" i="18"/>
  <c r="M208" i="18"/>
  <c r="N208" i="18"/>
  <c r="J171" i="18"/>
  <c r="K171" i="18"/>
  <c r="G125" i="18"/>
  <c r="H125" i="18"/>
  <c r="K125" i="18"/>
  <c r="N125" i="18"/>
  <c r="O125" i="18"/>
  <c r="G120" i="18"/>
  <c r="H120" i="18"/>
  <c r="J120" i="18"/>
  <c r="K120" i="18"/>
  <c r="L120" i="18"/>
  <c r="M120" i="18"/>
  <c r="N120" i="18"/>
  <c r="O120" i="18"/>
  <c r="G67" i="18"/>
  <c r="J203" i="18"/>
  <c r="J147" i="18"/>
  <c r="N147" i="18"/>
  <c r="O147" i="18"/>
  <c r="E16" i="18"/>
  <c r="F16" i="18"/>
  <c r="G16" i="18"/>
  <c r="J16" i="18"/>
  <c r="K16" i="18"/>
  <c r="L16" i="18"/>
  <c r="M16" i="18"/>
  <c r="N16" i="18"/>
  <c r="E15" i="18"/>
  <c r="F15" i="18"/>
  <c r="G15" i="18"/>
  <c r="J15" i="18"/>
  <c r="K15" i="18"/>
  <c r="L15" i="18"/>
  <c r="M15" i="18"/>
  <c r="N15" i="18"/>
  <c r="K7" i="18"/>
  <c r="L7" i="18"/>
  <c r="E7" i="18"/>
  <c r="E6" i="18"/>
  <c r="E9" i="18"/>
  <c r="E14" i="18"/>
  <c r="E19" i="18"/>
  <c r="F7" i="18"/>
  <c r="G7" i="18"/>
  <c r="J7" i="18"/>
  <c r="M7" i="18"/>
  <c r="N7" i="18"/>
  <c r="O7" i="18"/>
  <c r="F14" i="18"/>
  <c r="G14" i="18"/>
  <c r="J14" i="18"/>
  <c r="K14" i="18"/>
  <c r="L14" i="18"/>
  <c r="M14" i="18"/>
  <c r="N14" i="18"/>
  <c r="F10" i="18"/>
  <c r="J10" i="18"/>
  <c r="K10" i="18"/>
  <c r="L10" i="18"/>
  <c r="L6" i="18"/>
  <c r="F6" i="18"/>
  <c r="F9" i="18"/>
  <c r="F19" i="18"/>
  <c r="G6" i="18"/>
  <c r="G9" i="18"/>
  <c r="G10" i="18"/>
  <c r="J6" i="18"/>
  <c r="K6" i="18"/>
  <c r="M6" i="18"/>
  <c r="N6" i="18"/>
  <c r="O6" i="18"/>
  <c r="L9" i="18"/>
  <c r="L19" i="18"/>
  <c r="J19" i="18"/>
  <c r="K19" i="18"/>
  <c r="M10" i="18"/>
  <c r="N10" i="18"/>
  <c r="J9" i="18"/>
  <c r="K9" i="18"/>
  <c r="M9" i="18"/>
  <c r="N9" i="18"/>
  <c r="C5" i="63"/>
  <c r="J19" i="1"/>
  <c r="J54" i="1" s="1"/>
  <c r="J55" i="1" s="1"/>
  <c r="J4" i="1"/>
  <c r="C5" i="67"/>
  <c r="D3" i="56"/>
  <c r="B1" i="56"/>
  <c r="C6" i="68"/>
  <c r="G40" i="1"/>
  <c r="I40" i="1"/>
  <c r="C6" i="40"/>
  <c r="K4" i="1"/>
  <c r="K19" i="1"/>
  <c r="C6" i="65"/>
  <c r="H19" i="1"/>
  <c r="H4" i="1"/>
  <c r="C6" i="59"/>
  <c r="O5" i="1"/>
  <c r="P5" i="1"/>
  <c r="N4" i="1"/>
  <c r="D4" i="1"/>
  <c r="C4" i="1"/>
  <c r="E4" i="1"/>
  <c r="F4" i="1"/>
  <c r="F55" i="1" s="1"/>
  <c r="G4" i="1"/>
  <c r="I4" i="1"/>
  <c r="L4" i="1"/>
  <c r="M4" i="1"/>
  <c r="E19" i="1"/>
  <c r="E54" i="1"/>
  <c r="E55" i="1" s="1"/>
  <c r="G19" i="1"/>
  <c r="G54" i="1" s="1"/>
  <c r="M19" i="1"/>
  <c r="M54" i="1" s="1"/>
  <c r="M55" i="1" s="1"/>
  <c r="N40" i="1"/>
  <c r="O20" i="1"/>
  <c r="P20" i="1" s="1"/>
  <c r="D19" i="1"/>
  <c r="C19" i="1"/>
  <c r="F40" i="1"/>
  <c r="L40" i="1"/>
  <c r="F19" i="1"/>
  <c r="I19" i="1"/>
  <c r="L19" i="1"/>
  <c r="L54" i="1" s="1"/>
  <c r="L55" i="1" s="1"/>
  <c r="N19" i="1"/>
  <c r="N54" i="1" s="1"/>
  <c r="B19" i="21"/>
  <c r="B18" i="21"/>
  <c r="B17" i="21"/>
  <c r="B16" i="21"/>
  <c r="B15" i="21"/>
  <c r="B14" i="21"/>
  <c r="B13" i="21"/>
  <c r="B12" i="21"/>
  <c r="B11" i="21"/>
  <c r="B9" i="21"/>
  <c r="B8" i="21"/>
  <c r="B7" i="21"/>
  <c r="B5" i="21"/>
  <c r="B202" i="18"/>
  <c r="B187" i="18"/>
  <c r="B172" i="18"/>
  <c r="B157" i="18"/>
  <c r="B142" i="18"/>
  <c r="B127" i="18"/>
  <c r="B112" i="18"/>
  <c r="B97" i="18"/>
  <c r="B37" i="18"/>
  <c r="B22" i="18"/>
  <c r="O42" i="1"/>
  <c r="P42" i="1" s="1"/>
  <c r="O41" i="1"/>
  <c r="P41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3" i="1"/>
  <c r="P43" i="1" s="1"/>
  <c r="B19" i="1"/>
  <c r="B27" i="16"/>
  <c r="B23" i="16"/>
  <c r="B26" i="16"/>
  <c r="B28" i="16"/>
  <c r="H59" i="18"/>
  <c r="N59" i="18"/>
  <c r="O59" i="18"/>
  <c r="K59" i="18"/>
  <c r="M59" i="18"/>
  <c r="J59" i="18"/>
  <c r="G59" i="18"/>
  <c r="L59" i="18"/>
  <c r="M13" i="18"/>
  <c r="K13" i="18"/>
  <c r="H209" i="18"/>
  <c r="J209" i="18"/>
  <c r="L209" i="18"/>
  <c r="G209" i="18"/>
  <c r="K209" i="18"/>
  <c r="M209" i="18"/>
  <c r="N209" i="18"/>
  <c r="O209" i="18"/>
  <c r="B21" i="16"/>
  <c r="G48" i="18"/>
  <c r="H48" i="18"/>
  <c r="J48" i="18"/>
  <c r="K48" i="18"/>
  <c r="L48" i="18"/>
  <c r="M48" i="18"/>
  <c r="N48" i="18"/>
  <c r="O48" i="18"/>
  <c r="N13" i="18"/>
  <c r="B20" i="16"/>
  <c r="G96" i="18"/>
  <c r="H96" i="18"/>
  <c r="J96" i="18"/>
  <c r="K96" i="18"/>
  <c r="L96" i="18"/>
  <c r="M96" i="18"/>
  <c r="N96" i="18"/>
  <c r="O96" i="18"/>
  <c r="J116" i="18"/>
  <c r="O116" i="18"/>
  <c r="G116" i="18"/>
  <c r="H116" i="18"/>
  <c r="K116" i="18"/>
  <c r="L116" i="18"/>
  <c r="M116" i="18"/>
  <c r="J179" i="18"/>
  <c r="K179" i="18"/>
  <c r="L179" i="18"/>
  <c r="M179" i="18"/>
  <c r="N179" i="18"/>
  <c r="O179" i="18"/>
  <c r="B29" i="16"/>
  <c r="H134" i="18"/>
  <c r="G134" i="18"/>
  <c r="J134" i="18"/>
  <c r="K134" i="18"/>
  <c r="L134" i="18"/>
  <c r="M134" i="18"/>
  <c r="N134" i="18"/>
  <c r="J85" i="18"/>
  <c r="G85" i="18"/>
  <c r="K85" i="18"/>
  <c r="L85" i="18"/>
  <c r="H85" i="18"/>
  <c r="J118" i="18"/>
  <c r="K118" i="18"/>
  <c r="L118" i="18"/>
  <c r="N118" i="18"/>
  <c r="K133" i="18"/>
  <c r="L133" i="18"/>
  <c r="H133" i="18"/>
  <c r="O16" i="94"/>
  <c r="J115" i="18"/>
  <c r="L115" i="18"/>
  <c r="K115" i="18"/>
  <c r="M115" i="18"/>
  <c r="O115" i="18"/>
  <c r="O64" i="18"/>
  <c r="D54" i="1"/>
  <c r="G45" i="18"/>
  <c r="K45" i="18"/>
  <c r="L45" i="18"/>
  <c r="H45" i="18"/>
  <c r="N45" i="18"/>
  <c r="O45" i="18"/>
  <c r="J13" i="18"/>
  <c r="G64" i="18"/>
  <c r="H64" i="18"/>
  <c r="J64" i="18"/>
  <c r="K64" i="18"/>
  <c r="L64" i="18"/>
  <c r="M64" i="18"/>
  <c r="N64" i="18"/>
  <c r="K67" i="18"/>
  <c r="K83" i="18"/>
  <c r="K90" i="18"/>
  <c r="K102" i="18"/>
  <c r="K108" i="18"/>
  <c r="K109" i="18"/>
  <c r="K110" i="18"/>
  <c r="K138" i="18"/>
  <c r="K139" i="18"/>
  <c r="K146" i="18"/>
  <c r="J106" i="18"/>
  <c r="M106" i="18"/>
  <c r="O90" i="18"/>
  <c r="H90" i="18"/>
  <c r="L90" i="18"/>
  <c r="G90" i="18"/>
  <c r="J90" i="18"/>
  <c r="N90" i="18"/>
  <c r="L139" i="18"/>
  <c r="N139" i="18"/>
  <c r="O139" i="18"/>
  <c r="H139" i="18"/>
  <c r="F28" i="81"/>
  <c r="L80" i="18"/>
  <c r="H80" i="18"/>
  <c r="L8" i="17"/>
  <c r="F8" i="17"/>
  <c r="G8" i="17"/>
  <c r="I8" i="17"/>
  <c r="J8" i="17"/>
  <c r="K8" i="17"/>
  <c r="C8" i="17"/>
  <c r="N8" i="17"/>
  <c r="Q8" i="94"/>
  <c r="R8" i="94" s="1"/>
  <c r="G110" i="18"/>
  <c r="H110" i="18"/>
  <c r="J110" i="18"/>
  <c r="L110" i="18"/>
  <c r="M110" i="18"/>
  <c r="N110" i="18"/>
  <c r="O110" i="18"/>
  <c r="H54" i="1"/>
  <c r="G83" i="18"/>
  <c r="H83" i="18"/>
  <c r="J83" i="18"/>
  <c r="L83" i="18"/>
  <c r="M83" i="18"/>
  <c r="N83" i="18"/>
  <c r="O83" i="18"/>
  <c r="J56" i="18"/>
  <c r="H146" i="18"/>
  <c r="J146" i="18"/>
  <c r="L146" i="18"/>
  <c r="N146" i="18"/>
  <c r="O146" i="18"/>
  <c r="G138" i="18"/>
  <c r="H138" i="18"/>
  <c r="J138" i="18"/>
  <c r="L138" i="18"/>
  <c r="M138" i="18"/>
  <c r="O138" i="18"/>
  <c r="H67" i="18"/>
  <c r="L67" i="18"/>
  <c r="J67" i="18"/>
  <c r="N67" i="18"/>
  <c r="L195" i="18"/>
  <c r="J102" i="18"/>
  <c r="H102" i="18"/>
  <c r="L102" i="18"/>
  <c r="O135" i="18"/>
  <c r="H192" i="18"/>
  <c r="H169" i="18"/>
  <c r="N22" i="18"/>
  <c r="G66" i="18"/>
  <c r="L191" i="18"/>
  <c r="G169" i="18"/>
  <c r="M22" i="18"/>
  <c r="L57" i="18"/>
  <c r="H57" i="18"/>
  <c r="M57" i="18"/>
  <c r="J54" i="18"/>
  <c r="M54" i="18"/>
  <c r="O206" i="18"/>
  <c r="L169" i="18"/>
  <c r="L22" i="18"/>
  <c r="G22" i="18"/>
  <c r="G61" i="18"/>
  <c r="G63" i="18"/>
  <c r="H22" i="18"/>
  <c r="H108" i="18"/>
  <c r="J22" i="18"/>
  <c r="N108" i="18"/>
  <c r="O126" i="18"/>
  <c r="L108" i="18"/>
  <c r="J108" i="18"/>
  <c r="L61" i="18"/>
  <c r="N61" i="18"/>
  <c r="L166" i="18"/>
  <c r="N186" i="18"/>
  <c r="F4" i="17"/>
  <c r="L20" i="59"/>
  <c r="L14" i="69"/>
  <c r="M14" i="69" s="1"/>
  <c r="L17" i="69"/>
  <c r="L19" i="69"/>
  <c r="L19" i="68"/>
  <c r="L20" i="40"/>
  <c r="L22" i="40"/>
  <c r="L17" i="68"/>
  <c r="L14" i="40"/>
  <c r="M14" i="40" s="1"/>
  <c r="L21" i="59"/>
  <c r="M21" i="59" s="1"/>
  <c r="L18" i="59"/>
  <c r="L19" i="59"/>
  <c r="L16" i="59"/>
  <c r="L16" i="69"/>
  <c r="L19" i="40"/>
  <c r="L18" i="68"/>
  <c r="L21" i="40"/>
  <c r="M21" i="40" s="1"/>
  <c r="L16" i="40"/>
  <c r="O10" i="18"/>
  <c r="D4" i="17"/>
  <c r="L4" i="17"/>
  <c r="G14" i="17"/>
  <c r="K14" i="17"/>
  <c r="E4" i="17"/>
  <c r="J4" i="17"/>
  <c r="L16" i="17"/>
  <c r="I4" i="17"/>
  <c r="K16" i="17"/>
  <c r="D16" i="17"/>
  <c r="G16" i="17"/>
  <c r="I16" i="17"/>
  <c r="C5" i="69"/>
  <c r="L18" i="67"/>
  <c r="C5" i="59"/>
  <c r="F54" i="1"/>
  <c r="C5" i="40"/>
  <c r="L17" i="63"/>
  <c r="L23" i="63"/>
  <c r="O19" i="1"/>
  <c r="P19" i="1" s="1"/>
  <c r="I54" i="1"/>
  <c r="I55" i="1" s="1"/>
  <c r="L17" i="62"/>
  <c r="N11" i="61"/>
  <c r="K112" i="18" l="1"/>
  <c r="L17" i="67"/>
  <c r="N88" i="18"/>
  <c r="J183" i="18"/>
  <c r="H183" i="18"/>
  <c r="O88" i="18"/>
  <c r="G183" i="18"/>
  <c r="F66" i="18"/>
  <c r="M183" i="18"/>
  <c r="M88" i="18"/>
  <c r="E88" i="18"/>
  <c r="O183" i="18"/>
  <c r="L66" i="18"/>
  <c r="N183" i="18"/>
  <c r="G88" i="18"/>
  <c r="O66" i="18"/>
  <c r="E183" i="18"/>
  <c r="N66" i="18"/>
  <c r="K66" i="18"/>
  <c r="M66" i="18"/>
  <c r="K183" i="18"/>
  <c r="K88" i="18"/>
  <c r="L183" i="18"/>
  <c r="J66" i="18"/>
  <c r="J88" i="18"/>
  <c r="E66" i="18"/>
  <c r="F55" i="18"/>
  <c r="F52" i="18"/>
  <c r="H7" i="94"/>
  <c r="O68" i="18"/>
  <c r="H195" i="18"/>
  <c r="J68" i="18"/>
  <c r="G195" i="18"/>
  <c r="G68" i="18"/>
  <c r="J195" i="18"/>
  <c r="N195" i="18"/>
  <c r="H68" i="18"/>
  <c r="K68" i="18"/>
  <c r="F68" i="18"/>
  <c r="K195" i="18"/>
  <c r="E195" i="18"/>
  <c r="E68" i="18"/>
  <c r="L68" i="18"/>
  <c r="O195" i="18"/>
  <c r="M195" i="18"/>
  <c r="G102" i="18"/>
  <c r="O52" i="18"/>
  <c r="O98" i="18"/>
  <c r="N52" i="18"/>
  <c r="K52" i="18"/>
  <c r="N98" i="18"/>
  <c r="M98" i="18"/>
  <c r="K98" i="18"/>
  <c r="J98" i="18"/>
  <c r="H98" i="18"/>
  <c r="G98" i="18"/>
  <c r="F98" i="18"/>
  <c r="E98" i="18"/>
  <c r="O156" i="18"/>
  <c r="H74" i="18"/>
  <c r="O22" i="18"/>
  <c r="M89" i="18"/>
  <c r="O210" i="18"/>
  <c r="J52" i="18"/>
  <c r="E55" i="18"/>
  <c r="E8" i="17"/>
  <c r="K156" i="18"/>
  <c r="N156" i="18"/>
  <c r="L126" i="18"/>
  <c r="L156" i="18"/>
  <c r="E156" i="18"/>
  <c r="F156" i="18"/>
  <c r="G156" i="18"/>
  <c r="K126" i="18"/>
  <c r="J156" i="18"/>
  <c r="N57" i="18"/>
  <c r="F57" i="18"/>
  <c r="E126" i="18"/>
  <c r="D8" i="17"/>
  <c r="H156" i="18"/>
  <c r="O145" i="18"/>
  <c r="M126" i="18"/>
  <c r="N19" i="18"/>
  <c r="L145" i="18"/>
  <c r="N55" i="18"/>
  <c r="N16" i="17"/>
  <c r="N126" i="18"/>
  <c r="M55" i="18"/>
  <c r="K15" i="17"/>
  <c r="F29" i="18"/>
  <c r="F176" i="18"/>
  <c r="E109" i="18"/>
  <c r="K29" i="18"/>
  <c r="J29" i="18"/>
  <c r="N176" i="18"/>
  <c r="M176" i="18"/>
  <c r="H29" i="18"/>
  <c r="J176" i="18"/>
  <c r="E29" i="18"/>
  <c r="J109" i="18"/>
  <c r="H176" i="18"/>
  <c r="L29" i="18"/>
  <c r="G176" i="18"/>
  <c r="N29" i="18"/>
  <c r="L176" i="18"/>
  <c r="M29" i="18"/>
  <c r="E176" i="18"/>
  <c r="O29" i="18"/>
  <c r="G52" i="18"/>
  <c r="H55" i="18"/>
  <c r="O176" i="18"/>
  <c r="H210" i="18"/>
  <c r="E52" i="18"/>
  <c r="G55" i="18"/>
  <c r="L12" i="17"/>
  <c r="K192" i="18"/>
  <c r="H42" i="18"/>
  <c r="J192" i="18"/>
  <c r="K63" i="18"/>
  <c r="O36" i="18"/>
  <c r="L54" i="18"/>
  <c r="M68" i="18"/>
  <c r="K177" i="18"/>
  <c r="J16" i="17"/>
  <c r="K54" i="18"/>
  <c r="K89" i="18"/>
  <c r="E192" i="18"/>
  <c r="N192" i="18"/>
  <c r="E54" i="18"/>
  <c r="G215" i="18"/>
  <c r="K103" i="18"/>
  <c r="O73" i="18"/>
  <c r="M192" i="18"/>
  <c r="O54" i="18"/>
  <c r="M73" i="18"/>
  <c r="N54" i="18"/>
  <c r="N53" i="18"/>
  <c r="O214" i="18"/>
  <c r="H153" i="18"/>
  <c r="H56" i="18"/>
  <c r="G56" i="18"/>
  <c r="M53" i="18"/>
  <c r="O123" i="18"/>
  <c r="L56" i="18"/>
  <c r="L53" i="18"/>
  <c r="J151" i="18"/>
  <c r="K53" i="18"/>
  <c r="H53" i="18"/>
  <c r="E56" i="18"/>
  <c r="F56" i="18"/>
  <c r="N214" i="18"/>
  <c r="K56" i="18"/>
  <c r="G53" i="18"/>
  <c r="F53" i="18"/>
  <c r="M214" i="18"/>
  <c r="L127" i="18"/>
  <c r="J53" i="18"/>
  <c r="E53" i="18"/>
  <c r="H214" i="18"/>
  <c r="F214" i="18"/>
  <c r="O56" i="18"/>
  <c r="E214" i="18"/>
  <c r="N56" i="18"/>
  <c r="L214" i="18"/>
  <c r="J214" i="18"/>
  <c r="N135" i="18"/>
  <c r="M135" i="18"/>
  <c r="G202" i="18"/>
  <c r="M19" i="18"/>
  <c r="H135" i="18"/>
  <c r="G211" i="18"/>
  <c r="M155" i="18"/>
  <c r="G19" i="18"/>
  <c r="G135" i="18"/>
  <c r="K135" i="18"/>
  <c r="F211" i="18"/>
  <c r="E211" i="18"/>
  <c r="N28" i="18"/>
  <c r="N211" i="18"/>
  <c r="K211" i="18"/>
  <c r="H211" i="18"/>
  <c r="F10" i="17"/>
  <c r="J211" i="18"/>
  <c r="L211" i="18"/>
  <c r="F135" i="18"/>
  <c r="L135" i="18"/>
  <c r="L93" i="18"/>
  <c r="J12" i="17"/>
  <c r="O39" i="18"/>
  <c r="H151" i="18"/>
  <c r="O77" i="18"/>
  <c r="E39" i="18"/>
  <c r="O93" i="18"/>
  <c r="K155" i="18"/>
  <c r="K127" i="18"/>
  <c r="M28" i="18"/>
  <c r="G153" i="18"/>
  <c r="F202" i="18"/>
  <c r="L15" i="69"/>
  <c r="N39" i="18"/>
  <c r="K123" i="18"/>
  <c r="K39" i="18"/>
  <c r="G151" i="18"/>
  <c r="K77" i="18"/>
  <c r="N93" i="18"/>
  <c r="J155" i="18"/>
  <c r="M127" i="18"/>
  <c r="K28" i="18"/>
  <c r="E153" i="18"/>
  <c r="L18" i="17"/>
  <c r="G123" i="18"/>
  <c r="L13" i="68"/>
  <c r="M13" i="68" s="1"/>
  <c r="M39" i="18"/>
  <c r="L151" i="18"/>
  <c r="J77" i="18"/>
  <c r="H155" i="18"/>
  <c r="O161" i="18"/>
  <c r="O127" i="18"/>
  <c r="J28" i="18"/>
  <c r="F153" i="18"/>
  <c r="E95" i="18"/>
  <c r="N63" i="18"/>
  <c r="O63" i="18"/>
  <c r="L17" i="40"/>
  <c r="M17" i="40" s="1"/>
  <c r="L39" i="18"/>
  <c r="N151" i="18"/>
  <c r="H77" i="18"/>
  <c r="F93" i="18"/>
  <c r="G155" i="18"/>
  <c r="H28" i="18"/>
  <c r="M63" i="18"/>
  <c r="E63" i="18"/>
  <c r="K10" i="17"/>
  <c r="J39" i="18"/>
  <c r="M151" i="18"/>
  <c r="G77" i="18"/>
  <c r="F123" i="18"/>
  <c r="F155" i="18"/>
  <c r="F28" i="18"/>
  <c r="L160" i="18"/>
  <c r="L20" i="69"/>
  <c r="M20" i="69" s="1"/>
  <c r="H39" i="18"/>
  <c r="L77" i="18"/>
  <c r="H93" i="18"/>
  <c r="E155" i="18"/>
  <c r="N127" i="18"/>
  <c r="E28" i="18"/>
  <c r="O153" i="18"/>
  <c r="H144" i="18"/>
  <c r="L99" i="18"/>
  <c r="J79" i="18"/>
  <c r="J63" i="18"/>
  <c r="L21" i="63"/>
  <c r="N10" i="17"/>
  <c r="N77" i="18"/>
  <c r="G93" i="18"/>
  <c r="L155" i="18"/>
  <c r="J127" i="18"/>
  <c r="N153" i="18"/>
  <c r="J99" i="18"/>
  <c r="F63" i="18"/>
  <c r="N123" i="18"/>
  <c r="M77" i="18"/>
  <c r="E123" i="18"/>
  <c r="E93" i="18"/>
  <c r="O155" i="18"/>
  <c r="H127" i="18"/>
  <c r="M153" i="18"/>
  <c r="L63" i="18"/>
  <c r="K93" i="18"/>
  <c r="F151" i="18"/>
  <c r="F77" i="18"/>
  <c r="G127" i="18"/>
  <c r="L153" i="18"/>
  <c r="O202" i="18"/>
  <c r="M123" i="18"/>
  <c r="L123" i="18"/>
  <c r="O151" i="18"/>
  <c r="E151" i="18"/>
  <c r="J93" i="18"/>
  <c r="F39" i="18"/>
  <c r="F127" i="18"/>
  <c r="K153" i="18"/>
  <c r="L202" i="18"/>
  <c r="K213" i="18"/>
  <c r="N160" i="18"/>
  <c r="J123" i="18"/>
  <c r="O28" i="18"/>
  <c r="K202" i="18"/>
  <c r="L52" i="18"/>
  <c r="D18" i="17"/>
  <c r="G42" i="18"/>
  <c r="O18" i="18"/>
  <c r="O159" i="18"/>
  <c r="E24" i="18"/>
  <c r="H31" i="18"/>
  <c r="H70" i="18"/>
  <c r="K168" i="18"/>
  <c r="K23" i="18"/>
  <c r="E215" i="18"/>
  <c r="J103" i="18"/>
  <c r="N36" i="18"/>
  <c r="H20" i="18"/>
  <c r="O30" i="18"/>
  <c r="C16" i="17"/>
  <c r="O20" i="18"/>
  <c r="N18" i="18"/>
  <c r="E92" i="18"/>
  <c r="J24" i="18"/>
  <c r="O35" i="18"/>
  <c r="E31" i="18"/>
  <c r="G70" i="18"/>
  <c r="O152" i="18"/>
  <c r="J168" i="18"/>
  <c r="H23" i="18"/>
  <c r="G31" i="18"/>
  <c r="F215" i="18"/>
  <c r="G103" i="18"/>
  <c r="K36" i="18"/>
  <c r="M30" i="18"/>
  <c r="I18" i="17"/>
  <c r="N20" i="18"/>
  <c r="M18" i="18"/>
  <c r="E20" i="18"/>
  <c r="J92" i="18"/>
  <c r="M24" i="18"/>
  <c r="J35" i="18"/>
  <c r="J104" i="18"/>
  <c r="E70" i="18"/>
  <c r="F70" i="18"/>
  <c r="N152" i="18"/>
  <c r="H168" i="18"/>
  <c r="G23" i="18"/>
  <c r="K31" i="18"/>
  <c r="F103" i="18"/>
  <c r="J36" i="18"/>
  <c r="H18" i="18"/>
  <c r="K30" i="18"/>
  <c r="M9" i="17"/>
  <c r="L20" i="61"/>
  <c r="M20" i="61" s="1"/>
  <c r="M20" i="18"/>
  <c r="L18" i="18"/>
  <c r="H92" i="18"/>
  <c r="K24" i="18"/>
  <c r="H35" i="18"/>
  <c r="H104" i="18"/>
  <c r="L70" i="18"/>
  <c r="F42" i="18"/>
  <c r="M152" i="18"/>
  <c r="G168" i="18"/>
  <c r="F23" i="18"/>
  <c r="E103" i="18"/>
  <c r="H36" i="18"/>
  <c r="F168" i="18"/>
  <c r="J30" i="18"/>
  <c r="K20" i="18"/>
  <c r="G20" i="18"/>
  <c r="K18" i="18"/>
  <c r="E18" i="18"/>
  <c r="G92" i="18"/>
  <c r="E159" i="18"/>
  <c r="L24" i="18"/>
  <c r="G35" i="18"/>
  <c r="G104" i="18"/>
  <c r="M70" i="18"/>
  <c r="F104" i="18"/>
  <c r="L152" i="18"/>
  <c r="E168" i="18"/>
  <c r="L23" i="18"/>
  <c r="O215" i="18"/>
  <c r="F36" i="18"/>
  <c r="G30" i="18"/>
  <c r="L14" i="62"/>
  <c r="J18" i="17"/>
  <c r="J21" i="17" s="1"/>
  <c r="O42" i="18"/>
  <c r="J20" i="18"/>
  <c r="J18" i="18"/>
  <c r="J159" i="18"/>
  <c r="L92" i="18"/>
  <c r="N24" i="18"/>
  <c r="E35" i="18"/>
  <c r="E104" i="18"/>
  <c r="K152" i="18"/>
  <c r="J23" i="18"/>
  <c r="N215" i="18"/>
  <c r="E36" i="18"/>
  <c r="F30" i="18"/>
  <c r="C18" i="17"/>
  <c r="N42" i="18"/>
  <c r="L20" i="18"/>
  <c r="G18" i="18"/>
  <c r="H159" i="18"/>
  <c r="K92" i="18"/>
  <c r="H24" i="18"/>
  <c r="O24" i="18"/>
  <c r="K35" i="18"/>
  <c r="L104" i="18"/>
  <c r="F31" i="18"/>
  <c r="J152" i="18"/>
  <c r="E23" i="18"/>
  <c r="M215" i="18"/>
  <c r="L36" i="18"/>
  <c r="E30" i="18"/>
  <c r="M42" i="18"/>
  <c r="G159" i="18"/>
  <c r="N92" i="18"/>
  <c r="G24" i="18"/>
  <c r="L35" i="18"/>
  <c r="O31" i="18"/>
  <c r="K104" i="18"/>
  <c r="H152" i="18"/>
  <c r="L215" i="18"/>
  <c r="L9" i="17"/>
  <c r="E18" i="17"/>
  <c r="E21" i="17" s="1"/>
  <c r="H18" i="17"/>
  <c r="K42" i="18"/>
  <c r="K159" i="18"/>
  <c r="M92" i="18"/>
  <c r="M35" i="18"/>
  <c r="N31" i="18"/>
  <c r="N104" i="18"/>
  <c r="O70" i="18"/>
  <c r="F92" i="18"/>
  <c r="G152" i="18"/>
  <c r="O168" i="18"/>
  <c r="K215" i="18"/>
  <c r="O103" i="18"/>
  <c r="L11" i="59"/>
  <c r="F18" i="17"/>
  <c r="F21" i="17" s="1"/>
  <c r="L42" i="18"/>
  <c r="L159" i="18"/>
  <c r="N35" i="18"/>
  <c r="M31" i="18"/>
  <c r="O104" i="18"/>
  <c r="N70" i="18"/>
  <c r="F159" i="18"/>
  <c r="F152" i="18"/>
  <c r="N168" i="18"/>
  <c r="O23" i="18"/>
  <c r="J215" i="18"/>
  <c r="N103" i="18"/>
  <c r="N5" i="17"/>
  <c r="J42" i="18"/>
  <c r="L103" i="18"/>
  <c r="E16" i="17"/>
  <c r="L60" i="18"/>
  <c r="H60" i="18"/>
  <c r="N60" i="18"/>
  <c r="E60" i="18"/>
  <c r="J60" i="18"/>
  <c r="O60" i="18"/>
  <c r="H14" i="17"/>
  <c r="F14" i="17"/>
  <c r="J14" i="17"/>
  <c r="E14" i="17"/>
  <c r="I14" i="17"/>
  <c r="H10" i="17"/>
  <c r="M10" i="17"/>
  <c r="H6" i="17"/>
  <c r="G6" i="17"/>
  <c r="K6" i="17"/>
  <c r="M144" i="18"/>
  <c r="J144" i="18"/>
  <c r="G144" i="18"/>
  <c r="O144" i="18"/>
  <c r="F190" i="18"/>
  <c r="E190" i="18"/>
  <c r="M190" i="18"/>
  <c r="G190" i="18"/>
  <c r="N190" i="18"/>
  <c r="E213" i="18"/>
  <c r="L213" i="18"/>
  <c r="G179" i="18"/>
  <c r="H179" i="18"/>
  <c r="G177" i="18"/>
  <c r="M177" i="18"/>
  <c r="G117" i="18"/>
  <c r="L117" i="18"/>
  <c r="F95" i="18"/>
  <c r="L95" i="18"/>
  <c r="O95" i="18"/>
  <c r="H167" i="18"/>
  <c r="M167" i="18"/>
  <c r="E99" i="18"/>
  <c r="K99" i="18"/>
  <c r="O99" i="18"/>
  <c r="E73" i="18"/>
  <c r="J73" i="18"/>
  <c r="N73" i="18"/>
  <c r="H12" i="18"/>
  <c r="E12" i="18"/>
  <c r="K12" i="18"/>
  <c r="E160" i="18"/>
  <c r="K160" i="18"/>
  <c r="H89" i="18"/>
  <c r="N89" i="18"/>
  <c r="E25" i="18"/>
  <c r="H25" i="18"/>
  <c r="N25" i="18"/>
  <c r="K79" i="18"/>
  <c r="G79" i="18"/>
  <c r="O79" i="18"/>
  <c r="K191" i="18"/>
  <c r="G191" i="18"/>
  <c r="N191" i="18"/>
  <c r="J112" i="18"/>
  <c r="H112" i="18"/>
  <c r="E58" i="18"/>
  <c r="G58" i="18"/>
  <c r="J58" i="18"/>
  <c r="G73" i="18"/>
  <c r="J12" i="18"/>
  <c r="O213" i="18"/>
  <c r="J213" i="18"/>
  <c r="M160" i="18"/>
  <c r="H160" i="18"/>
  <c r="J89" i="18"/>
  <c r="F79" i="18"/>
  <c r="H191" i="18"/>
  <c r="M112" i="18"/>
  <c r="E112" i="18"/>
  <c r="M25" i="18"/>
  <c r="F25" i="18"/>
  <c r="J190" i="18"/>
  <c r="L58" i="18"/>
  <c r="K60" i="18"/>
  <c r="K58" i="18"/>
  <c r="N14" i="17"/>
  <c r="H17" i="17"/>
  <c r="C17" i="17"/>
  <c r="N17" i="17"/>
  <c r="K17" i="17"/>
  <c r="H13" i="17"/>
  <c r="I13" i="17"/>
  <c r="M13" i="17"/>
  <c r="K13" i="17"/>
  <c r="L13" i="17"/>
  <c r="F80" i="18"/>
  <c r="M80" i="18"/>
  <c r="J50" i="18"/>
  <c r="L28" i="18"/>
  <c r="N175" i="18"/>
  <c r="K175" i="18"/>
  <c r="N72" i="18"/>
  <c r="J72" i="18"/>
  <c r="H72" i="18"/>
  <c r="N202" i="18"/>
  <c r="J202" i="18"/>
  <c r="E202" i="18"/>
  <c r="N177" i="18"/>
  <c r="F177" i="18"/>
  <c r="O117" i="18"/>
  <c r="J117" i="18"/>
  <c r="N95" i="18"/>
  <c r="H95" i="18"/>
  <c r="O167" i="18"/>
  <c r="J167" i="18"/>
  <c r="N144" i="18"/>
  <c r="E144" i="18"/>
  <c r="N99" i="18"/>
  <c r="H99" i="18"/>
  <c r="L73" i="18"/>
  <c r="F73" i="18"/>
  <c r="N12" i="18"/>
  <c r="G12" i="18"/>
  <c r="N80" i="18"/>
  <c r="N213" i="18"/>
  <c r="G213" i="18"/>
  <c r="J160" i="18"/>
  <c r="O89" i="18"/>
  <c r="G89" i="18"/>
  <c r="N79" i="18"/>
  <c r="E79" i="18"/>
  <c r="O191" i="18"/>
  <c r="E191" i="18"/>
  <c r="G112" i="18"/>
  <c r="L25" i="18"/>
  <c r="M95" i="18"/>
  <c r="H190" i="18"/>
  <c r="H58" i="18"/>
  <c r="G60" i="18"/>
  <c r="L14" i="17"/>
  <c r="D13" i="17"/>
  <c r="M17" i="17"/>
  <c r="M175" i="18"/>
  <c r="J175" i="18"/>
  <c r="M72" i="18"/>
  <c r="M202" i="18"/>
  <c r="L177" i="18"/>
  <c r="E177" i="18"/>
  <c r="N117" i="18"/>
  <c r="H117" i="18"/>
  <c r="J95" i="18"/>
  <c r="G95" i="18"/>
  <c r="N167" i="18"/>
  <c r="G167" i="18"/>
  <c r="K144" i="18"/>
  <c r="L144" i="18"/>
  <c r="M99" i="18"/>
  <c r="F99" i="18"/>
  <c r="K73" i="18"/>
  <c r="M12" i="18"/>
  <c r="F12" i="18"/>
  <c r="M213" i="18"/>
  <c r="F213" i="18"/>
  <c r="O160" i="18"/>
  <c r="G160" i="18"/>
  <c r="L89" i="18"/>
  <c r="E89" i="18"/>
  <c r="M79" i="18"/>
  <c r="L79" i="18"/>
  <c r="M191" i="18"/>
  <c r="F191" i="18"/>
  <c r="O112" i="18"/>
  <c r="F112" i="18"/>
  <c r="J25" i="18"/>
  <c r="L190" i="18"/>
  <c r="O58" i="18"/>
  <c r="F60" i="18"/>
  <c r="J17" i="17"/>
  <c r="D14" i="17"/>
  <c r="E6" i="17"/>
  <c r="M14" i="17"/>
  <c r="M210" i="18"/>
  <c r="G210" i="18"/>
  <c r="O189" i="18"/>
  <c r="K189" i="18"/>
  <c r="M103" i="18"/>
  <c r="N47" i="18"/>
  <c r="J47" i="18"/>
  <c r="M36" i="18"/>
  <c r="O74" i="18"/>
  <c r="K74" i="18"/>
  <c r="O172" i="18"/>
  <c r="H172" i="18"/>
  <c r="N30" i="18"/>
  <c r="H30" i="18"/>
  <c r="O129" i="18"/>
  <c r="J129" i="18"/>
  <c r="K210" i="18"/>
  <c r="F54" i="18"/>
  <c r="M52" i="18"/>
  <c r="N12" i="17"/>
  <c r="G12" i="17"/>
  <c r="I88" i="18"/>
  <c r="D88" i="18"/>
  <c r="F88" i="18"/>
  <c r="I109" i="18"/>
  <c r="D109" i="18"/>
  <c r="F109" i="18"/>
  <c r="N109" i="18"/>
  <c r="H109" i="18"/>
  <c r="L109" i="18"/>
  <c r="I135" i="18"/>
  <c r="D135" i="18"/>
  <c r="I156" i="18"/>
  <c r="D156" i="18"/>
  <c r="I183" i="18"/>
  <c r="D183" i="18"/>
  <c r="I62" i="18"/>
  <c r="D62" i="18"/>
  <c r="F62" i="18"/>
  <c r="E62" i="18"/>
  <c r="J62" i="18"/>
  <c r="L62" i="18"/>
  <c r="M62" i="18"/>
  <c r="I83" i="18"/>
  <c r="D83" i="18"/>
  <c r="I126" i="18"/>
  <c r="D126" i="18"/>
  <c r="H126" i="18"/>
  <c r="F126" i="18"/>
  <c r="J126" i="18"/>
  <c r="H62" i="18"/>
  <c r="I61" i="18"/>
  <c r="D61" i="18"/>
  <c r="K61" i="18"/>
  <c r="E61" i="18"/>
  <c r="H61" i="18"/>
  <c r="O61" i="18"/>
  <c r="M109" i="18"/>
  <c r="I123" i="18"/>
  <c r="D123" i="18"/>
  <c r="I211" i="18"/>
  <c r="D211" i="18"/>
  <c r="J61" i="18"/>
  <c r="O62" i="18"/>
  <c r="H4" i="17"/>
  <c r="M4" i="17"/>
  <c r="M18" i="17" s="1"/>
  <c r="I119" i="18"/>
  <c r="D119" i="18"/>
  <c r="F119" i="18"/>
  <c r="K119" i="18"/>
  <c r="H119" i="18"/>
  <c r="N119" i="18"/>
  <c r="I139" i="18"/>
  <c r="D139" i="18"/>
  <c r="M139" i="18"/>
  <c r="G139" i="18"/>
  <c r="I64" i="18"/>
  <c r="D64" i="18"/>
  <c r="I45" i="18"/>
  <c r="D45" i="18"/>
  <c r="J45" i="18"/>
  <c r="I85" i="18"/>
  <c r="D85" i="18"/>
  <c r="I7" i="18"/>
  <c r="D7" i="18"/>
  <c r="P7" i="18" s="1"/>
  <c r="Q7" i="18" s="1"/>
  <c r="I209" i="18"/>
  <c r="D209" i="18"/>
  <c r="I6" i="18"/>
  <c r="D6" i="18"/>
  <c r="H6" i="18"/>
  <c r="I125" i="18"/>
  <c r="D125" i="18"/>
  <c r="I76" i="18"/>
  <c r="D76" i="18"/>
  <c r="I38" i="18"/>
  <c r="D38" i="18"/>
  <c r="I197" i="18"/>
  <c r="D197" i="18"/>
  <c r="I87" i="18"/>
  <c r="D87" i="18"/>
  <c r="G87" i="18"/>
  <c r="E87" i="18"/>
  <c r="K87" i="18"/>
  <c r="O87" i="18"/>
  <c r="I15" i="18"/>
  <c r="D15" i="18"/>
  <c r="H174" i="18"/>
  <c r="M174" i="18"/>
  <c r="I137" i="18"/>
  <c r="D137" i="18"/>
  <c r="F137" i="18"/>
  <c r="L137" i="18"/>
  <c r="J137" i="18"/>
  <c r="H137" i="18"/>
  <c r="N137" i="18"/>
  <c r="I107" i="18"/>
  <c r="D107" i="18"/>
  <c r="I32" i="18"/>
  <c r="D32" i="18"/>
  <c r="E32" i="18"/>
  <c r="J32" i="18"/>
  <c r="N32" i="18"/>
  <c r="G32" i="18"/>
  <c r="L32" i="18"/>
  <c r="I11" i="18"/>
  <c r="J11" i="18"/>
  <c r="N11" i="18"/>
  <c r="G11" i="18"/>
  <c r="L11" i="18"/>
  <c r="L5" i="18" s="1"/>
  <c r="F145" i="18"/>
  <c r="K145" i="18"/>
  <c r="H145" i="18"/>
  <c r="M145" i="18"/>
  <c r="I78" i="18"/>
  <c r="D78" i="18"/>
  <c r="E78" i="18"/>
  <c r="K78" i="18"/>
  <c r="O78" i="18"/>
  <c r="H78" i="18"/>
  <c r="M78" i="18"/>
  <c r="O13" i="18"/>
  <c r="H13" i="18"/>
  <c r="F13" i="18"/>
  <c r="I46" i="18"/>
  <c r="D46" i="18"/>
  <c r="P46" i="18" s="1"/>
  <c r="Q46" i="18" s="1"/>
  <c r="J46" i="18"/>
  <c r="I169" i="18"/>
  <c r="D169" i="18"/>
  <c r="M169" i="18"/>
  <c r="E169" i="18"/>
  <c r="O169" i="18"/>
  <c r="I14" i="18"/>
  <c r="D14" i="18"/>
  <c r="O14" i="18"/>
  <c r="H14" i="18"/>
  <c r="I37" i="18"/>
  <c r="D37" i="18"/>
  <c r="N37" i="18"/>
  <c r="I43" i="18"/>
  <c r="D43" i="18"/>
  <c r="E43" i="18"/>
  <c r="J43" i="18"/>
  <c r="N43" i="18"/>
  <c r="G43" i="18"/>
  <c r="L43" i="18"/>
  <c r="I69" i="18"/>
  <c r="D69" i="18"/>
  <c r="I86" i="18"/>
  <c r="D86" i="18"/>
  <c r="P86" i="18" s="1"/>
  <c r="Q86" i="18" s="1"/>
  <c r="I105" i="18"/>
  <c r="D105" i="18"/>
  <c r="P105" i="18" s="1"/>
  <c r="Q105" i="18" s="1"/>
  <c r="I186" i="18"/>
  <c r="D186" i="18"/>
  <c r="M186" i="18"/>
  <c r="I180" i="18"/>
  <c r="D180" i="18"/>
  <c r="F180" i="18"/>
  <c r="I196" i="18"/>
  <c r="D196" i="18"/>
  <c r="I57" i="18"/>
  <c r="D57" i="18"/>
  <c r="P57" i="18" s="1"/>
  <c r="R57" i="18" s="1"/>
  <c r="K57" i="18"/>
  <c r="O57" i="18"/>
  <c r="G109" i="18"/>
  <c r="H10" i="18"/>
  <c r="E10" i="18"/>
  <c r="I34" i="18"/>
  <c r="D34" i="18"/>
  <c r="I110" i="18"/>
  <c r="D110" i="18"/>
  <c r="I138" i="18"/>
  <c r="D138" i="18"/>
  <c r="K62" i="18"/>
  <c r="N62" i="18"/>
  <c r="H15" i="17"/>
  <c r="E15" i="17"/>
  <c r="G15" i="17"/>
  <c r="L15" i="17"/>
  <c r="M15" i="17"/>
  <c r="C15" i="17"/>
  <c r="I15" i="17"/>
  <c r="N15" i="17"/>
  <c r="D15" i="17"/>
  <c r="J15" i="17"/>
  <c r="H11" i="17"/>
  <c r="J11" i="17"/>
  <c r="M11" i="17"/>
  <c r="E11" i="17"/>
  <c r="L11" i="17"/>
  <c r="G11" i="17"/>
  <c r="N11" i="17"/>
  <c r="H7" i="17"/>
  <c r="E7" i="17"/>
  <c r="I7" i="17"/>
  <c r="I20" i="18"/>
  <c r="D20" i="18"/>
  <c r="I22" i="18"/>
  <c r="D22" i="18"/>
  <c r="O25" i="18"/>
  <c r="K25" i="18"/>
  <c r="I42" i="18"/>
  <c r="D42" i="18"/>
  <c r="I90" i="18"/>
  <c r="D90" i="18"/>
  <c r="K190" i="18"/>
  <c r="I214" i="18"/>
  <c r="D214" i="18"/>
  <c r="I208" i="18"/>
  <c r="D208" i="18"/>
  <c r="P208" i="18" s="1"/>
  <c r="Q208" i="18" s="1"/>
  <c r="N58" i="18"/>
  <c r="I66" i="18"/>
  <c r="D66" i="18"/>
  <c r="I63" i="18"/>
  <c r="D63" i="18"/>
  <c r="I60" i="18"/>
  <c r="D60" i="18"/>
  <c r="N9" i="17"/>
  <c r="G17" i="17"/>
  <c r="D17" i="17"/>
  <c r="F16" i="17"/>
  <c r="N13" i="17"/>
  <c r="G13" i="17"/>
  <c r="C13" i="17"/>
  <c r="K12" i="17"/>
  <c r="F12" i="17"/>
  <c r="E12" i="17"/>
  <c r="I17" i="17"/>
  <c r="M16" i="17"/>
  <c r="M12" i="17"/>
  <c r="M8" i="17"/>
  <c r="I55" i="18"/>
  <c r="D55" i="18"/>
  <c r="I122" i="18"/>
  <c r="D122" i="18"/>
  <c r="I134" i="18"/>
  <c r="D134" i="18"/>
  <c r="I201" i="18"/>
  <c r="D201" i="18"/>
  <c r="I132" i="18"/>
  <c r="D132" i="18"/>
  <c r="I194" i="18"/>
  <c r="D194" i="18"/>
  <c r="I59" i="18"/>
  <c r="D59" i="18"/>
  <c r="I154" i="18"/>
  <c r="D154" i="18"/>
  <c r="I82" i="18"/>
  <c r="D82" i="18"/>
  <c r="I94" i="18"/>
  <c r="D94" i="18"/>
  <c r="I71" i="18"/>
  <c r="D71" i="18"/>
  <c r="I200" i="18"/>
  <c r="D200" i="18"/>
  <c r="P200" i="18" s="1"/>
  <c r="Q200" i="18" s="1"/>
  <c r="I136" i="18"/>
  <c r="D136" i="18"/>
  <c r="I91" i="18"/>
  <c r="D91" i="18"/>
  <c r="I212" i="18"/>
  <c r="D212" i="18"/>
  <c r="I178" i="18"/>
  <c r="D178" i="18"/>
  <c r="I141" i="18"/>
  <c r="D141" i="18"/>
  <c r="I111" i="18"/>
  <c r="D111" i="18"/>
  <c r="I198" i="18"/>
  <c r="D198" i="18"/>
  <c r="I40" i="18"/>
  <c r="D40" i="18"/>
  <c r="I17" i="18"/>
  <c r="D17" i="18"/>
  <c r="I27" i="18"/>
  <c r="D27" i="18"/>
  <c r="I33" i="18"/>
  <c r="D33" i="18"/>
  <c r="I51" i="18"/>
  <c r="D51" i="18"/>
  <c r="I41" i="18"/>
  <c r="D41" i="18"/>
  <c r="I96" i="18"/>
  <c r="D96" i="18"/>
  <c r="I84" i="18"/>
  <c r="D84" i="18"/>
  <c r="I171" i="18"/>
  <c r="D171" i="18"/>
  <c r="I184" i="18"/>
  <c r="D184" i="18"/>
  <c r="I193" i="18"/>
  <c r="D193" i="18"/>
  <c r="I65" i="18"/>
  <c r="D65" i="18"/>
  <c r="N11" i="59"/>
  <c r="O11" i="59" s="1"/>
  <c r="L19" i="63"/>
  <c r="M19" i="63" s="1"/>
  <c r="I56" i="18"/>
  <c r="D56" i="18"/>
  <c r="I54" i="18"/>
  <c r="D54" i="18"/>
  <c r="I124" i="18"/>
  <c r="D124" i="18"/>
  <c r="I133" i="18"/>
  <c r="D133" i="18"/>
  <c r="I213" i="18"/>
  <c r="D213" i="18"/>
  <c r="I179" i="18"/>
  <c r="D179" i="18"/>
  <c r="I48" i="18"/>
  <c r="D48" i="18"/>
  <c r="I72" i="18"/>
  <c r="D72" i="18"/>
  <c r="I117" i="18"/>
  <c r="D117" i="18"/>
  <c r="I95" i="18"/>
  <c r="D95" i="18"/>
  <c r="I216" i="18"/>
  <c r="D216" i="18"/>
  <c r="I167" i="18"/>
  <c r="D167" i="18"/>
  <c r="I73" i="18"/>
  <c r="D73" i="18"/>
  <c r="I89" i="18"/>
  <c r="D89" i="18"/>
  <c r="I25" i="18"/>
  <c r="D25" i="18"/>
  <c r="I79" i="18"/>
  <c r="D79" i="18"/>
  <c r="I28" i="18"/>
  <c r="D28" i="18"/>
  <c r="I50" i="18"/>
  <c r="D50" i="18"/>
  <c r="I81" i="18"/>
  <c r="D81" i="18"/>
  <c r="I93" i="18"/>
  <c r="D93" i="18"/>
  <c r="I121" i="18"/>
  <c r="D121" i="18"/>
  <c r="I155" i="18"/>
  <c r="D155" i="18"/>
  <c r="I170" i="18"/>
  <c r="D170" i="18"/>
  <c r="I182" i="18"/>
  <c r="D182" i="18"/>
  <c r="I77" i="18"/>
  <c r="D77" i="18"/>
  <c r="I58" i="18"/>
  <c r="D58" i="18"/>
  <c r="I19" i="18"/>
  <c r="D19" i="18"/>
  <c r="I31" i="18"/>
  <c r="D31" i="18"/>
  <c r="I29" i="18"/>
  <c r="D29" i="18"/>
  <c r="I39" i="18"/>
  <c r="D39" i="18"/>
  <c r="I120" i="18"/>
  <c r="D120" i="18"/>
  <c r="I195" i="18"/>
  <c r="D195" i="18"/>
  <c r="I206" i="18"/>
  <c r="D206" i="18"/>
  <c r="I68" i="18"/>
  <c r="D68" i="18"/>
  <c r="H54" i="18"/>
  <c r="F58" i="18"/>
  <c r="I53" i="18"/>
  <c r="D53" i="18"/>
  <c r="E9" i="17"/>
  <c r="L17" i="17"/>
  <c r="E17" i="17"/>
  <c r="J13" i="17"/>
  <c r="E13" i="17"/>
  <c r="L5" i="17"/>
  <c r="I80" i="18"/>
  <c r="D80" i="18"/>
  <c r="I23" i="18"/>
  <c r="D23" i="18"/>
  <c r="I185" i="18"/>
  <c r="D185" i="18"/>
  <c r="I118" i="18"/>
  <c r="D118" i="18"/>
  <c r="I18" i="18"/>
  <c r="D18" i="18"/>
  <c r="I210" i="18"/>
  <c r="D210" i="18"/>
  <c r="I36" i="18"/>
  <c r="D36" i="18"/>
  <c r="I67" i="18"/>
  <c r="D67" i="18"/>
  <c r="I26" i="18"/>
  <c r="D26" i="18"/>
  <c r="I140" i="18"/>
  <c r="D140" i="18"/>
  <c r="I207" i="18"/>
  <c r="D207" i="18"/>
  <c r="I215" i="18"/>
  <c r="D215" i="18"/>
  <c r="I106" i="18"/>
  <c r="D106" i="18"/>
  <c r="I35" i="18"/>
  <c r="D35" i="18"/>
  <c r="I47" i="18"/>
  <c r="D47" i="18"/>
  <c r="I16" i="18"/>
  <c r="D16" i="18"/>
  <c r="I168" i="18"/>
  <c r="D168" i="18"/>
  <c r="I74" i="18"/>
  <c r="D74" i="18"/>
  <c r="I30" i="18"/>
  <c r="D30" i="18"/>
  <c r="I49" i="18"/>
  <c r="D49" i="18"/>
  <c r="I24" i="18"/>
  <c r="D24" i="18"/>
  <c r="I44" i="18"/>
  <c r="D44" i="18"/>
  <c r="I75" i="18"/>
  <c r="D75" i="18"/>
  <c r="I92" i="18"/>
  <c r="D92" i="18"/>
  <c r="I108" i="18"/>
  <c r="D108" i="18"/>
  <c r="I181" i="18"/>
  <c r="D181" i="18"/>
  <c r="I199" i="18"/>
  <c r="D199" i="18"/>
  <c r="I70" i="18"/>
  <c r="D70" i="18"/>
  <c r="I52" i="18"/>
  <c r="D52" i="18"/>
  <c r="L11" i="69"/>
  <c r="M11" i="69" s="1"/>
  <c r="K22" i="18"/>
  <c r="C54" i="1"/>
  <c r="C11" i="59"/>
  <c r="B17" i="59"/>
  <c r="B18" i="59" s="1"/>
  <c r="B26" i="59"/>
  <c r="B27" i="59" s="1"/>
  <c r="L12" i="40"/>
  <c r="M12" i="40" s="1"/>
  <c r="N12" i="59"/>
  <c r="L12" i="59"/>
  <c r="M12" i="59" s="1"/>
  <c r="L12" i="63"/>
  <c r="M12" i="63" s="1"/>
  <c r="F27" i="81"/>
  <c r="F29" i="81" s="1"/>
  <c r="F4" i="81"/>
  <c r="P8" i="94"/>
  <c r="E14" i="81" s="1"/>
  <c r="H8" i="94"/>
  <c r="Q7" i="94"/>
  <c r="R7" i="94" s="1"/>
  <c r="S7" i="94" s="1"/>
  <c r="O4" i="85"/>
  <c r="S8" i="94"/>
  <c r="Q9" i="94"/>
  <c r="R9" i="94" s="1"/>
  <c r="S9" i="94" s="1"/>
  <c r="H9" i="94"/>
  <c r="P9" i="94"/>
  <c r="Q13" i="94"/>
  <c r="R13" i="94" s="1"/>
  <c r="S13" i="94" s="1"/>
  <c r="Q14" i="94"/>
  <c r="R14" i="94" s="1"/>
  <c r="S14" i="94" s="1"/>
  <c r="P15" i="94"/>
  <c r="P14" i="94"/>
  <c r="M13" i="20"/>
  <c r="H13" i="20"/>
  <c r="N13" i="20"/>
  <c r="I13" i="20"/>
  <c r="J13" i="20"/>
  <c r="E13" i="20"/>
  <c r="K13" i="20"/>
  <c r="L13" i="20"/>
  <c r="G13" i="20"/>
  <c r="F13" i="20"/>
  <c r="H12" i="20"/>
  <c r="N12" i="20"/>
  <c r="I12" i="20"/>
  <c r="J12" i="20"/>
  <c r="G12" i="20"/>
  <c r="E12" i="20"/>
  <c r="M12" i="20"/>
  <c r="K12" i="20"/>
  <c r="L12" i="20"/>
  <c r="F12" i="20"/>
  <c r="N9" i="20"/>
  <c r="I9" i="20"/>
  <c r="J9" i="20"/>
  <c r="E9" i="20"/>
  <c r="K9" i="20"/>
  <c r="F9" i="20"/>
  <c r="L9" i="20"/>
  <c r="G9" i="20"/>
  <c r="M9" i="20"/>
  <c r="H9" i="20"/>
  <c r="J8" i="20"/>
  <c r="E8" i="20"/>
  <c r="K8" i="20"/>
  <c r="F8" i="20"/>
  <c r="H8" i="20"/>
  <c r="L8" i="20"/>
  <c r="I8" i="20"/>
  <c r="G8" i="20"/>
  <c r="M8" i="20"/>
  <c r="N8" i="20"/>
  <c r="J7" i="20"/>
  <c r="E7" i="20"/>
  <c r="E21" i="20" s="1"/>
  <c r="K7" i="20"/>
  <c r="F7" i="20"/>
  <c r="N7" i="20"/>
  <c r="N21" i="20" s="1"/>
  <c r="L7" i="20"/>
  <c r="G7" i="20"/>
  <c r="G21" i="20" s="1"/>
  <c r="I7" i="20"/>
  <c r="I21" i="20" s="1"/>
  <c r="M7" i="20"/>
  <c r="M21" i="20" s="1"/>
  <c r="H7" i="20"/>
  <c r="N11" i="20"/>
  <c r="I11" i="20"/>
  <c r="J11" i="20"/>
  <c r="E11" i="20"/>
  <c r="K11" i="20"/>
  <c r="F11" i="20"/>
  <c r="G11" i="20"/>
  <c r="H11" i="20"/>
  <c r="L11" i="20"/>
  <c r="M11" i="20"/>
  <c r="F4" i="20"/>
  <c r="L4" i="20"/>
  <c r="G4" i="20"/>
  <c r="M4" i="20"/>
  <c r="H4" i="20"/>
  <c r="N4" i="20"/>
  <c r="I4" i="20"/>
  <c r="K4" i="20"/>
  <c r="J4" i="20"/>
  <c r="E4" i="20"/>
  <c r="N10" i="20"/>
  <c r="I10" i="20"/>
  <c r="J10" i="20"/>
  <c r="E10" i="20"/>
  <c r="K10" i="20"/>
  <c r="F10" i="20"/>
  <c r="L10" i="20"/>
  <c r="G10" i="20"/>
  <c r="M10" i="20"/>
  <c r="H10" i="20"/>
  <c r="J6" i="20"/>
  <c r="J20" i="20" s="1"/>
  <c r="E6" i="20"/>
  <c r="E20" i="20" s="1"/>
  <c r="K6" i="20"/>
  <c r="F6" i="20"/>
  <c r="F20" i="20" s="1"/>
  <c r="L6" i="20"/>
  <c r="G6" i="20"/>
  <c r="G20" i="20" s="1"/>
  <c r="I6" i="20"/>
  <c r="I20" i="20" s="1"/>
  <c r="M6" i="20"/>
  <c r="M20" i="20" s="1"/>
  <c r="H6" i="20"/>
  <c r="H20" i="20" s="1"/>
  <c r="N6" i="20"/>
  <c r="N20" i="20" s="1"/>
  <c r="K5" i="20"/>
  <c r="F5" i="20"/>
  <c r="L5" i="20"/>
  <c r="G5" i="20"/>
  <c r="I5" i="20"/>
  <c r="J5" i="20"/>
  <c r="M5" i="20"/>
  <c r="H5" i="20"/>
  <c r="N5" i="20"/>
  <c r="E5" i="20"/>
  <c r="L16" i="20"/>
  <c r="G16" i="20"/>
  <c r="M16" i="20"/>
  <c r="H16" i="20"/>
  <c r="N16" i="20"/>
  <c r="I16" i="20"/>
  <c r="K16" i="20"/>
  <c r="F16" i="20"/>
  <c r="J16" i="20"/>
  <c r="E16" i="20"/>
  <c r="G15" i="20"/>
  <c r="M15" i="20"/>
  <c r="H15" i="20"/>
  <c r="N15" i="20"/>
  <c r="I15" i="20"/>
  <c r="K15" i="20"/>
  <c r="J15" i="20"/>
  <c r="F15" i="20"/>
  <c r="E15" i="20"/>
  <c r="L15" i="20"/>
  <c r="M14" i="20"/>
  <c r="H14" i="20"/>
  <c r="N14" i="20"/>
  <c r="I14" i="20"/>
  <c r="F14" i="20"/>
  <c r="L14" i="20"/>
  <c r="J14" i="20"/>
  <c r="E14" i="20"/>
  <c r="G14" i="20"/>
  <c r="K14" i="20"/>
  <c r="C13" i="20"/>
  <c r="D13" i="20"/>
  <c r="C12" i="20"/>
  <c r="D12" i="20"/>
  <c r="C10" i="20"/>
  <c r="D10" i="20"/>
  <c r="C11" i="20"/>
  <c r="D11" i="20"/>
  <c r="C9" i="20"/>
  <c r="D9" i="20"/>
  <c r="C8" i="20"/>
  <c r="D8" i="20"/>
  <c r="C15" i="20"/>
  <c r="D15" i="20"/>
  <c r="D7" i="20"/>
  <c r="D21" i="20" s="1"/>
  <c r="C7" i="20"/>
  <c r="C4" i="20"/>
  <c r="C19" i="20" s="1"/>
  <c r="D4" i="20"/>
  <c r="D6" i="20"/>
  <c r="D20" i="20" s="1"/>
  <c r="C6" i="20"/>
  <c r="C20" i="20" s="1"/>
  <c r="D5" i="20"/>
  <c r="C5" i="20"/>
  <c r="C18" i="20" s="1"/>
  <c r="C16" i="20"/>
  <c r="D16" i="20"/>
  <c r="C14" i="20"/>
  <c r="D14" i="20"/>
  <c r="U58" i="67"/>
  <c r="U59" i="67" s="1"/>
  <c r="U65" i="67" s="1"/>
  <c r="U66" i="67" s="1"/>
  <c r="U67" i="67" s="1"/>
  <c r="U68" i="67" s="1"/>
  <c r="U69" i="67" s="1"/>
  <c r="U70" i="67" s="1"/>
  <c r="U71" i="67" s="1"/>
  <c r="U72" i="67" s="1"/>
  <c r="U73" i="67" s="1"/>
  <c r="U74" i="67" s="1"/>
  <c r="U75" i="67" s="1"/>
  <c r="U76" i="67" s="1"/>
  <c r="U77" i="67" s="1"/>
  <c r="U79" i="67"/>
  <c r="U81" i="67" s="1"/>
  <c r="U82" i="67" s="1"/>
  <c r="U83" i="67" s="1"/>
  <c r="U84" i="67" s="1"/>
  <c r="U106" i="67" s="1"/>
  <c r="U107" i="67" s="1"/>
  <c r="U108" i="67" s="1"/>
  <c r="O4" i="1"/>
  <c r="P4" i="1" s="1"/>
  <c r="C55" i="1"/>
  <c r="N55" i="1"/>
  <c r="H55" i="1"/>
  <c r="D55" i="1"/>
  <c r="G55" i="1"/>
  <c r="O40" i="1"/>
  <c r="P40" i="1" s="1"/>
  <c r="F6" i="16"/>
  <c r="F7" i="21" s="1"/>
  <c r="F9" i="16"/>
  <c r="F10" i="21" s="1"/>
  <c r="F4" i="16"/>
  <c r="H15" i="56" s="1"/>
  <c r="F10" i="16"/>
  <c r="F11" i="21" s="1"/>
  <c r="G11" i="16"/>
  <c r="G12" i="21" s="1"/>
  <c r="I16" i="16"/>
  <c r="I17" i="21" s="1"/>
  <c r="I12" i="16"/>
  <c r="I13" i="21" s="1"/>
  <c r="K54" i="1"/>
  <c r="K55" i="1" s="1"/>
  <c r="E17" i="16"/>
  <c r="E18" i="21" s="1"/>
  <c r="D8" i="16"/>
  <c r="D9" i="21" s="1"/>
  <c r="E16" i="16"/>
  <c r="E17" i="21" s="1"/>
  <c r="E14" i="16"/>
  <c r="E15" i="21" s="1"/>
  <c r="E9" i="16"/>
  <c r="E23" i="16" s="1"/>
  <c r="E8" i="16"/>
  <c r="E22" i="16" s="1"/>
  <c r="E18" i="16"/>
  <c r="E19" i="21" s="1"/>
  <c r="E4" i="16"/>
  <c r="G15" i="56" s="1"/>
  <c r="E7" i="16"/>
  <c r="E21" i="16" s="1"/>
  <c r="E15" i="16"/>
  <c r="E16" i="21" s="1"/>
  <c r="E13" i="16"/>
  <c r="E14" i="21" s="1"/>
  <c r="E10" i="16"/>
  <c r="E11" i="21" s="1"/>
  <c r="E6" i="16"/>
  <c r="E11" i="16"/>
  <c r="E12" i="21" s="1"/>
  <c r="E12" i="16"/>
  <c r="E13" i="21" s="1"/>
  <c r="L12" i="67"/>
  <c r="M12" i="67" s="1"/>
  <c r="L14" i="67"/>
  <c r="M14" i="67" s="1"/>
  <c r="C7" i="59"/>
  <c r="O12" i="59"/>
  <c r="C7" i="40"/>
  <c r="H203" i="18"/>
  <c r="G203" i="18"/>
  <c r="M203" i="18"/>
  <c r="F203" i="18"/>
  <c r="N203" i="18"/>
  <c r="L203" i="18"/>
  <c r="O203" i="18"/>
  <c r="K203" i="18"/>
  <c r="I203" i="18"/>
  <c r="D203" i="18"/>
  <c r="I202" i="18"/>
  <c r="D202" i="18"/>
  <c r="I205" i="18"/>
  <c r="D205" i="18"/>
  <c r="I204" i="18"/>
  <c r="D204" i="18"/>
  <c r="I190" i="18"/>
  <c r="D190" i="18"/>
  <c r="I191" i="18"/>
  <c r="D191" i="18"/>
  <c r="I192" i="18"/>
  <c r="D192" i="18"/>
  <c r="F192" i="18"/>
  <c r="G192" i="18"/>
  <c r="O192" i="18"/>
  <c r="I189" i="18"/>
  <c r="D189" i="18"/>
  <c r="I188" i="18"/>
  <c r="D188" i="18"/>
  <c r="I187" i="18"/>
  <c r="D187" i="18"/>
  <c r="N13" i="59"/>
  <c r="O13" i="59" s="1"/>
  <c r="I177" i="18"/>
  <c r="D177" i="18"/>
  <c r="I176" i="18"/>
  <c r="D176" i="18"/>
  <c r="I175" i="18"/>
  <c r="D175" i="18"/>
  <c r="I174" i="18"/>
  <c r="D174" i="18"/>
  <c r="I173" i="18"/>
  <c r="D173" i="18"/>
  <c r="I172" i="18"/>
  <c r="D172" i="18"/>
  <c r="N18" i="59"/>
  <c r="O18" i="59" s="1"/>
  <c r="N15" i="59"/>
  <c r="O15" i="59" s="1"/>
  <c r="L15" i="68"/>
  <c r="I153" i="18"/>
  <c r="D153" i="18"/>
  <c r="I152" i="18"/>
  <c r="D152" i="18"/>
  <c r="I165" i="18"/>
  <c r="D165" i="18"/>
  <c r="J165" i="18"/>
  <c r="K165" i="18"/>
  <c r="O165" i="18"/>
  <c r="N165" i="18"/>
  <c r="L165" i="18"/>
  <c r="H165" i="18"/>
  <c r="G165" i="18"/>
  <c r="I164" i="18"/>
  <c r="D164" i="18"/>
  <c r="E165" i="18"/>
  <c r="F164" i="18"/>
  <c r="I166" i="18"/>
  <c r="D166" i="18"/>
  <c r="F165" i="18"/>
  <c r="I163" i="18"/>
  <c r="D163" i="18"/>
  <c r="I162" i="18"/>
  <c r="D162" i="18"/>
  <c r="I161" i="18"/>
  <c r="D161" i="18"/>
  <c r="E161" i="18"/>
  <c r="F161" i="18"/>
  <c r="L161" i="18"/>
  <c r="H161" i="18"/>
  <c r="J161" i="18"/>
  <c r="M161" i="18"/>
  <c r="K161" i="18"/>
  <c r="N161" i="18"/>
  <c r="I160" i="18"/>
  <c r="D160" i="18"/>
  <c r="I159" i="18"/>
  <c r="D159" i="18"/>
  <c r="I158" i="18"/>
  <c r="D158" i="18"/>
  <c r="I157" i="18"/>
  <c r="D157" i="18"/>
  <c r="N11" i="63"/>
  <c r="O11" i="63" s="1"/>
  <c r="I151" i="18"/>
  <c r="D151" i="18"/>
  <c r="I150" i="18"/>
  <c r="D150" i="18"/>
  <c r="I149" i="18"/>
  <c r="D149" i="18"/>
  <c r="I148" i="18"/>
  <c r="D148" i="18"/>
  <c r="I147" i="18"/>
  <c r="D147" i="18"/>
  <c r="I146" i="18"/>
  <c r="D146" i="18"/>
  <c r="I145" i="18"/>
  <c r="D145" i="18"/>
  <c r="I144" i="18"/>
  <c r="D144" i="18"/>
  <c r="I143" i="18"/>
  <c r="D143" i="18"/>
  <c r="I142" i="18"/>
  <c r="D142" i="18"/>
  <c r="I131" i="18"/>
  <c r="D131" i="18"/>
  <c r="N131" i="18"/>
  <c r="M131" i="18"/>
  <c r="L131" i="18"/>
  <c r="K131" i="18"/>
  <c r="J131" i="18"/>
  <c r="H131" i="18"/>
  <c r="G131" i="18"/>
  <c r="E131" i="18"/>
  <c r="O131" i="18"/>
  <c r="F131" i="18"/>
  <c r="I130" i="18"/>
  <c r="D130" i="18"/>
  <c r="I129" i="18"/>
  <c r="D129" i="18"/>
  <c r="I128" i="18"/>
  <c r="D128" i="18"/>
  <c r="I127" i="18"/>
  <c r="D127" i="18"/>
  <c r="L18" i="69"/>
  <c r="M18" i="69" s="1"/>
  <c r="I116" i="18"/>
  <c r="D116" i="18"/>
  <c r="I115" i="18"/>
  <c r="D115" i="18"/>
  <c r="I114" i="18"/>
  <c r="D114" i="18"/>
  <c r="G114" i="18"/>
  <c r="E114" i="18"/>
  <c r="F114" i="18"/>
  <c r="O114" i="18"/>
  <c r="N114" i="18"/>
  <c r="M114" i="18"/>
  <c r="L114" i="18"/>
  <c r="K114" i="18"/>
  <c r="J114" i="18"/>
  <c r="I113" i="18"/>
  <c r="D113" i="18"/>
  <c r="I112" i="18"/>
  <c r="D112" i="18"/>
  <c r="L13" i="40"/>
  <c r="M13" i="40" s="1"/>
  <c r="L11" i="63"/>
  <c r="M11" i="63" s="1"/>
  <c r="L16" i="66"/>
  <c r="M16" i="66" s="1"/>
  <c r="L16" i="62"/>
  <c r="M16" i="62" s="1"/>
  <c r="L11" i="68"/>
  <c r="M11" i="68" s="1"/>
  <c r="L23" i="60"/>
  <c r="M23" i="60" s="1"/>
  <c r="L15" i="62"/>
  <c r="M15" i="62" s="1"/>
  <c r="L13" i="69"/>
  <c r="M13" i="69" s="1"/>
  <c r="L23" i="40"/>
  <c r="M23" i="40" s="1"/>
  <c r="L14" i="60"/>
  <c r="M14" i="60" s="1"/>
  <c r="L19" i="62"/>
  <c r="M19" i="62" s="1"/>
  <c r="L11" i="66"/>
  <c r="M11" i="66" s="1"/>
  <c r="L11" i="40"/>
  <c r="M11" i="40" s="1"/>
  <c r="L15" i="40"/>
  <c r="L22" i="69"/>
  <c r="N22" i="40"/>
  <c r="O22" i="40" s="1"/>
  <c r="L20" i="63"/>
  <c r="M20" i="63" s="1"/>
  <c r="L23" i="69"/>
  <c r="M23" i="69" s="1"/>
  <c r="L18" i="63"/>
  <c r="M18" i="63" s="1"/>
  <c r="L13" i="59"/>
  <c r="M13" i="59" s="1"/>
  <c r="L14" i="68"/>
  <c r="M14" i="68" s="1"/>
  <c r="L17" i="59"/>
  <c r="M17" i="59" s="1"/>
  <c r="L15" i="67"/>
  <c r="L20" i="67"/>
  <c r="M20" i="67" s="1"/>
  <c r="L16" i="67"/>
  <c r="M16" i="67" s="1"/>
  <c r="L22" i="59"/>
  <c r="N22" i="60"/>
  <c r="O22" i="60" s="1"/>
  <c r="I104" i="18"/>
  <c r="D104" i="18"/>
  <c r="I103" i="18"/>
  <c r="D103" i="18"/>
  <c r="I102" i="18"/>
  <c r="D102" i="18"/>
  <c r="O102" i="18"/>
  <c r="N102" i="18"/>
  <c r="F102" i="18"/>
  <c r="I101" i="18"/>
  <c r="D101" i="18"/>
  <c r="I100" i="18"/>
  <c r="D100" i="18"/>
  <c r="I99" i="18"/>
  <c r="D99" i="18"/>
  <c r="I98" i="18"/>
  <c r="D98" i="18"/>
  <c r="I97" i="18"/>
  <c r="D97" i="18"/>
  <c r="L12" i="60"/>
  <c r="M12" i="60" s="1"/>
  <c r="I13" i="18"/>
  <c r="D13" i="18"/>
  <c r="I12" i="18"/>
  <c r="D12" i="18"/>
  <c r="I10" i="18"/>
  <c r="D10" i="18"/>
  <c r="I9" i="18"/>
  <c r="D9" i="18"/>
  <c r="I8" i="18"/>
  <c r="D8" i="18"/>
  <c r="D11" i="17"/>
  <c r="C11" i="17"/>
  <c r="K11" i="17"/>
  <c r="F11" i="17"/>
  <c r="E10" i="17"/>
  <c r="L10" i="17"/>
  <c r="J10" i="17"/>
  <c r="I10" i="17"/>
  <c r="D10" i="17"/>
  <c r="C10" i="17"/>
  <c r="D9" i="17"/>
  <c r="C9" i="17"/>
  <c r="K9" i="17"/>
  <c r="G9" i="17"/>
  <c r="I9" i="17"/>
  <c r="J9" i="17"/>
  <c r="F9" i="17"/>
  <c r="G7" i="17"/>
  <c r="F7" i="17"/>
  <c r="C7" i="17"/>
  <c r="D7" i="17"/>
  <c r="N7" i="17"/>
  <c r="M7" i="17"/>
  <c r="L7" i="17"/>
  <c r="J7" i="17"/>
  <c r="C6" i="17"/>
  <c r="N6" i="17"/>
  <c r="L6" i="17"/>
  <c r="J6" i="17"/>
  <c r="I6" i="17"/>
  <c r="F6" i="17"/>
  <c r="D6" i="17"/>
  <c r="M6" i="17"/>
  <c r="I5" i="17"/>
  <c r="C5" i="17"/>
  <c r="K5" i="17"/>
  <c r="J5" i="17"/>
  <c r="G5" i="17"/>
  <c r="F5" i="17"/>
  <c r="D5" i="17"/>
  <c r="M5" i="17"/>
  <c r="E5" i="17"/>
  <c r="N4" i="17"/>
  <c r="N18" i="17" s="1"/>
  <c r="K4" i="17"/>
  <c r="G18" i="17"/>
  <c r="G21" i="17" s="1"/>
  <c r="G4" i="17"/>
  <c r="G5" i="18"/>
  <c r="L18" i="66"/>
  <c r="L13" i="66"/>
  <c r="L19" i="66"/>
  <c r="L12" i="66"/>
  <c r="L14" i="66"/>
  <c r="L23" i="66"/>
  <c r="L21" i="66"/>
  <c r="C5" i="64"/>
  <c r="L22" i="63"/>
  <c r="N22" i="64"/>
  <c r="L15" i="63"/>
  <c r="N12" i="64"/>
  <c r="L16" i="63"/>
  <c r="M16" i="63" s="1"/>
  <c r="L14" i="63"/>
  <c r="M14" i="63" s="1"/>
  <c r="J17" i="16"/>
  <c r="N19" i="63"/>
  <c r="O19" i="63" s="1"/>
  <c r="N17" i="63"/>
  <c r="O17" i="63" s="1"/>
  <c r="L13" i="62"/>
  <c r="N15" i="63"/>
  <c r="C5" i="62"/>
  <c r="L20" i="62"/>
  <c r="M20" i="62" s="1"/>
  <c r="N12" i="63"/>
  <c r="O12" i="63" s="1"/>
  <c r="L11" i="62"/>
  <c r="M11" i="62" s="1"/>
  <c r="L23" i="62"/>
  <c r="N13" i="63"/>
  <c r="O13" i="63" s="1"/>
  <c r="L21" i="62"/>
  <c r="M21" i="62" s="1"/>
  <c r="L14" i="61"/>
  <c r="M14" i="61" s="1"/>
  <c r="I9" i="16"/>
  <c r="I23" i="16" s="1"/>
  <c r="I15" i="16"/>
  <c r="I16" i="21" s="1"/>
  <c r="L22" i="61"/>
  <c r="M22" i="61" s="1"/>
  <c r="I8" i="16"/>
  <c r="I4" i="16"/>
  <c r="C5" i="61"/>
  <c r="B11" i="61"/>
  <c r="B23" i="61" s="1"/>
  <c r="B24" i="61" s="1"/>
  <c r="L16" i="61"/>
  <c r="N15" i="62"/>
  <c r="O15" i="62" s="1"/>
  <c r="L13" i="61"/>
  <c r="N16" i="62"/>
  <c r="O16" i="62" s="1"/>
  <c r="I18" i="16"/>
  <c r="I19" i="21" s="1"/>
  <c r="C6" i="61"/>
  <c r="L21" i="61"/>
  <c r="N21" i="62"/>
  <c r="O21" i="62" s="1"/>
  <c r="I14" i="16"/>
  <c r="I15" i="21" s="1"/>
  <c r="I17" i="16"/>
  <c r="I18" i="21" s="1"/>
  <c r="L23" i="61"/>
  <c r="M23" i="61" s="1"/>
  <c r="I7" i="16"/>
  <c r="I8" i="21" s="1"/>
  <c r="I10" i="16"/>
  <c r="I13" i="16"/>
  <c r="I14" i="21" s="1"/>
  <c r="L15" i="61"/>
  <c r="M15" i="61" s="1"/>
  <c r="L17" i="61"/>
  <c r="N17" i="62"/>
  <c r="I6" i="16"/>
  <c r="L18" i="61"/>
  <c r="M18" i="61" s="1"/>
  <c r="I11" i="16"/>
  <c r="L13" i="60"/>
  <c r="N17" i="61"/>
  <c r="L17" i="60"/>
  <c r="N16" i="60"/>
  <c r="O16" i="60" s="1"/>
  <c r="B14" i="60"/>
  <c r="B15" i="60" s="1"/>
  <c r="B26" i="60"/>
  <c r="B27" i="60" s="1"/>
  <c r="L11" i="60"/>
  <c r="M11" i="60" s="1"/>
  <c r="N14" i="60"/>
  <c r="O14" i="60" s="1"/>
  <c r="H18" i="16"/>
  <c r="H4" i="16"/>
  <c r="H6" i="16"/>
  <c r="H7" i="16"/>
  <c r="H8" i="16"/>
  <c r="H9" i="21" s="1"/>
  <c r="H9" i="16"/>
  <c r="H10" i="16"/>
  <c r="H15" i="16"/>
  <c r="H16" i="21" s="1"/>
  <c r="H11" i="16"/>
  <c r="H12" i="21" s="1"/>
  <c r="H12" i="16"/>
  <c r="H13" i="16"/>
  <c r="H14" i="21" s="1"/>
  <c r="H14" i="16"/>
  <c r="H15" i="21" s="1"/>
  <c r="H17" i="16"/>
  <c r="H18" i="21" s="1"/>
  <c r="H16" i="16"/>
  <c r="H17" i="21" s="1"/>
  <c r="C11" i="60"/>
  <c r="C17" i="60" s="1"/>
  <c r="C18" i="60" s="1"/>
  <c r="L21" i="60"/>
  <c r="M21" i="60" s="1"/>
  <c r="B17" i="60"/>
  <c r="B18" i="60" s="1"/>
  <c r="N11" i="60"/>
  <c r="O11" i="60" s="1"/>
  <c r="B12" i="60"/>
  <c r="B20" i="60"/>
  <c r="B21" i="60" s="1"/>
  <c r="C5" i="60"/>
  <c r="C7" i="60" s="1"/>
  <c r="L20" i="60"/>
  <c r="M20" i="60" s="1"/>
  <c r="B12" i="66"/>
  <c r="B14" i="66"/>
  <c r="B15" i="66" s="1"/>
  <c r="B17" i="66"/>
  <c r="B18" i="66" s="1"/>
  <c r="B26" i="66"/>
  <c r="B27" i="66" s="1"/>
  <c r="B20" i="66"/>
  <c r="B21" i="66" s="1"/>
  <c r="C11" i="66"/>
  <c r="B23" i="66"/>
  <c r="B24" i="66" s="1"/>
  <c r="N10" i="16"/>
  <c r="N24" i="16" s="1"/>
  <c r="L22" i="66"/>
  <c r="M22" i="66" s="1"/>
  <c r="L18" i="65"/>
  <c r="L14" i="65"/>
  <c r="L11" i="65"/>
  <c r="N11" i="66"/>
  <c r="O11" i="66" s="1"/>
  <c r="L21" i="65"/>
  <c r="L17" i="65"/>
  <c r="N12" i="66"/>
  <c r="L19" i="65"/>
  <c r="L22" i="64"/>
  <c r="L12" i="64"/>
  <c r="L21" i="64"/>
  <c r="L14" i="64"/>
  <c r="L11" i="64"/>
  <c r="N14" i="65"/>
  <c r="L16" i="64"/>
  <c r="B20" i="64"/>
  <c r="C11" i="64"/>
  <c r="B23" i="64"/>
  <c r="B24" i="64" s="1"/>
  <c r="B12" i="64"/>
  <c r="B26" i="64"/>
  <c r="B27" i="64" s="1"/>
  <c r="B14" i="64"/>
  <c r="B15" i="64" s="1"/>
  <c r="B17" i="64"/>
  <c r="B18" i="64" s="1"/>
  <c r="M172" i="18"/>
  <c r="N14" i="64"/>
  <c r="B14" i="63"/>
  <c r="B15" i="63" s="1"/>
  <c r="B17" i="63"/>
  <c r="B18" i="63" s="1"/>
  <c r="B20" i="63"/>
  <c r="B21" i="63" s="1"/>
  <c r="C11" i="63"/>
  <c r="B23" i="63"/>
  <c r="B24" i="63" s="1"/>
  <c r="B26" i="63"/>
  <c r="B27" i="63" s="1"/>
  <c r="B12" i="63"/>
  <c r="L142" i="18"/>
  <c r="N23" i="64"/>
  <c r="N18" i="64"/>
  <c r="K18" i="17"/>
  <c r="K21" i="17" s="1"/>
  <c r="N15" i="64"/>
  <c r="N21" i="64"/>
  <c r="L13" i="63"/>
  <c r="M13" i="63" s="1"/>
  <c r="M21" i="63"/>
  <c r="M23" i="63"/>
  <c r="M17" i="63"/>
  <c r="C11" i="62"/>
  <c r="B23" i="62"/>
  <c r="B24" i="62" s="1"/>
  <c r="B17" i="62"/>
  <c r="B18" i="62" s="1"/>
  <c r="B12" i="62"/>
  <c r="B20" i="62"/>
  <c r="B21" i="62" s="1"/>
  <c r="B26" i="62"/>
  <c r="B27" i="62" s="1"/>
  <c r="B14" i="62"/>
  <c r="B15" i="62" s="1"/>
  <c r="N20" i="63"/>
  <c r="O20" i="63" s="1"/>
  <c r="L18" i="62"/>
  <c r="J11" i="16"/>
  <c r="L22" i="62"/>
  <c r="M22" i="62" s="1"/>
  <c r="N16" i="63"/>
  <c r="O16" i="63" s="1"/>
  <c r="L12" i="62"/>
  <c r="M14" i="62"/>
  <c r="N14" i="63"/>
  <c r="O14" i="63" s="1"/>
  <c r="N21" i="63"/>
  <c r="O21" i="63" s="1"/>
  <c r="J13" i="16"/>
  <c r="N23" i="63"/>
  <c r="O23" i="63" s="1"/>
  <c r="N11" i="62"/>
  <c r="O11" i="62" s="1"/>
  <c r="J6" i="16"/>
  <c r="N22" i="63"/>
  <c r="J14" i="16"/>
  <c r="J10" i="16"/>
  <c r="N18" i="63"/>
  <c r="O18" i="63" s="1"/>
  <c r="J18" i="16"/>
  <c r="J4" i="16"/>
  <c r="L11" i="61"/>
  <c r="M11" i="61" s="1"/>
  <c r="L12" i="61"/>
  <c r="N12" i="62"/>
  <c r="N14" i="62"/>
  <c r="O14" i="62" s="1"/>
  <c r="O11" i="61"/>
  <c r="N23" i="62"/>
  <c r="L19" i="61"/>
  <c r="M19" i="61" s="1"/>
  <c r="N19" i="62"/>
  <c r="O19" i="62" s="1"/>
  <c r="N13" i="62"/>
  <c r="N15" i="61"/>
  <c r="O15" i="61" s="1"/>
  <c r="N20" i="62"/>
  <c r="O20" i="62" s="1"/>
  <c r="N18" i="62"/>
  <c r="N22" i="62"/>
  <c r="O22" i="62" s="1"/>
  <c r="N13" i="61"/>
  <c r="H21" i="17"/>
  <c r="N22" i="61"/>
  <c r="O22" i="61" s="1"/>
  <c r="N16" i="61"/>
  <c r="N21" i="61"/>
  <c r="L15" i="60"/>
  <c r="N12" i="61"/>
  <c r="O12" i="61" s="1"/>
  <c r="N14" i="61"/>
  <c r="O14" i="61" s="1"/>
  <c r="L19" i="60"/>
  <c r="M19" i="60" s="1"/>
  <c r="L22" i="60"/>
  <c r="M22" i="60" s="1"/>
  <c r="N20" i="61"/>
  <c r="O20" i="61" s="1"/>
  <c r="N12" i="60"/>
  <c r="L16" i="60"/>
  <c r="M16" i="60" s="1"/>
  <c r="C23" i="60"/>
  <c r="C24" i="60" s="1"/>
  <c r="N19" i="61"/>
  <c r="O19" i="61" s="1"/>
  <c r="L18" i="60"/>
  <c r="M18" i="60" s="1"/>
  <c r="N23" i="61"/>
  <c r="O23" i="61" s="1"/>
  <c r="N23" i="60"/>
  <c r="O23" i="60" s="1"/>
  <c r="C26" i="59"/>
  <c r="C27" i="59" s="1"/>
  <c r="C23" i="59"/>
  <c r="C24" i="59" s="1"/>
  <c r="D11" i="59"/>
  <c r="C20" i="59"/>
  <c r="C21" i="59" s="1"/>
  <c r="C17" i="59"/>
  <c r="C18" i="59" s="1"/>
  <c r="C14" i="59"/>
  <c r="C15" i="59" s="1"/>
  <c r="C12" i="59"/>
  <c r="N17" i="60"/>
  <c r="B23" i="59"/>
  <c r="B24" i="59" s="1"/>
  <c r="N18" i="60"/>
  <c r="O18" i="60" s="1"/>
  <c r="B20" i="59"/>
  <c r="B21" i="59" s="1"/>
  <c r="G10" i="16"/>
  <c r="L23" i="59"/>
  <c r="M23" i="59" s="1"/>
  <c r="N20" i="60"/>
  <c r="O20" i="60" s="1"/>
  <c r="N13" i="60"/>
  <c r="G18" i="16"/>
  <c r="M16" i="59"/>
  <c r="N16" i="59"/>
  <c r="O16" i="59" s="1"/>
  <c r="N21" i="60"/>
  <c r="O21" i="60" s="1"/>
  <c r="L15" i="59"/>
  <c r="M15" i="59" s="1"/>
  <c r="G16" i="16"/>
  <c r="M19" i="59"/>
  <c r="B14" i="59"/>
  <c r="B15" i="59" s="1"/>
  <c r="G15" i="16"/>
  <c r="M18" i="59"/>
  <c r="N14" i="59"/>
  <c r="G17" i="16"/>
  <c r="N15" i="60"/>
  <c r="O15" i="60" s="1"/>
  <c r="G14" i="16"/>
  <c r="G13" i="16"/>
  <c r="G4" i="16"/>
  <c r="N19" i="60"/>
  <c r="O19" i="60" s="1"/>
  <c r="G12" i="16"/>
  <c r="L14" i="59"/>
  <c r="G9" i="16"/>
  <c r="G8" i="16"/>
  <c r="M11" i="59"/>
  <c r="M20" i="59"/>
  <c r="G7" i="16"/>
  <c r="N23" i="59"/>
  <c r="O23" i="59" s="1"/>
  <c r="B12" i="59"/>
  <c r="G6" i="16"/>
  <c r="B17" i="40"/>
  <c r="B18" i="40" s="1"/>
  <c r="B26" i="40"/>
  <c r="B27" i="40" s="1"/>
  <c r="B12" i="40"/>
  <c r="B23" i="40"/>
  <c r="B24" i="40" s="1"/>
  <c r="C11" i="40"/>
  <c r="B14" i="40"/>
  <c r="B15" i="40" s="1"/>
  <c r="B20" i="40"/>
  <c r="B21" i="40" s="1"/>
  <c r="F13" i="16"/>
  <c r="N22" i="59"/>
  <c r="N17" i="59"/>
  <c r="O17" i="59" s="1"/>
  <c r="M19" i="40"/>
  <c r="F17" i="16"/>
  <c r="F16" i="16"/>
  <c r="L18" i="40"/>
  <c r="N20" i="59"/>
  <c r="O20" i="59" s="1"/>
  <c r="N19" i="40"/>
  <c r="O19" i="40" s="1"/>
  <c r="F8" i="16"/>
  <c r="F14" i="16"/>
  <c r="M22" i="40"/>
  <c r="F7" i="16"/>
  <c r="F12" i="16"/>
  <c r="M20" i="40"/>
  <c r="N21" i="59"/>
  <c r="O21" i="59" s="1"/>
  <c r="F15" i="16"/>
  <c r="F18" i="16"/>
  <c r="F11" i="16"/>
  <c r="M16" i="40"/>
  <c r="O11" i="40"/>
  <c r="N19" i="59"/>
  <c r="O19" i="59" s="1"/>
  <c r="N20" i="40"/>
  <c r="O20" i="40" s="1"/>
  <c r="M19" i="69"/>
  <c r="F11" i="18"/>
  <c r="C11" i="69"/>
  <c r="M17" i="69"/>
  <c r="E7" i="21"/>
  <c r="N13" i="40"/>
  <c r="O13" i="40" s="1"/>
  <c r="B14" i="69"/>
  <c r="B15" i="69" s="1"/>
  <c r="C6" i="69"/>
  <c r="C7" i="69" s="1"/>
  <c r="B23" i="69"/>
  <c r="B24" i="69" s="1"/>
  <c r="M15" i="69"/>
  <c r="B12" i="69"/>
  <c r="N16" i="40"/>
  <c r="O16" i="40" s="1"/>
  <c r="M16" i="69"/>
  <c r="N18" i="40"/>
  <c r="B26" i="69"/>
  <c r="B27" i="69" s="1"/>
  <c r="L21" i="69"/>
  <c r="M21" i="69" s="1"/>
  <c r="N14" i="40"/>
  <c r="O14" i="40" s="1"/>
  <c r="N21" i="40"/>
  <c r="O21" i="40" s="1"/>
  <c r="L12" i="69"/>
  <c r="N12" i="40"/>
  <c r="O12" i="40" s="1"/>
  <c r="N23" i="40"/>
  <c r="O23" i="40" s="1"/>
  <c r="N17" i="40"/>
  <c r="O17" i="40" s="1"/>
  <c r="B17" i="69"/>
  <c r="B18" i="69" s="1"/>
  <c r="N15" i="40"/>
  <c r="N11" i="69"/>
  <c r="O11" i="69" s="1"/>
  <c r="B11" i="68"/>
  <c r="B17" i="68" s="1"/>
  <c r="B18" i="68" s="1"/>
  <c r="C5" i="68"/>
  <c r="C7" i="68" s="1"/>
  <c r="L22" i="68"/>
  <c r="M22" i="68" s="1"/>
  <c r="L21" i="68"/>
  <c r="M21" i="68" s="1"/>
  <c r="L23" i="68"/>
  <c r="M23" i="68" s="1"/>
  <c r="N13" i="69"/>
  <c r="O13" i="69" s="1"/>
  <c r="D17" i="16"/>
  <c r="D18" i="21" s="1"/>
  <c r="D9" i="16"/>
  <c r="D13" i="16"/>
  <c r="D14" i="21" s="1"/>
  <c r="D14" i="16"/>
  <c r="D15" i="21" s="1"/>
  <c r="D4" i="16"/>
  <c r="F15" i="56" s="1"/>
  <c r="D12" i="16"/>
  <c r="D26" i="16" s="1"/>
  <c r="D7" i="16"/>
  <c r="D11" i="16"/>
  <c r="D12" i="21" s="1"/>
  <c r="D15" i="16"/>
  <c r="D16" i="21" s="1"/>
  <c r="D6" i="16"/>
  <c r="D7" i="21" s="1"/>
  <c r="D18" i="16"/>
  <c r="D19" i="21" s="1"/>
  <c r="D16" i="16"/>
  <c r="D17" i="21" s="1"/>
  <c r="D10" i="16"/>
  <c r="D11" i="21" s="1"/>
  <c r="N23" i="69"/>
  <c r="O23" i="69" s="1"/>
  <c r="N21" i="69"/>
  <c r="O21" i="69" s="1"/>
  <c r="L20" i="68"/>
  <c r="M20" i="68" s="1"/>
  <c r="M18" i="68"/>
  <c r="L16" i="68"/>
  <c r="M16" i="68" s="1"/>
  <c r="N20" i="69"/>
  <c r="O20" i="69" s="1"/>
  <c r="L12" i="68"/>
  <c r="N18" i="69"/>
  <c r="O18" i="69" s="1"/>
  <c r="M17" i="68"/>
  <c r="N19" i="69"/>
  <c r="O19" i="69" s="1"/>
  <c r="N12" i="69"/>
  <c r="N17" i="69"/>
  <c r="O17" i="69" s="1"/>
  <c r="N22" i="69"/>
  <c r="N16" i="69"/>
  <c r="O16" i="69" s="1"/>
  <c r="M19" i="68"/>
  <c r="N14" i="69"/>
  <c r="O14" i="69" s="1"/>
  <c r="N11" i="68"/>
  <c r="O11" i="68" s="1"/>
  <c r="L22" i="67"/>
  <c r="M22" i="67" s="1"/>
  <c r="L23" i="67"/>
  <c r="M23" i="67" s="1"/>
  <c r="C6" i="67"/>
  <c r="C7" i="67" s="1"/>
  <c r="L21" i="67"/>
  <c r="M21" i="67" s="1"/>
  <c r="B11" i="67"/>
  <c r="C11" i="67" s="1"/>
  <c r="N16" i="68"/>
  <c r="O16" i="68" s="1"/>
  <c r="L13" i="67"/>
  <c r="M13" i="67" s="1"/>
  <c r="N14" i="68"/>
  <c r="O14" i="68" s="1"/>
  <c r="L11" i="67"/>
  <c r="N23" i="68"/>
  <c r="O23" i="68" s="1"/>
  <c r="N18" i="68"/>
  <c r="O18" i="68" s="1"/>
  <c r="N13" i="68"/>
  <c r="O13" i="68" s="1"/>
  <c r="N19" i="68"/>
  <c r="O19" i="68" s="1"/>
  <c r="N20" i="68"/>
  <c r="O20" i="68" s="1"/>
  <c r="N21" i="68"/>
  <c r="O21" i="68" s="1"/>
  <c r="L19" i="67"/>
  <c r="M19" i="67" s="1"/>
  <c r="C15" i="16"/>
  <c r="C16" i="21" s="1"/>
  <c r="C13" i="16"/>
  <c r="C14" i="16"/>
  <c r="C15" i="21" s="1"/>
  <c r="C17" i="16"/>
  <c r="C18" i="21" s="1"/>
  <c r="C6" i="16"/>
  <c r="C10" i="16"/>
  <c r="C18" i="16"/>
  <c r="C8" i="16"/>
  <c r="C9" i="21" s="1"/>
  <c r="C9" i="16"/>
  <c r="C23" i="16" s="1"/>
  <c r="C11" i="16"/>
  <c r="C12" i="21" s="1"/>
  <c r="C12" i="16"/>
  <c r="C7" i="16"/>
  <c r="C16" i="16"/>
  <c r="C17" i="21" s="1"/>
  <c r="N22" i="68"/>
  <c r="O22" i="68" s="1"/>
  <c r="N17" i="68"/>
  <c r="O17" i="68" s="1"/>
  <c r="N15" i="68"/>
  <c r="C4" i="16"/>
  <c r="D11" i="18"/>
  <c r="N12" i="68"/>
  <c r="M17" i="67"/>
  <c r="M18" i="67"/>
  <c r="L17" i="66"/>
  <c r="M17" i="66" s="1"/>
  <c r="L20" i="66"/>
  <c r="M20" i="66" s="1"/>
  <c r="L15" i="66"/>
  <c r="M15" i="66" s="1"/>
  <c r="N12" i="16"/>
  <c r="N13" i="21" s="1"/>
  <c r="C6" i="66"/>
  <c r="N18" i="16"/>
  <c r="N32" i="16" s="1"/>
  <c r="N4" i="16"/>
  <c r="P15" i="56" s="1"/>
  <c r="N7" i="16"/>
  <c r="N21" i="16" s="1"/>
  <c r="N9" i="16"/>
  <c r="N23" i="16" s="1"/>
  <c r="N15" i="16"/>
  <c r="N8" i="16"/>
  <c r="N17" i="16"/>
  <c r="N6" i="16"/>
  <c r="N14" i="16"/>
  <c r="N15" i="21" s="1"/>
  <c r="N11" i="16"/>
  <c r="N13" i="16"/>
  <c r="N16" i="16"/>
  <c r="N17" i="21" s="1"/>
  <c r="C5" i="66"/>
  <c r="B17" i="65"/>
  <c r="B18" i="65" s="1"/>
  <c r="B14" i="65"/>
  <c r="B15" i="65" s="1"/>
  <c r="C5" i="65"/>
  <c r="C7" i="65" s="1"/>
  <c r="B12" i="65"/>
  <c r="B26" i="65"/>
  <c r="B27" i="65" s="1"/>
  <c r="B23" i="65"/>
  <c r="B24" i="65" s="1"/>
  <c r="C11" i="65"/>
  <c r="N13" i="66"/>
  <c r="L12" i="65"/>
  <c r="M12" i="65" s="1"/>
  <c r="L23" i="65"/>
  <c r="M23" i="65" s="1"/>
  <c r="N21" i="66"/>
  <c r="L22" i="65"/>
  <c r="M22" i="65" s="1"/>
  <c r="N18" i="66"/>
  <c r="L20" i="65"/>
  <c r="M20" i="65" s="1"/>
  <c r="N15" i="66"/>
  <c r="O15" i="66" s="1"/>
  <c r="N23" i="66"/>
  <c r="N22" i="66"/>
  <c r="O22" i="66" s="1"/>
  <c r="N14" i="66"/>
  <c r="L15" i="65"/>
  <c r="M15" i="65" s="1"/>
  <c r="L16" i="65"/>
  <c r="M16" i="65" s="1"/>
  <c r="L13" i="65"/>
  <c r="M13" i="65" s="1"/>
  <c r="O54" i="1"/>
  <c r="P54" i="1" s="1"/>
  <c r="M9" i="16"/>
  <c r="M23" i="16" s="1"/>
  <c r="M4" i="16"/>
  <c r="O15" i="56" s="1"/>
  <c r="M6" i="16"/>
  <c r="M7" i="21" s="1"/>
  <c r="M12" i="16"/>
  <c r="M7" i="16"/>
  <c r="M21" i="16" s="1"/>
  <c r="M13" i="16"/>
  <c r="M10" i="16"/>
  <c r="M11" i="21" s="1"/>
  <c r="M16" i="16"/>
  <c r="M15" i="16"/>
  <c r="M16" i="21" s="1"/>
  <c r="M18" i="16"/>
  <c r="M32" i="16" s="1"/>
  <c r="M8" i="16"/>
  <c r="M9" i="21" s="1"/>
  <c r="M11" i="16"/>
  <c r="M12" i="21" s="1"/>
  <c r="M17" i="16"/>
  <c r="M18" i="21" s="1"/>
  <c r="M14" i="16"/>
  <c r="M15" i="21" s="1"/>
  <c r="P134" i="18"/>
  <c r="Q134" i="18" s="1"/>
  <c r="P140" i="18"/>
  <c r="Q140" i="18" s="1"/>
  <c r="O8" i="17"/>
  <c r="P8" i="17" s="1"/>
  <c r="Q12" i="56"/>
  <c r="L19" i="64"/>
  <c r="M19" i="64" s="1"/>
  <c r="N19" i="64"/>
  <c r="O19" i="64" s="1"/>
  <c r="N23" i="65"/>
  <c r="O23" i="65" s="1"/>
  <c r="N20" i="64"/>
  <c r="O20" i="64" s="1"/>
  <c r="L18" i="64"/>
  <c r="N20" i="65"/>
  <c r="O20" i="65" s="1"/>
  <c r="L20" i="64"/>
  <c r="M20" i="64" s="1"/>
  <c r="N19" i="65"/>
  <c r="N12" i="65"/>
  <c r="O12" i="65" s="1"/>
  <c r="N16" i="64"/>
  <c r="L23" i="64"/>
  <c r="L15" i="64"/>
  <c r="N17" i="64"/>
  <c r="O17" i="64" s="1"/>
  <c r="N18" i="65"/>
  <c r="L13" i="64"/>
  <c r="M13" i="64" s="1"/>
  <c r="L17" i="64"/>
  <c r="M17" i="64" s="1"/>
  <c r="N11" i="64"/>
  <c r="N13" i="64"/>
  <c r="O13" i="64" s="1"/>
  <c r="M5" i="18"/>
  <c r="R12" i="56"/>
  <c r="K9" i="87"/>
  <c r="P183" i="18" l="1"/>
  <c r="Q183" i="18" s="1"/>
  <c r="P85" i="18"/>
  <c r="Q85" i="18" s="1"/>
  <c r="P107" i="18"/>
  <c r="Q107" i="18" s="1"/>
  <c r="P6" i="18"/>
  <c r="Q6" i="18" s="1"/>
  <c r="P84" i="18"/>
  <c r="Q84" i="18" s="1"/>
  <c r="P17" i="18"/>
  <c r="Q17" i="18" s="1"/>
  <c r="P212" i="18"/>
  <c r="P209" i="18"/>
  <c r="Q209" i="18" s="1"/>
  <c r="P37" i="18"/>
  <c r="Q37" i="18" s="1"/>
  <c r="F21" i="20"/>
  <c r="C21" i="20"/>
  <c r="H21" i="20"/>
  <c r="P118" i="18"/>
  <c r="Q118" i="18" s="1"/>
  <c r="P48" i="18"/>
  <c r="Q48" i="18" s="1"/>
  <c r="P56" i="18"/>
  <c r="Q56" i="18" s="1"/>
  <c r="P82" i="18"/>
  <c r="Q82" i="18" s="1"/>
  <c r="P66" i="18"/>
  <c r="Q66" i="18" s="1"/>
  <c r="J19" i="20"/>
  <c r="P120" i="18"/>
  <c r="Q120" i="18" s="1"/>
  <c r="P81" i="18"/>
  <c r="Q81" i="18" s="1"/>
  <c r="P181" i="18"/>
  <c r="Q181" i="18" s="1"/>
  <c r="P216" i="18"/>
  <c r="Q216" i="18" s="1"/>
  <c r="P65" i="18"/>
  <c r="Q65" i="18" s="1"/>
  <c r="P136" i="18"/>
  <c r="Q136" i="18" s="1"/>
  <c r="P59" i="18"/>
  <c r="Q59" i="18" s="1"/>
  <c r="P38" i="18"/>
  <c r="Q38" i="18" s="1"/>
  <c r="P123" i="18"/>
  <c r="Q123" i="18" s="1"/>
  <c r="E5" i="18"/>
  <c r="O16" i="17"/>
  <c r="P16" i="17" s="1"/>
  <c r="F19" i="20"/>
  <c r="F24" i="20" s="1"/>
  <c r="P196" i="18"/>
  <c r="Q196" i="18" s="1"/>
  <c r="P69" i="18"/>
  <c r="Q69" i="18" s="1"/>
  <c r="P32" i="18"/>
  <c r="Q32" i="18" s="1"/>
  <c r="P126" i="18"/>
  <c r="Q126" i="18" s="1"/>
  <c r="P88" i="18"/>
  <c r="R88" i="18" s="1"/>
  <c r="N5" i="18"/>
  <c r="P156" i="18"/>
  <c r="Q156" i="18" s="1"/>
  <c r="F5" i="18"/>
  <c r="P49" i="18"/>
  <c r="Q49" i="18" s="1"/>
  <c r="G19" i="20"/>
  <c r="G24" i="20" s="1"/>
  <c r="P67" i="18"/>
  <c r="Q67" i="18" s="1"/>
  <c r="P29" i="18"/>
  <c r="Q29" i="18" s="1"/>
  <c r="P170" i="18"/>
  <c r="Q170" i="18" s="1"/>
  <c r="P75" i="18"/>
  <c r="Q75" i="18" s="1"/>
  <c r="P168" i="18"/>
  <c r="Q168" i="18" s="1"/>
  <c r="P207" i="18"/>
  <c r="Q207" i="18" s="1"/>
  <c r="P18" i="18"/>
  <c r="Q18" i="18" s="1"/>
  <c r="P195" i="18"/>
  <c r="Q195" i="18" s="1"/>
  <c r="P72" i="18"/>
  <c r="Q72" i="18" s="1"/>
  <c r="P54" i="18"/>
  <c r="Q54" i="18" s="1"/>
  <c r="P171" i="18"/>
  <c r="Q171" i="18" s="1"/>
  <c r="P27" i="18"/>
  <c r="Q27" i="18" s="1"/>
  <c r="P178" i="18"/>
  <c r="Q178" i="18" s="1"/>
  <c r="P94" i="18"/>
  <c r="Q94" i="18" s="1"/>
  <c r="P201" i="18"/>
  <c r="Q201" i="18" s="1"/>
  <c r="P186" i="18"/>
  <c r="Q186" i="18" s="1"/>
  <c r="P64" i="18"/>
  <c r="Q64" i="18" s="1"/>
  <c r="P117" i="18"/>
  <c r="Q117" i="18" s="1"/>
  <c r="P214" i="18"/>
  <c r="Q214" i="18" s="1"/>
  <c r="P44" i="18"/>
  <c r="R44" i="18" s="1"/>
  <c r="P16" i="18"/>
  <c r="Q16" i="18" s="1"/>
  <c r="G20" i="17"/>
  <c r="G4" i="21" s="1"/>
  <c r="D18" i="20"/>
  <c r="P28" i="18"/>
  <c r="Q28" i="18" s="1"/>
  <c r="P41" i="18"/>
  <c r="Q41" i="18" s="1"/>
  <c r="P198" i="18"/>
  <c r="Q198" i="18" s="1"/>
  <c r="P55" i="18"/>
  <c r="Q55" i="18" s="1"/>
  <c r="P138" i="18"/>
  <c r="Q138" i="18" s="1"/>
  <c r="E19" i="20"/>
  <c r="E23" i="20" s="1"/>
  <c r="H5" i="18"/>
  <c r="L18" i="20"/>
  <c r="P193" i="18"/>
  <c r="Q193" i="18" s="1"/>
  <c r="P51" i="18"/>
  <c r="Q51" i="18" s="1"/>
  <c r="P111" i="18"/>
  <c r="Q111" i="18" s="1"/>
  <c r="P194" i="18"/>
  <c r="Q194" i="18" s="1"/>
  <c r="P110" i="18"/>
  <c r="Q110" i="18" s="1"/>
  <c r="P180" i="18"/>
  <c r="Q180" i="18" s="1"/>
  <c r="P43" i="18"/>
  <c r="R43" i="18" s="1"/>
  <c r="P14" i="18"/>
  <c r="Q14" i="18" s="1"/>
  <c r="O5" i="18"/>
  <c r="P15" i="18"/>
  <c r="Q15" i="18" s="1"/>
  <c r="P76" i="18"/>
  <c r="Q76" i="18" s="1"/>
  <c r="P119" i="18"/>
  <c r="Q119" i="18" s="1"/>
  <c r="P83" i="18"/>
  <c r="Q83" i="18" s="1"/>
  <c r="O12" i="17"/>
  <c r="P12" i="17" s="1"/>
  <c r="J5" i="18"/>
  <c r="O14" i="17"/>
  <c r="P14" i="17" s="1"/>
  <c r="K5" i="18"/>
  <c r="O17" i="17"/>
  <c r="P17" i="17" s="1"/>
  <c r="P35" i="18"/>
  <c r="Q35" i="18" s="1"/>
  <c r="P23" i="18"/>
  <c r="Q23" i="18" s="1"/>
  <c r="P213" i="18"/>
  <c r="Q213" i="18" s="1"/>
  <c r="P108" i="18"/>
  <c r="Q108" i="18" s="1"/>
  <c r="P30" i="18"/>
  <c r="Q30" i="18" s="1"/>
  <c r="P106" i="18"/>
  <c r="Q106" i="18" s="1"/>
  <c r="P36" i="18"/>
  <c r="Q36" i="18" s="1"/>
  <c r="P80" i="18"/>
  <c r="Q80" i="18" s="1"/>
  <c r="P68" i="18"/>
  <c r="R68" i="18" s="1"/>
  <c r="P155" i="18"/>
  <c r="Q155" i="18" s="1"/>
  <c r="P79" i="18"/>
  <c r="Q79" i="18" s="1"/>
  <c r="P133" i="18"/>
  <c r="Q133" i="18" s="1"/>
  <c r="O15" i="17"/>
  <c r="P15" i="17" s="1"/>
  <c r="P89" i="18"/>
  <c r="Q89" i="18" s="1"/>
  <c r="P73" i="18"/>
  <c r="Q73" i="18" s="1"/>
  <c r="P42" i="18"/>
  <c r="R42" i="18" s="1"/>
  <c r="P92" i="18"/>
  <c r="Q92" i="18" s="1"/>
  <c r="P31" i="18"/>
  <c r="Q31" i="18" s="1"/>
  <c r="P77" i="18"/>
  <c r="Q77" i="18" s="1"/>
  <c r="P74" i="18"/>
  <c r="Q74" i="18" s="1"/>
  <c r="O13" i="17"/>
  <c r="P13" i="17" s="1"/>
  <c r="P206" i="18"/>
  <c r="Q206" i="18" s="1"/>
  <c r="P121" i="18"/>
  <c r="Q121" i="18" s="1"/>
  <c r="P124" i="18"/>
  <c r="Q124" i="18" s="1"/>
  <c r="P184" i="18"/>
  <c r="Q184" i="18" s="1"/>
  <c r="P33" i="18"/>
  <c r="Q33" i="18" s="1"/>
  <c r="P141" i="18"/>
  <c r="Q141" i="18" s="1"/>
  <c r="P71" i="18"/>
  <c r="R71" i="18" s="1"/>
  <c r="P132" i="18"/>
  <c r="Q132" i="18" s="1"/>
  <c r="P60" i="18"/>
  <c r="Q60" i="18" s="1"/>
  <c r="P90" i="18"/>
  <c r="Q90" i="18" s="1"/>
  <c r="P34" i="18"/>
  <c r="Q34" i="18" s="1"/>
  <c r="P169" i="18"/>
  <c r="Q169" i="18" s="1"/>
  <c r="P87" i="18"/>
  <c r="R87" i="18" s="1"/>
  <c r="P125" i="18"/>
  <c r="Q125" i="18" s="1"/>
  <c r="P45" i="18"/>
  <c r="R45" i="18" s="1"/>
  <c r="P61" i="18"/>
  <c r="Q61" i="18" s="1"/>
  <c r="P135" i="18"/>
  <c r="Q135" i="18" s="1"/>
  <c r="P95" i="18"/>
  <c r="Q95" i="18" s="1"/>
  <c r="P58" i="18"/>
  <c r="Q58" i="18" s="1"/>
  <c r="P25" i="18"/>
  <c r="R25" i="18" s="1"/>
  <c r="P93" i="18"/>
  <c r="Q93" i="18" s="1"/>
  <c r="P63" i="18"/>
  <c r="Q63" i="18" s="1"/>
  <c r="P215" i="18"/>
  <c r="Q215" i="18" s="1"/>
  <c r="P210" i="18"/>
  <c r="Q210" i="18" s="1"/>
  <c r="P19" i="18"/>
  <c r="Q19" i="18" s="1"/>
  <c r="P52" i="18"/>
  <c r="Q52" i="18" s="1"/>
  <c r="E18" i="20"/>
  <c r="P78" i="18"/>
  <c r="Q78" i="18" s="1"/>
  <c r="L19" i="20"/>
  <c r="I18" i="20"/>
  <c r="P211" i="18"/>
  <c r="Q211" i="18" s="1"/>
  <c r="N18" i="20"/>
  <c r="H18" i="20"/>
  <c r="P20" i="18"/>
  <c r="Q20" i="18" s="1"/>
  <c r="O13" i="66"/>
  <c r="P199" i="18"/>
  <c r="Q199" i="18" s="1"/>
  <c r="P24" i="18"/>
  <c r="Q24" i="18" s="1"/>
  <c r="P47" i="18"/>
  <c r="Q47" i="18" s="1"/>
  <c r="P26" i="18"/>
  <c r="Q26" i="18" s="1"/>
  <c r="P185" i="18"/>
  <c r="Q185" i="18" s="1"/>
  <c r="P53" i="18"/>
  <c r="Q53" i="18" s="1"/>
  <c r="P39" i="18"/>
  <c r="R39" i="18" s="1"/>
  <c r="P182" i="18"/>
  <c r="Q182" i="18" s="1"/>
  <c r="P50" i="18"/>
  <c r="Q50" i="18" s="1"/>
  <c r="P167" i="18"/>
  <c r="Q167" i="18" s="1"/>
  <c r="P179" i="18"/>
  <c r="Q179" i="18" s="1"/>
  <c r="P96" i="18"/>
  <c r="Q96" i="18" s="1"/>
  <c r="P40" i="18"/>
  <c r="P91" i="18"/>
  <c r="Q91" i="18" s="1"/>
  <c r="P154" i="18"/>
  <c r="Q154" i="18" s="1"/>
  <c r="P122" i="18"/>
  <c r="Q122" i="18" s="1"/>
  <c r="P22" i="18"/>
  <c r="Q22" i="18" s="1"/>
  <c r="P137" i="18"/>
  <c r="Q137" i="18" s="1"/>
  <c r="P197" i="18"/>
  <c r="Q197" i="18" s="1"/>
  <c r="P139" i="18"/>
  <c r="Q139" i="18" s="1"/>
  <c r="P62" i="18"/>
  <c r="Q62" i="18" s="1"/>
  <c r="P109" i="18"/>
  <c r="Q109" i="18" s="1"/>
  <c r="P127" i="18"/>
  <c r="Q127" i="18" s="1"/>
  <c r="P112" i="18"/>
  <c r="Q112" i="18" s="1"/>
  <c r="P146" i="18"/>
  <c r="R146" i="18" s="1"/>
  <c r="P166" i="18"/>
  <c r="Q166" i="18" s="1"/>
  <c r="P187" i="18"/>
  <c r="Q187" i="18" s="1"/>
  <c r="P70" i="18"/>
  <c r="Q70" i="18" s="1"/>
  <c r="M18" i="20"/>
  <c r="G18" i="20"/>
  <c r="F18" i="20"/>
  <c r="J18" i="20"/>
  <c r="K18" i="20"/>
  <c r="N19" i="20"/>
  <c r="N23" i="20" s="1"/>
  <c r="H19" i="20"/>
  <c r="I19" i="20"/>
  <c r="I25" i="20" s="1"/>
  <c r="K19" i="20"/>
  <c r="D19" i="20"/>
  <c r="D25" i="20" s="1"/>
  <c r="N15" i="65"/>
  <c r="O15" i="65" s="1"/>
  <c r="N17" i="65"/>
  <c r="N13" i="65"/>
  <c r="O13" i="65" s="1"/>
  <c r="P9" i="18"/>
  <c r="Q9" i="18" s="1"/>
  <c r="P153" i="18"/>
  <c r="Q153" i="18" s="1"/>
  <c r="P190" i="18"/>
  <c r="Q190" i="18" s="1"/>
  <c r="P205" i="18"/>
  <c r="Q205" i="18" s="1"/>
  <c r="H20" i="17"/>
  <c r="E20" i="17"/>
  <c r="P149" i="18"/>
  <c r="Q149" i="18" s="1"/>
  <c r="P188" i="18"/>
  <c r="Q188" i="18" s="1"/>
  <c r="N21" i="65"/>
  <c r="O21" i="65" s="1"/>
  <c r="N19" i="66"/>
  <c r="P10" i="18"/>
  <c r="Q10" i="18" s="1"/>
  <c r="P202" i="18"/>
  <c r="Q202" i="18" s="1"/>
  <c r="P97" i="18"/>
  <c r="Q97" i="18" s="1"/>
  <c r="P113" i="18"/>
  <c r="Q113" i="18" s="1"/>
  <c r="F5" i="21"/>
  <c r="E32" i="16"/>
  <c r="O16" i="20"/>
  <c r="P16" i="20" s="1"/>
  <c r="C7" i="61"/>
  <c r="O14" i="66"/>
  <c r="O21" i="18"/>
  <c r="M17" i="20"/>
  <c r="P173" i="18"/>
  <c r="R173" i="18" s="1"/>
  <c r="P13" i="18"/>
  <c r="Q13" i="18" s="1"/>
  <c r="P115" i="18"/>
  <c r="Q115" i="18" s="1"/>
  <c r="P158" i="18"/>
  <c r="R158" i="18" s="1"/>
  <c r="P174" i="18"/>
  <c r="Q174" i="18" s="1"/>
  <c r="P103" i="18"/>
  <c r="Q103" i="18" s="1"/>
  <c r="P175" i="18"/>
  <c r="Q175" i="18" s="1"/>
  <c r="O13" i="20"/>
  <c r="P13" i="20" s="1"/>
  <c r="E5" i="21"/>
  <c r="E5" i="16"/>
  <c r="E19" i="16" s="1"/>
  <c r="G14" i="56" s="1"/>
  <c r="G19" i="56" s="1"/>
  <c r="E10" i="21"/>
  <c r="C14" i="60"/>
  <c r="C15" i="60" s="1"/>
  <c r="D11" i="60"/>
  <c r="C26" i="60"/>
  <c r="C27" i="60" s="1"/>
  <c r="M15" i="68"/>
  <c r="O8" i="20"/>
  <c r="P8" i="20" s="1"/>
  <c r="O11" i="20"/>
  <c r="P11" i="20" s="1"/>
  <c r="B26" i="68"/>
  <c r="B27" i="68" s="1"/>
  <c r="B20" i="68"/>
  <c r="B21" i="68" s="1"/>
  <c r="B23" i="68"/>
  <c r="B24" i="68" s="1"/>
  <c r="B14" i="68"/>
  <c r="B15" i="68" s="1"/>
  <c r="B12" i="68"/>
  <c r="C11" i="68"/>
  <c r="C23" i="68" s="1"/>
  <c r="C24" i="68" s="1"/>
  <c r="R4" i="94"/>
  <c r="E21" i="81" s="1"/>
  <c r="S4" i="94"/>
  <c r="F17" i="20"/>
  <c r="O9" i="20"/>
  <c r="P9" i="20" s="1"/>
  <c r="G17" i="20"/>
  <c r="C17" i="20"/>
  <c r="M19" i="20"/>
  <c r="I17" i="20"/>
  <c r="O14" i="20"/>
  <c r="P14" i="20" s="1"/>
  <c r="K17" i="20"/>
  <c r="O10" i="20"/>
  <c r="P10" i="20" s="1"/>
  <c r="E17" i="20"/>
  <c r="O5" i="20"/>
  <c r="P5" i="20" s="1"/>
  <c r="O12" i="20"/>
  <c r="P12" i="20" s="1"/>
  <c r="N17" i="20"/>
  <c r="O15" i="20"/>
  <c r="P15" i="20" s="1"/>
  <c r="O6" i="20"/>
  <c r="P6" i="20" s="1"/>
  <c r="H17" i="20"/>
  <c r="D17" i="20"/>
  <c r="F23" i="16"/>
  <c r="E9" i="21"/>
  <c r="E8" i="21"/>
  <c r="P144" i="18"/>
  <c r="Q144" i="18" s="1"/>
  <c r="P189" i="18"/>
  <c r="Q189" i="18" s="1"/>
  <c r="P147" i="18"/>
  <c r="Q147" i="18" s="1"/>
  <c r="P104" i="18"/>
  <c r="Q104" i="18" s="1"/>
  <c r="P160" i="18"/>
  <c r="R160" i="18" s="1"/>
  <c r="P152" i="18"/>
  <c r="Q152" i="18" s="1"/>
  <c r="P191" i="18"/>
  <c r="Q191" i="18" s="1"/>
  <c r="P8" i="18"/>
  <c r="Q8" i="18" s="1"/>
  <c r="P101" i="18"/>
  <c r="R101" i="18" s="1"/>
  <c r="P130" i="18"/>
  <c r="Q130" i="18" s="1"/>
  <c r="P143" i="18"/>
  <c r="Q143" i="18" s="1"/>
  <c r="P116" i="18"/>
  <c r="Q116" i="18" s="1"/>
  <c r="P163" i="18"/>
  <c r="P98" i="18"/>
  <c r="Q98" i="18" s="1"/>
  <c r="P148" i="18"/>
  <c r="Q148" i="18" s="1"/>
  <c r="P99" i="18"/>
  <c r="Q99" i="18" s="1"/>
  <c r="P128" i="18"/>
  <c r="Q128" i="18" s="1"/>
  <c r="P204" i="18"/>
  <c r="Q204" i="18" s="1"/>
  <c r="P129" i="18"/>
  <c r="Q129" i="18" s="1"/>
  <c r="P12" i="18"/>
  <c r="Q12" i="18" s="1"/>
  <c r="P157" i="18"/>
  <c r="Q157" i="18" s="1"/>
  <c r="M14" i="66"/>
  <c r="C7" i="66"/>
  <c r="O23" i="66"/>
  <c r="O12" i="66"/>
  <c r="M12" i="66"/>
  <c r="M19" i="66"/>
  <c r="M18" i="66"/>
  <c r="O15" i="63"/>
  <c r="O22" i="63"/>
  <c r="K20" i="17"/>
  <c r="K4" i="21" s="1"/>
  <c r="O13" i="62"/>
  <c r="O12" i="62"/>
  <c r="O10" i="17"/>
  <c r="P10" i="17" s="1"/>
  <c r="O6" i="17"/>
  <c r="P6" i="17" s="1"/>
  <c r="I21" i="16"/>
  <c r="I20" i="17"/>
  <c r="I21" i="17" s="1"/>
  <c r="P150" i="18"/>
  <c r="Q150" i="18" s="1"/>
  <c r="P102" i="18"/>
  <c r="Q102" i="18" s="1"/>
  <c r="P145" i="18"/>
  <c r="Q145" i="18" s="1"/>
  <c r="P100" i="18"/>
  <c r="Q100" i="18" s="1"/>
  <c r="P176" i="18"/>
  <c r="Q176" i="18" s="1"/>
  <c r="P151" i="18"/>
  <c r="Q151" i="18" s="1"/>
  <c r="P162" i="18"/>
  <c r="Q162" i="18" s="1"/>
  <c r="P172" i="18"/>
  <c r="Q172" i="18" s="1"/>
  <c r="P159" i="18"/>
  <c r="Q159" i="18" s="1"/>
  <c r="P203" i="18"/>
  <c r="R203" i="18" s="1"/>
  <c r="M22" i="59"/>
  <c r="H21" i="18"/>
  <c r="H4" i="18" s="1"/>
  <c r="O5" i="17"/>
  <c r="P5" i="17" s="1"/>
  <c r="O15" i="40"/>
  <c r="M15" i="40"/>
  <c r="O7" i="17"/>
  <c r="P7" i="17" s="1"/>
  <c r="P164" i="18"/>
  <c r="Q164" i="18" s="1"/>
  <c r="P131" i="18"/>
  <c r="R131" i="18" s="1"/>
  <c r="P192" i="18"/>
  <c r="Q192" i="18" s="1"/>
  <c r="O11" i="17"/>
  <c r="P11" i="17" s="1"/>
  <c r="P161" i="18"/>
  <c r="Q161" i="18" s="1"/>
  <c r="O9" i="17"/>
  <c r="P9" i="17" s="1"/>
  <c r="J21" i="20"/>
  <c r="K21" i="20"/>
  <c r="M21" i="66"/>
  <c r="M15" i="63"/>
  <c r="P177" i="18"/>
  <c r="Q177" i="18" s="1"/>
  <c r="L21" i="18"/>
  <c r="L4" i="18" s="1"/>
  <c r="I21" i="18"/>
  <c r="E21" i="18"/>
  <c r="E4" i="18" s="1"/>
  <c r="G21" i="18"/>
  <c r="G4" i="18" s="1"/>
  <c r="N21" i="18"/>
  <c r="J21" i="18"/>
  <c r="K21" i="18"/>
  <c r="K4" i="18" s="1"/>
  <c r="M22" i="69"/>
  <c r="E26" i="16"/>
  <c r="P114" i="18"/>
  <c r="Q114" i="18" s="1"/>
  <c r="F21" i="18"/>
  <c r="F4" i="18" s="1"/>
  <c r="M17" i="60"/>
  <c r="M19" i="65"/>
  <c r="D21" i="18"/>
  <c r="E29" i="16"/>
  <c r="M12" i="62"/>
  <c r="M14" i="65"/>
  <c r="M13" i="66"/>
  <c r="M23" i="66"/>
  <c r="I5" i="18"/>
  <c r="D5" i="18"/>
  <c r="C20" i="17"/>
  <c r="E13" i="56" s="1"/>
  <c r="M20" i="17"/>
  <c r="M21" i="17" s="1"/>
  <c r="F20" i="17"/>
  <c r="H13" i="56" s="1"/>
  <c r="L20" i="17"/>
  <c r="L19" i="17" s="1"/>
  <c r="L22" i="17" s="1"/>
  <c r="D20" i="17"/>
  <c r="J20" i="17"/>
  <c r="J19" i="17" s="1"/>
  <c r="J22" i="17" s="1"/>
  <c r="J23" i="17" s="1"/>
  <c r="E19" i="17"/>
  <c r="E22" i="17" s="1"/>
  <c r="E23" i="17" s="1"/>
  <c r="E4" i="21"/>
  <c r="N20" i="17"/>
  <c r="N4" i="21" s="1"/>
  <c r="O4" i="17"/>
  <c r="P4" i="17" s="1"/>
  <c r="I13" i="56"/>
  <c r="G13" i="56"/>
  <c r="H13" i="21"/>
  <c r="N11" i="21"/>
  <c r="F5" i="16"/>
  <c r="F30" i="16" s="1"/>
  <c r="M21" i="65"/>
  <c r="O18" i="17"/>
  <c r="P18" i="17" s="1"/>
  <c r="M22" i="63"/>
  <c r="M18" i="62"/>
  <c r="O23" i="62"/>
  <c r="J15" i="16"/>
  <c r="J16" i="21" s="1"/>
  <c r="J9" i="16"/>
  <c r="J23" i="16" s="1"/>
  <c r="M17" i="62"/>
  <c r="M13" i="62"/>
  <c r="O18" i="62"/>
  <c r="J17" i="20"/>
  <c r="O17" i="62"/>
  <c r="J8" i="16"/>
  <c r="J9" i="21" s="1"/>
  <c r="J16" i="16"/>
  <c r="J17" i="21" s="1"/>
  <c r="J12" i="16"/>
  <c r="M23" i="62"/>
  <c r="J7" i="16"/>
  <c r="J21" i="16" s="1"/>
  <c r="C6" i="62"/>
  <c r="C7" i="62" s="1"/>
  <c r="I10" i="21"/>
  <c r="O21" i="61"/>
  <c r="O16" i="61"/>
  <c r="M21" i="61"/>
  <c r="B26" i="61"/>
  <c r="B27" i="61" s="1"/>
  <c r="B20" i="61"/>
  <c r="B21" i="61" s="1"/>
  <c r="B14" i="61"/>
  <c r="B15" i="61" s="1"/>
  <c r="B12" i="61"/>
  <c r="B17" i="61"/>
  <c r="B18" i="61" s="1"/>
  <c r="C11" i="61"/>
  <c r="K15" i="56"/>
  <c r="I5" i="21"/>
  <c r="I9" i="21"/>
  <c r="I22" i="16"/>
  <c r="O17" i="61"/>
  <c r="I5" i="16"/>
  <c r="I26" i="16" s="1"/>
  <c r="I7" i="21"/>
  <c r="I20" i="16"/>
  <c r="M13" i="61"/>
  <c r="I24" i="16"/>
  <c r="I11" i="21"/>
  <c r="M16" i="61"/>
  <c r="M17" i="61"/>
  <c r="O13" i="61"/>
  <c r="I12" i="21"/>
  <c r="N18" i="61"/>
  <c r="O18" i="61" s="1"/>
  <c r="O13" i="60"/>
  <c r="H11" i="21"/>
  <c r="H24" i="16"/>
  <c r="H10" i="21"/>
  <c r="H23" i="16"/>
  <c r="H5" i="21"/>
  <c r="J15" i="56"/>
  <c r="H32" i="16"/>
  <c r="H19" i="21"/>
  <c r="H5" i="16"/>
  <c r="H30" i="16" s="1"/>
  <c r="H7" i="21"/>
  <c r="C12" i="60"/>
  <c r="C20" i="60"/>
  <c r="C21" i="60" s="1"/>
  <c r="H8" i="21"/>
  <c r="H21" i="16"/>
  <c r="M13" i="60"/>
  <c r="P142" i="18"/>
  <c r="Q142" i="18" s="1"/>
  <c r="K20" i="20"/>
  <c r="C20" i="66"/>
  <c r="C21" i="66" s="1"/>
  <c r="C12" i="66"/>
  <c r="C14" i="66"/>
  <c r="C15" i="66" s="1"/>
  <c r="C17" i="66"/>
  <c r="C18" i="66" s="1"/>
  <c r="D11" i="66"/>
  <c r="C26" i="66"/>
  <c r="C27" i="66" s="1"/>
  <c r="C23" i="66"/>
  <c r="C24" i="66" s="1"/>
  <c r="M15" i="64"/>
  <c r="O15" i="64"/>
  <c r="C14" i="64"/>
  <c r="C15" i="64" s="1"/>
  <c r="C17" i="64"/>
  <c r="C18" i="64" s="1"/>
  <c r="C26" i="64"/>
  <c r="C27" i="64" s="1"/>
  <c r="C20" i="64"/>
  <c r="C21" i="64" s="1"/>
  <c r="D11" i="64"/>
  <c r="C23" i="64"/>
  <c r="C24" i="64" s="1"/>
  <c r="C12" i="64"/>
  <c r="O18" i="64"/>
  <c r="C12" i="63"/>
  <c r="C14" i="63"/>
  <c r="C15" i="63" s="1"/>
  <c r="C17" i="63"/>
  <c r="C18" i="63" s="1"/>
  <c r="C26" i="63"/>
  <c r="C27" i="63" s="1"/>
  <c r="C20" i="63"/>
  <c r="C21" i="63" s="1"/>
  <c r="D11" i="63"/>
  <c r="C23" i="63"/>
  <c r="C24" i="63" s="1"/>
  <c r="O21" i="64"/>
  <c r="O22" i="64"/>
  <c r="K12" i="16"/>
  <c r="K16" i="16"/>
  <c r="K14" i="16"/>
  <c r="K6" i="16"/>
  <c r="K4" i="16"/>
  <c r="K11" i="16"/>
  <c r="K15" i="16"/>
  <c r="K17" i="16"/>
  <c r="K18" i="16"/>
  <c r="K10" i="16"/>
  <c r="C6" i="63"/>
  <c r="C7" i="63" s="1"/>
  <c r="K9" i="16"/>
  <c r="K8" i="16"/>
  <c r="K13" i="16"/>
  <c r="K7" i="16"/>
  <c r="J19" i="21"/>
  <c r="J14" i="21"/>
  <c r="J18" i="21"/>
  <c r="J24" i="16"/>
  <c r="J11" i="21"/>
  <c r="L15" i="56"/>
  <c r="J5" i="21"/>
  <c r="J15" i="21"/>
  <c r="J12" i="21"/>
  <c r="J7" i="21"/>
  <c r="C26" i="62"/>
  <c r="C27" i="62" s="1"/>
  <c r="C12" i="62"/>
  <c r="C20" i="62"/>
  <c r="C21" i="62" s="1"/>
  <c r="C14" i="62"/>
  <c r="C15" i="62" s="1"/>
  <c r="D11" i="62"/>
  <c r="C17" i="62"/>
  <c r="C18" i="62" s="1"/>
  <c r="C23" i="62"/>
  <c r="C24" i="62" s="1"/>
  <c r="M12" i="61"/>
  <c r="D26" i="60"/>
  <c r="D27" i="60" s="1"/>
  <c r="E11" i="60"/>
  <c r="D20" i="60"/>
  <c r="D21" i="60" s="1"/>
  <c r="D23" i="60"/>
  <c r="D24" i="60" s="1"/>
  <c r="D17" i="60"/>
  <c r="D18" i="60" s="1"/>
  <c r="D14" i="60"/>
  <c r="D15" i="60" s="1"/>
  <c r="D12" i="60"/>
  <c r="O17" i="60"/>
  <c r="M15" i="60"/>
  <c r="O12" i="60"/>
  <c r="G16" i="21"/>
  <c r="G19" i="21"/>
  <c r="G32" i="16"/>
  <c r="G15" i="21"/>
  <c r="G5" i="21"/>
  <c r="I15" i="56"/>
  <c r="O22" i="59"/>
  <c r="G7" i="21"/>
  <c r="G5" i="16"/>
  <c r="G31" i="16" s="1"/>
  <c r="G18" i="21"/>
  <c r="G14" i="21"/>
  <c r="G8" i="21"/>
  <c r="G21" i="16"/>
  <c r="O14" i="59"/>
  <c r="G24" i="16"/>
  <c r="G11" i="21"/>
  <c r="D12" i="59"/>
  <c r="E11" i="59"/>
  <c r="D17" i="59"/>
  <c r="D18" i="59" s="1"/>
  <c r="D14" i="59"/>
  <c r="D15" i="59" s="1"/>
  <c r="D20" i="59"/>
  <c r="D21" i="59" s="1"/>
  <c r="D23" i="59"/>
  <c r="D24" i="59" s="1"/>
  <c r="D26" i="59"/>
  <c r="D27" i="59" s="1"/>
  <c r="G23" i="16"/>
  <c r="G10" i="21"/>
  <c r="G22" i="16"/>
  <c r="G9" i="21"/>
  <c r="M14" i="59"/>
  <c r="G17" i="21"/>
  <c r="G13" i="21"/>
  <c r="G26" i="16"/>
  <c r="F14" i="21"/>
  <c r="F32" i="16"/>
  <c r="F19" i="21"/>
  <c r="F22" i="16"/>
  <c r="F9" i="21"/>
  <c r="F17" i="21"/>
  <c r="C20" i="40"/>
  <c r="C21" i="40" s="1"/>
  <c r="C23" i="40"/>
  <c r="C24" i="40" s="1"/>
  <c r="C26" i="40"/>
  <c r="C27" i="40" s="1"/>
  <c r="C12" i="40"/>
  <c r="D11" i="40"/>
  <c r="C14" i="40"/>
  <c r="C15" i="40" s="1"/>
  <c r="C17" i="40"/>
  <c r="C18" i="40" s="1"/>
  <c r="F18" i="21"/>
  <c r="M18" i="40"/>
  <c r="F26" i="16"/>
  <c r="F13" i="21"/>
  <c r="F21" i="16"/>
  <c r="F8" i="21"/>
  <c r="O18" i="40"/>
  <c r="F16" i="21"/>
  <c r="F12" i="21"/>
  <c r="F15" i="21"/>
  <c r="M12" i="69"/>
  <c r="O22" i="69"/>
  <c r="E30" i="16"/>
  <c r="E6" i="21"/>
  <c r="E27" i="16"/>
  <c r="E28" i="16"/>
  <c r="E31" i="16"/>
  <c r="E25" i="16"/>
  <c r="E24" i="16"/>
  <c r="E20" i="16"/>
  <c r="O12" i="69"/>
  <c r="C12" i="69"/>
  <c r="C17" i="69"/>
  <c r="C18" i="69" s="1"/>
  <c r="C14" i="69"/>
  <c r="C15" i="69" s="1"/>
  <c r="C26" i="69"/>
  <c r="C27" i="69" s="1"/>
  <c r="D11" i="69"/>
  <c r="C23" i="69"/>
  <c r="C24" i="69" s="1"/>
  <c r="C20" i="69"/>
  <c r="C21" i="69" s="1"/>
  <c r="N15" i="69"/>
  <c r="O15" i="69" s="1"/>
  <c r="O15" i="68"/>
  <c r="M12" i="68"/>
  <c r="D13" i="21"/>
  <c r="D32" i="16"/>
  <c r="D8" i="21"/>
  <c r="D5" i="16"/>
  <c r="D25" i="16" s="1"/>
  <c r="D24" i="16"/>
  <c r="D10" i="21"/>
  <c r="D23" i="16"/>
  <c r="D5" i="21"/>
  <c r="O12" i="68"/>
  <c r="D21" i="17"/>
  <c r="M15" i="67"/>
  <c r="B17" i="67"/>
  <c r="B18" i="67" s="1"/>
  <c r="B14" i="67"/>
  <c r="B15" i="67" s="1"/>
  <c r="B26" i="67"/>
  <c r="B27" i="67" s="1"/>
  <c r="O4" i="20"/>
  <c r="P4" i="20" s="1"/>
  <c r="B23" i="67"/>
  <c r="B24" i="67" s="1"/>
  <c r="B20" i="67"/>
  <c r="B21" i="67" s="1"/>
  <c r="B12" i="67"/>
  <c r="M11" i="67"/>
  <c r="C5" i="21"/>
  <c r="E15" i="56"/>
  <c r="C14" i="21"/>
  <c r="C10" i="21"/>
  <c r="P11" i="18"/>
  <c r="Q11" i="18" s="1"/>
  <c r="C13" i="21"/>
  <c r="C8" i="21"/>
  <c r="C32" i="16"/>
  <c r="C19" i="21"/>
  <c r="C11" i="21"/>
  <c r="C24" i="16"/>
  <c r="C7" i="21"/>
  <c r="C5" i="16"/>
  <c r="C30" i="16" s="1"/>
  <c r="D11" i="67"/>
  <c r="C23" i="67"/>
  <c r="C24" i="67" s="1"/>
  <c r="C26" i="67"/>
  <c r="C27" i="67" s="1"/>
  <c r="C17" i="67"/>
  <c r="C18" i="67" s="1"/>
  <c r="C14" i="67"/>
  <c r="C15" i="67" s="1"/>
  <c r="C12" i="67"/>
  <c r="C20" i="67"/>
  <c r="C21" i="67" s="1"/>
  <c r="O19" i="66"/>
  <c r="O18" i="66"/>
  <c r="N21" i="17"/>
  <c r="O21" i="66"/>
  <c r="N19" i="21"/>
  <c r="N14" i="21"/>
  <c r="N5" i="16"/>
  <c r="N25" i="16" s="1"/>
  <c r="N5" i="21"/>
  <c r="N10" i="21"/>
  <c r="N9" i="21"/>
  <c r="N22" i="16"/>
  <c r="N18" i="21"/>
  <c r="N8" i="21"/>
  <c r="N12" i="21"/>
  <c r="N16" i="21"/>
  <c r="N20" i="16"/>
  <c r="N7" i="21"/>
  <c r="M11" i="65"/>
  <c r="C14" i="65"/>
  <c r="C15" i="65" s="1"/>
  <c r="C17" i="65"/>
  <c r="C18" i="65" s="1"/>
  <c r="C26" i="65"/>
  <c r="C27" i="65" s="1"/>
  <c r="C20" i="65"/>
  <c r="C21" i="65" s="1"/>
  <c r="D11" i="65"/>
  <c r="C23" i="65"/>
  <c r="C24" i="65" s="1"/>
  <c r="C12" i="65"/>
  <c r="M18" i="65"/>
  <c r="O18" i="65"/>
  <c r="R37" i="18"/>
  <c r="N20" i="66"/>
  <c r="O20" i="66" s="1"/>
  <c r="N17" i="66"/>
  <c r="O17" i="66" s="1"/>
  <c r="O19" i="65"/>
  <c r="O17" i="65"/>
  <c r="Q57" i="18"/>
  <c r="Q40" i="18"/>
  <c r="M17" i="65"/>
  <c r="N16" i="66"/>
  <c r="O16" i="66" s="1"/>
  <c r="O14" i="65"/>
  <c r="R84" i="18"/>
  <c r="M10" i="21"/>
  <c r="M14" i="21"/>
  <c r="M5" i="21"/>
  <c r="M8" i="21"/>
  <c r="M24" i="16"/>
  <c r="M5" i="16"/>
  <c r="M19" i="16" s="1"/>
  <c r="O14" i="56" s="1"/>
  <c r="M19" i="21"/>
  <c r="M22" i="16"/>
  <c r="M13" i="21"/>
  <c r="M17" i="21"/>
  <c r="M25" i="16"/>
  <c r="Q212" i="18"/>
  <c r="R85" i="18"/>
  <c r="Q71" i="18"/>
  <c r="Q42" i="18"/>
  <c r="Q146" i="18"/>
  <c r="Q88" i="18"/>
  <c r="Q25" i="18"/>
  <c r="N16" i="65"/>
  <c r="O16" i="65" s="1"/>
  <c r="O23" i="64"/>
  <c r="M23" i="64"/>
  <c r="M12" i="64"/>
  <c r="M18" i="64"/>
  <c r="O12" i="64"/>
  <c r="M21" i="64"/>
  <c r="M14" i="64"/>
  <c r="O14" i="64"/>
  <c r="M16" i="64"/>
  <c r="O16" i="64"/>
  <c r="M22" i="64"/>
  <c r="N22" i="65"/>
  <c r="O22" i="65" s="1"/>
  <c r="L21" i="17"/>
  <c r="N4" i="18" l="1"/>
  <c r="R83" i="18"/>
  <c r="H25" i="20"/>
  <c r="Q44" i="18"/>
  <c r="R56" i="18"/>
  <c r="Q68" i="18"/>
  <c r="Q43" i="18"/>
  <c r="R69" i="18"/>
  <c r="R67" i="18"/>
  <c r="R70" i="18"/>
  <c r="Q45" i="18"/>
  <c r="F25" i="20"/>
  <c r="J25" i="20"/>
  <c r="E24" i="20"/>
  <c r="E26" i="20" s="1"/>
  <c r="E25" i="20"/>
  <c r="F23" i="20"/>
  <c r="F26" i="20" s="1"/>
  <c r="E23" i="81"/>
  <c r="F22" i="81" s="1"/>
  <c r="O4" i="18"/>
  <c r="Q39" i="18"/>
  <c r="G25" i="20"/>
  <c r="G23" i="20"/>
  <c r="G26" i="20" s="1"/>
  <c r="F22" i="20"/>
  <c r="G22" i="20"/>
  <c r="C21" i="17"/>
  <c r="M4" i="21"/>
  <c r="G19" i="17"/>
  <c r="G22" i="17" s="1"/>
  <c r="G23" i="17" s="1"/>
  <c r="J4" i="18"/>
  <c r="Q87" i="18"/>
  <c r="K19" i="17"/>
  <c r="K22" i="17" s="1"/>
  <c r="K23" i="17" s="1"/>
  <c r="M13" i="56"/>
  <c r="I22" i="20"/>
  <c r="E22" i="20"/>
  <c r="K13" i="56"/>
  <c r="N22" i="20"/>
  <c r="R153" i="18"/>
  <c r="L4" i="21"/>
  <c r="P5" i="18"/>
  <c r="Q5" i="18" s="1"/>
  <c r="N24" i="20"/>
  <c r="N25" i="20"/>
  <c r="I23" i="20"/>
  <c r="H24" i="20"/>
  <c r="O18" i="20"/>
  <c r="P18" i="20" s="1"/>
  <c r="D23" i="20"/>
  <c r="H23" i="20"/>
  <c r="D22" i="20"/>
  <c r="D24" i="20"/>
  <c r="H22" i="20"/>
  <c r="I24" i="20"/>
  <c r="J13" i="56"/>
  <c r="H19" i="17"/>
  <c r="H22" i="17" s="1"/>
  <c r="H23" i="17" s="1"/>
  <c r="H4" i="21"/>
  <c r="K25" i="20"/>
  <c r="Q173" i="18"/>
  <c r="M22" i="20"/>
  <c r="M23" i="20"/>
  <c r="M25" i="20"/>
  <c r="M24" i="20"/>
  <c r="K23" i="20"/>
  <c r="K24" i="20"/>
  <c r="Q158" i="18"/>
  <c r="J23" i="20"/>
  <c r="J24" i="20"/>
  <c r="R13" i="18"/>
  <c r="G17" i="56"/>
  <c r="G18" i="56" s="1"/>
  <c r="G16" i="56"/>
  <c r="G20" i="56" s="1"/>
  <c r="C14" i="68"/>
  <c r="C15" i="68" s="1"/>
  <c r="C17" i="68"/>
  <c r="C18" i="68" s="1"/>
  <c r="D11" i="68"/>
  <c r="D17" i="68" s="1"/>
  <c r="D18" i="68" s="1"/>
  <c r="C26" i="68"/>
  <c r="C27" i="68" s="1"/>
  <c r="C20" i="68"/>
  <c r="C21" i="68" s="1"/>
  <c r="C12" i="68"/>
  <c r="O19" i="20"/>
  <c r="P19" i="20" s="1"/>
  <c r="C24" i="20"/>
  <c r="C23" i="20"/>
  <c r="C25" i="20"/>
  <c r="C22" i="20"/>
  <c r="D21" i="16"/>
  <c r="K22" i="20"/>
  <c r="J22" i="20"/>
  <c r="C26" i="16"/>
  <c r="Q160" i="18"/>
  <c r="C19" i="17"/>
  <c r="C22" i="17" s="1"/>
  <c r="C4" i="21"/>
  <c r="C21" i="16"/>
  <c r="R129" i="18"/>
  <c r="Q101" i="18"/>
  <c r="R147" i="18"/>
  <c r="R152" i="18"/>
  <c r="R116" i="18"/>
  <c r="Q163" i="18"/>
  <c r="O13" i="56"/>
  <c r="O17" i="56" s="1"/>
  <c r="O18" i="56" s="1"/>
  <c r="M19" i="17"/>
  <c r="M22" i="17" s="1"/>
  <c r="M23" i="17" s="1"/>
  <c r="R150" i="18"/>
  <c r="L13" i="56"/>
  <c r="I19" i="17"/>
  <c r="I22" i="17" s="1"/>
  <c r="I23" i="17" s="1"/>
  <c r="I4" i="21"/>
  <c r="R145" i="18"/>
  <c r="R159" i="18"/>
  <c r="R151" i="18"/>
  <c r="Q203" i="18"/>
  <c r="R114" i="18"/>
  <c r="F19" i="17"/>
  <c r="F22" i="17" s="1"/>
  <c r="F23" i="17" s="1"/>
  <c r="F4" i="21"/>
  <c r="Q131" i="18"/>
  <c r="R177" i="18"/>
  <c r="F6" i="21"/>
  <c r="G30" i="16"/>
  <c r="I4" i="18"/>
  <c r="C27" i="16"/>
  <c r="G29" i="16"/>
  <c r="G27" i="16"/>
  <c r="F27" i="16"/>
  <c r="F29" i="16"/>
  <c r="D27" i="16"/>
  <c r="G28" i="16"/>
  <c r="M27" i="16"/>
  <c r="H26" i="16"/>
  <c r="D4" i="18"/>
  <c r="G19" i="16"/>
  <c r="I14" i="56" s="1"/>
  <c r="I19" i="56" s="1"/>
  <c r="N19" i="17"/>
  <c r="N22" i="17" s="1"/>
  <c r="N23" i="17" s="1"/>
  <c r="P13" i="56"/>
  <c r="J4" i="21"/>
  <c r="N13" i="56"/>
  <c r="F13" i="56"/>
  <c r="D19" i="17"/>
  <c r="D22" i="17" s="1"/>
  <c r="D23" i="17" s="1"/>
  <c r="O20" i="17"/>
  <c r="P20" i="17" s="1"/>
  <c r="D4" i="21"/>
  <c r="E20" i="21"/>
  <c r="F31" i="16"/>
  <c r="F24" i="16"/>
  <c r="F28" i="16"/>
  <c r="F20" i="16"/>
  <c r="F19" i="16"/>
  <c r="H14" i="56" s="1"/>
  <c r="H17" i="56" s="1"/>
  <c r="H18" i="56" s="1"/>
  <c r="F25" i="16"/>
  <c r="H16" i="56"/>
  <c r="J10" i="21"/>
  <c r="J5" i="16"/>
  <c r="J26" i="16"/>
  <c r="J13" i="21"/>
  <c r="J8" i="21"/>
  <c r="D11" i="61"/>
  <c r="C20" i="61"/>
  <c r="C21" i="61" s="1"/>
  <c r="C17" i="61"/>
  <c r="C18" i="61" s="1"/>
  <c r="C12" i="61"/>
  <c r="C14" i="61"/>
  <c r="C15" i="61" s="1"/>
  <c r="C23" i="61"/>
  <c r="C24" i="61" s="1"/>
  <c r="C26" i="61"/>
  <c r="C27" i="61" s="1"/>
  <c r="I19" i="16"/>
  <c r="K14" i="56" s="1"/>
  <c r="I28" i="16"/>
  <c r="K16" i="56"/>
  <c r="I30" i="16"/>
  <c r="I6" i="21"/>
  <c r="I29" i="16"/>
  <c r="I27" i="16"/>
  <c r="I25" i="16"/>
  <c r="I32" i="16"/>
  <c r="I31" i="16"/>
  <c r="H20" i="16"/>
  <c r="H6" i="21"/>
  <c r="H27" i="16"/>
  <c r="J16" i="56"/>
  <c r="H25" i="16"/>
  <c r="H28" i="16"/>
  <c r="H19" i="16"/>
  <c r="J14" i="56" s="1"/>
  <c r="H31" i="16"/>
  <c r="H29" i="16"/>
  <c r="H22" i="16"/>
  <c r="D20" i="66"/>
  <c r="D21" i="66" s="1"/>
  <c r="D12" i="66"/>
  <c r="D14" i="66"/>
  <c r="D15" i="66" s="1"/>
  <c r="D17" i="66"/>
  <c r="D18" i="66" s="1"/>
  <c r="D26" i="66"/>
  <c r="D27" i="66" s="1"/>
  <c r="E11" i="66"/>
  <c r="D23" i="66"/>
  <c r="D24" i="66" s="1"/>
  <c r="D14" i="64"/>
  <c r="D15" i="64" s="1"/>
  <c r="D17" i="64"/>
  <c r="D18" i="64" s="1"/>
  <c r="D26" i="64"/>
  <c r="D27" i="64" s="1"/>
  <c r="D20" i="64"/>
  <c r="D21" i="64" s="1"/>
  <c r="E11" i="64"/>
  <c r="D23" i="64"/>
  <c r="D24" i="64" s="1"/>
  <c r="D12" i="64"/>
  <c r="K23" i="16"/>
  <c r="K10" i="21"/>
  <c r="K14" i="21"/>
  <c r="K22" i="16"/>
  <c r="K9" i="21"/>
  <c r="K24" i="16"/>
  <c r="K11" i="21"/>
  <c r="K32" i="16"/>
  <c r="K19" i="21"/>
  <c r="K18" i="21"/>
  <c r="K16" i="21"/>
  <c r="K12" i="21"/>
  <c r="E11" i="63"/>
  <c r="D23" i="63"/>
  <c r="D24" i="63" s="1"/>
  <c r="D12" i="63"/>
  <c r="D14" i="63"/>
  <c r="D15" i="63" s="1"/>
  <c r="D17" i="63"/>
  <c r="D18" i="63" s="1"/>
  <c r="D26" i="63"/>
  <c r="D27" i="63" s="1"/>
  <c r="D20" i="63"/>
  <c r="D21" i="63" s="1"/>
  <c r="M15" i="56"/>
  <c r="K5" i="21"/>
  <c r="K5" i="16"/>
  <c r="K29" i="16" s="1"/>
  <c r="K7" i="21"/>
  <c r="K15" i="21"/>
  <c r="K8" i="21"/>
  <c r="K21" i="16"/>
  <c r="K17" i="21"/>
  <c r="K13" i="21"/>
  <c r="J25" i="16"/>
  <c r="D26" i="62"/>
  <c r="D27" i="62" s="1"/>
  <c r="D20" i="62"/>
  <c r="D21" i="62" s="1"/>
  <c r="D14" i="62"/>
  <c r="D15" i="62" s="1"/>
  <c r="D17" i="62"/>
  <c r="D18" i="62" s="1"/>
  <c r="E11" i="62"/>
  <c r="D23" i="62"/>
  <c r="D24" i="62" s="1"/>
  <c r="D12" i="62"/>
  <c r="E23" i="60"/>
  <c r="E24" i="60" s="1"/>
  <c r="E20" i="60"/>
  <c r="E21" i="60" s="1"/>
  <c r="E17" i="60"/>
  <c r="E18" i="60" s="1"/>
  <c r="E14" i="60"/>
  <c r="E15" i="60" s="1"/>
  <c r="E12" i="60"/>
  <c r="F11" i="60"/>
  <c r="E26" i="60"/>
  <c r="E27" i="60" s="1"/>
  <c r="G6" i="21"/>
  <c r="G20" i="21" s="1"/>
  <c r="I16" i="56"/>
  <c r="G25" i="16"/>
  <c r="E23" i="59"/>
  <c r="E24" i="59" s="1"/>
  <c r="F11" i="59"/>
  <c r="E14" i="59"/>
  <c r="E15" i="59" s="1"/>
  <c r="E17" i="59"/>
  <c r="E18" i="59" s="1"/>
  <c r="E26" i="59"/>
  <c r="E27" i="59" s="1"/>
  <c r="E20" i="59"/>
  <c r="E21" i="59" s="1"/>
  <c r="E12" i="59"/>
  <c r="G20" i="16"/>
  <c r="D23" i="40"/>
  <c r="D24" i="40" s="1"/>
  <c r="E11" i="40"/>
  <c r="D14" i="40"/>
  <c r="D15" i="40" s="1"/>
  <c r="D17" i="40"/>
  <c r="D18" i="40" s="1"/>
  <c r="D12" i="40"/>
  <c r="D20" i="40"/>
  <c r="D21" i="40" s="1"/>
  <c r="D26" i="40"/>
  <c r="D27" i="40" s="1"/>
  <c r="E33" i="16"/>
  <c r="D12" i="69"/>
  <c r="E11" i="69"/>
  <c r="D26" i="69"/>
  <c r="D27" i="69" s="1"/>
  <c r="D17" i="69"/>
  <c r="D18" i="69" s="1"/>
  <c r="D20" i="69"/>
  <c r="D21" i="69" s="1"/>
  <c r="D23" i="69"/>
  <c r="D24" i="69" s="1"/>
  <c r="D14" i="69"/>
  <c r="D15" i="69" s="1"/>
  <c r="G21" i="56"/>
  <c r="D28" i="16"/>
  <c r="D19" i="16"/>
  <c r="F14" i="56" s="1"/>
  <c r="F19" i="56" s="1"/>
  <c r="D29" i="16"/>
  <c r="F16" i="56"/>
  <c r="D30" i="16"/>
  <c r="D20" i="16"/>
  <c r="D31" i="16"/>
  <c r="D22" i="16"/>
  <c r="D6" i="21"/>
  <c r="E11" i="68"/>
  <c r="D20" i="68"/>
  <c r="D21" i="68" s="1"/>
  <c r="D12" i="68"/>
  <c r="D14" i="68"/>
  <c r="D15" i="68" s="1"/>
  <c r="D26" i="68"/>
  <c r="D27" i="68" s="1"/>
  <c r="C22" i="16"/>
  <c r="C29" i="16"/>
  <c r="C25" i="16"/>
  <c r="C19" i="16"/>
  <c r="E14" i="56" s="1"/>
  <c r="C31" i="16"/>
  <c r="C20" i="16"/>
  <c r="C6" i="21"/>
  <c r="E16" i="56"/>
  <c r="C28" i="16"/>
  <c r="D20" i="67"/>
  <c r="D21" i="67" s="1"/>
  <c r="D26" i="67"/>
  <c r="D27" i="67" s="1"/>
  <c r="D23" i="67"/>
  <c r="D24" i="67" s="1"/>
  <c r="D14" i="67"/>
  <c r="D15" i="67" s="1"/>
  <c r="D17" i="67"/>
  <c r="D18" i="67" s="1"/>
  <c r="E11" i="67"/>
  <c r="D12" i="67"/>
  <c r="N6" i="21"/>
  <c r="N20" i="21" s="1"/>
  <c r="N28" i="16"/>
  <c r="N26" i="16"/>
  <c r="N27" i="16"/>
  <c r="N31" i="16"/>
  <c r="N29" i="16"/>
  <c r="P16" i="56"/>
  <c r="N19" i="16"/>
  <c r="P14" i="56" s="1"/>
  <c r="P19" i="56" s="1"/>
  <c r="N30" i="16"/>
  <c r="M26" i="16"/>
  <c r="M20" i="16"/>
  <c r="D14" i="65"/>
  <c r="D15" i="65" s="1"/>
  <c r="D17" i="65"/>
  <c r="D18" i="65" s="1"/>
  <c r="D26" i="65"/>
  <c r="D27" i="65" s="1"/>
  <c r="D20" i="65"/>
  <c r="D21" i="65" s="1"/>
  <c r="E11" i="65"/>
  <c r="D23" i="65"/>
  <c r="D24" i="65" s="1"/>
  <c r="D12" i="65"/>
  <c r="M30" i="16"/>
  <c r="M28" i="16"/>
  <c r="O19" i="56"/>
  <c r="M6" i="21"/>
  <c r="M20" i="21" s="1"/>
  <c r="O16" i="56"/>
  <c r="O20" i="56" s="1"/>
  <c r="M31" i="16"/>
  <c r="M29" i="16"/>
  <c r="R19" i="18"/>
  <c r="R14" i="18"/>
  <c r="R15" i="18"/>
  <c r="R16" i="18"/>
  <c r="R20" i="18"/>
  <c r="R18" i="18"/>
  <c r="R17" i="18"/>
  <c r="L23" i="17"/>
  <c r="R6" i="18"/>
  <c r="R10" i="18"/>
  <c r="R8" i="18"/>
  <c r="R11" i="18"/>
  <c r="R12" i="18"/>
  <c r="R7" i="18"/>
  <c r="R9" i="18"/>
  <c r="C23" i="17" l="1"/>
  <c r="F21" i="81"/>
  <c r="F23" i="81" s="1"/>
  <c r="N26" i="20"/>
  <c r="O21" i="17"/>
  <c r="C20" i="21"/>
  <c r="H20" i="21"/>
  <c r="H26" i="20"/>
  <c r="I26" i="20"/>
  <c r="F20" i="21"/>
  <c r="Q13" i="56"/>
  <c r="D26" i="20"/>
  <c r="M26" i="20"/>
  <c r="D23" i="68"/>
  <c r="D24" i="68" s="1"/>
  <c r="I20" i="21"/>
  <c r="R13" i="56"/>
  <c r="O4" i="21"/>
  <c r="P4" i="21" s="1"/>
  <c r="I17" i="56"/>
  <c r="I18" i="56" s="1"/>
  <c r="I20" i="56"/>
  <c r="I21" i="56" s="1"/>
  <c r="K27" i="16"/>
  <c r="J32" i="16"/>
  <c r="J27" i="16"/>
  <c r="J20" i="16"/>
  <c r="H20" i="56"/>
  <c r="J6" i="21"/>
  <c r="J20" i="21" s="1"/>
  <c r="F33" i="16"/>
  <c r="H19" i="56"/>
  <c r="F20" i="56"/>
  <c r="F21" i="56" s="1"/>
  <c r="O19" i="17"/>
  <c r="O22" i="17" s="1"/>
  <c r="O23" i="17" s="1"/>
  <c r="D20" i="21"/>
  <c r="K26" i="20"/>
  <c r="J29" i="16"/>
  <c r="J19" i="16"/>
  <c r="L14" i="56" s="1"/>
  <c r="L17" i="56" s="1"/>
  <c r="L18" i="56" s="1"/>
  <c r="J30" i="16"/>
  <c r="J31" i="16"/>
  <c r="J22" i="16"/>
  <c r="J28" i="16"/>
  <c r="L16" i="56"/>
  <c r="I33" i="16"/>
  <c r="D20" i="61"/>
  <c r="D21" i="61" s="1"/>
  <c r="D17" i="61"/>
  <c r="D18" i="61" s="1"/>
  <c r="D26" i="61"/>
  <c r="D27" i="61" s="1"/>
  <c r="E11" i="61"/>
  <c r="D12" i="61"/>
  <c r="D23" i="61"/>
  <c r="D24" i="61" s="1"/>
  <c r="D14" i="61"/>
  <c r="D15" i="61" s="1"/>
  <c r="K19" i="56"/>
  <c r="K20" i="56"/>
  <c r="K17" i="56"/>
  <c r="K18" i="56" s="1"/>
  <c r="J20" i="56"/>
  <c r="J17" i="56"/>
  <c r="J18" i="56" s="1"/>
  <c r="J19" i="56"/>
  <c r="H33" i="16"/>
  <c r="K26" i="16"/>
  <c r="K30" i="16"/>
  <c r="K25" i="16"/>
  <c r="K28" i="16"/>
  <c r="K20" i="16"/>
  <c r="F11" i="66"/>
  <c r="E17" i="66"/>
  <c r="E18" i="66" s="1"/>
  <c r="E20" i="66"/>
  <c r="E21" i="66" s="1"/>
  <c r="E14" i="66"/>
  <c r="E15" i="66" s="1"/>
  <c r="E12" i="66"/>
  <c r="E26" i="66"/>
  <c r="E27" i="66" s="1"/>
  <c r="E23" i="66"/>
  <c r="E24" i="66" s="1"/>
  <c r="E14" i="64"/>
  <c r="E15" i="64" s="1"/>
  <c r="E17" i="64"/>
  <c r="E18" i="64" s="1"/>
  <c r="E20" i="64"/>
  <c r="E21" i="64" s="1"/>
  <c r="E26" i="64"/>
  <c r="E27" i="64" s="1"/>
  <c r="E23" i="64"/>
  <c r="E24" i="64" s="1"/>
  <c r="F11" i="64"/>
  <c r="E12" i="64"/>
  <c r="M16" i="56"/>
  <c r="K6" i="21"/>
  <c r="K20" i="21" s="1"/>
  <c r="K31" i="16"/>
  <c r="K19" i="16"/>
  <c r="M14" i="56" s="1"/>
  <c r="E20" i="63"/>
  <c r="E21" i="63" s="1"/>
  <c r="E26" i="63"/>
  <c r="E27" i="63" s="1"/>
  <c r="E23" i="63"/>
  <c r="E24" i="63" s="1"/>
  <c r="F11" i="63"/>
  <c r="E12" i="63"/>
  <c r="E14" i="63"/>
  <c r="E15" i="63" s="1"/>
  <c r="E17" i="63"/>
  <c r="E18" i="63" s="1"/>
  <c r="E12" i="62"/>
  <c r="E14" i="62"/>
  <c r="E15" i="62" s="1"/>
  <c r="E26" i="62"/>
  <c r="E27" i="62" s="1"/>
  <c r="E17" i="62"/>
  <c r="E18" i="62" s="1"/>
  <c r="E23" i="62"/>
  <c r="E24" i="62" s="1"/>
  <c r="E20" i="62"/>
  <c r="E21" i="62" s="1"/>
  <c r="F11" i="62"/>
  <c r="F14" i="60"/>
  <c r="F15" i="60" s="1"/>
  <c r="F12" i="60"/>
  <c r="F26" i="60"/>
  <c r="F27" i="60" s="1"/>
  <c r="G11" i="60"/>
  <c r="F23" i="60"/>
  <c r="F24" i="60" s="1"/>
  <c r="F20" i="60"/>
  <c r="F21" i="60" s="1"/>
  <c r="F17" i="60"/>
  <c r="F18" i="60" s="1"/>
  <c r="G33" i="16"/>
  <c r="F20" i="59"/>
  <c r="F21" i="59" s="1"/>
  <c r="F26" i="59"/>
  <c r="F27" i="59" s="1"/>
  <c r="G11" i="59"/>
  <c r="F12" i="59"/>
  <c r="F23" i="59"/>
  <c r="F24" i="59" s="1"/>
  <c r="F14" i="59"/>
  <c r="F15" i="59" s="1"/>
  <c r="F17" i="59"/>
  <c r="F18" i="59" s="1"/>
  <c r="E12" i="40"/>
  <c r="E17" i="40"/>
  <c r="E18" i="40" s="1"/>
  <c r="F11" i="40"/>
  <c r="E23" i="40"/>
  <c r="E24" i="40" s="1"/>
  <c r="E14" i="40"/>
  <c r="E15" i="40" s="1"/>
  <c r="E26" i="40"/>
  <c r="E27" i="40" s="1"/>
  <c r="E20" i="40"/>
  <c r="E21" i="40" s="1"/>
  <c r="E17" i="69"/>
  <c r="E18" i="69" s="1"/>
  <c r="F11" i="69"/>
  <c r="E20" i="69"/>
  <c r="E21" i="69" s="1"/>
  <c r="E14" i="69"/>
  <c r="E15" i="69" s="1"/>
  <c r="E23" i="69"/>
  <c r="E24" i="69" s="1"/>
  <c r="E12" i="69"/>
  <c r="E26" i="69"/>
  <c r="E27" i="69" s="1"/>
  <c r="F17" i="56"/>
  <c r="F18" i="56" s="1"/>
  <c r="D33" i="16"/>
  <c r="E26" i="68"/>
  <c r="E27" i="68" s="1"/>
  <c r="E20" i="68"/>
  <c r="E21" i="68" s="1"/>
  <c r="E14" i="68"/>
  <c r="E15" i="68" s="1"/>
  <c r="E23" i="68"/>
  <c r="E24" i="68" s="1"/>
  <c r="F11" i="68"/>
  <c r="E12" i="68"/>
  <c r="E17" i="68"/>
  <c r="E18" i="68" s="1"/>
  <c r="C26" i="20"/>
  <c r="E20" i="56"/>
  <c r="C33" i="16"/>
  <c r="E19" i="56"/>
  <c r="E17" i="56"/>
  <c r="E18" i="56" s="1"/>
  <c r="F11" i="67"/>
  <c r="E14" i="67"/>
  <c r="E15" i="67" s="1"/>
  <c r="E26" i="67"/>
  <c r="E27" i="67" s="1"/>
  <c r="E23" i="67"/>
  <c r="E24" i="67" s="1"/>
  <c r="E17" i="67"/>
  <c r="E18" i="67" s="1"/>
  <c r="E12" i="67"/>
  <c r="E20" i="67"/>
  <c r="E21" i="67" s="1"/>
  <c r="P20" i="56"/>
  <c r="P21" i="56" s="1"/>
  <c r="P17" i="56"/>
  <c r="N33" i="16"/>
  <c r="E12" i="65"/>
  <c r="E14" i="65"/>
  <c r="E15" i="65" s="1"/>
  <c r="E17" i="65"/>
  <c r="E18" i="65" s="1"/>
  <c r="E20" i="65"/>
  <c r="E21" i="65" s="1"/>
  <c r="E26" i="65"/>
  <c r="E27" i="65" s="1"/>
  <c r="E23" i="65"/>
  <c r="E24" i="65" s="1"/>
  <c r="F11" i="65"/>
  <c r="O21" i="56"/>
  <c r="M33" i="16"/>
  <c r="P19" i="17" l="1"/>
  <c r="J26" i="20"/>
  <c r="H21" i="56"/>
  <c r="L20" i="56"/>
  <c r="L19" i="56"/>
  <c r="L21" i="56" s="1"/>
  <c r="J21" i="56"/>
  <c r="J33" i="16"/>
  <c r="E26" i="61"/>
  <c r="E27" i="61" s="1"/>
  <c r="E17" i="61"/>
  <c r="E18" i="61" s="1"/>
  <c r="E14" i="61"/>
  <c r="E15" i="61" s="1"/>
  <c r="F11" i="61"/>
  <c r="E23" i="61"/>
  <c r="E24" i="61" s="1"/>
  <c r="E12" i="61"/>
  <c r="E20" i="61"/>
  <c r="E21" i="61" s="1"/>
  <c r="K21" i="56"/>
  <c r="K33" i="16"/>
  <c r="F26" i="66"/>
  <c r="F27" i="66" s="1"/>
  <c r="F23" i="66"/>
  <c r="F24" i="66" s="1"/>
  <c r="G11" i="66"/>
  <c r="F14" i="66"/>
  <c r="F15" i="66" s="1"/>
  <c r="F12" i="66"/>
  <c r="F17" i="66"/>
  <c r="F18" i="66" s="1"/>
  <c r="F20" i="66"/>
  <c r="F21" i="66" s="1"/>
  <c r="F12" i="64"/>
  <c r="F14" i="64"/>
  <c r="F15" i="64" s="1"/>
  <c r="F17" i="64"/>
  <c r="F18" i="64" s="1"/>
  <c r="F20" i="64"/>
  <c r="F21" i="64" s="1"/>
  <c r="F26" i="64"/>
  <c r="F27" i="64" s="1"/>
  <c r="F23" i="64"/>
  <c r="F24" i="64" s="1"/>
  <c r="G11" i="64"/>
  <c r="F17" i="63"/>
  <c r="F18" i="63" s="1"/>
  <c r="F20" i="63"/>
  <c r="F21" i="63" s="1"/>
  <c r="F26" i="63"/>
  <c r="F27" i="63" s="1"/>
  <c r="F23" i="63"/>
  <c r="F24" i="63" s="1"/>
  <c r="G11" i="63"/>
  <c r="F12" i="63"/>
  <c r="F14" i="63"/>
  <c r="F15" i="63" s="1"/>
  <c r="M19" i="56"/>
  <c r="M20" i="56"/>
  <c r="M17" i="56"/>
  <c r="M18" i="56" s="1"/>
  <c r="F12" i="62"/>
  <c r="G11" i="62"/>
  <c r="F14" i="62"/>
  <c r="F15" i="62" s="1"/>
  <c r="F26" i="62"/>
  <c r="F27" i="62" s="1"/>
  <c r="F23" i="62"/>
  <c r="F24" i="62" s="1"/>
  <c r="F17" i="62"/>
  <c r="F18" i="62" s="1"/>
  <c r="F20" i="62"/>
  <c r="F21" i="62" s="1"/>
  <c r="G20" i="60"/>
  <c r="G21" i="60" s="1"/>
  <c r="G17" i="60"/>
  <c r="G18" i="60" s="1"/>
  <c r="G14" i="60"/>
  <c r="G15" i="60" s="1"/>
  <c r="G12" i="60"/>
  <c r="G26" i="60"/>
  <c r="G27" i="60" s="1"/>
  <c r="H11" i="60"/>
  <c r="G23" i="60"/>
  <c r="G24" i="60" s="1"/>
  <c r="G26" i="59"/>
  <c r="G27" i="59" s="1"/>
  <c r="G12" i="59"/>
  <c r="G20" i="59"/>
  <c r="G21" i="59" s="1"/>
  <c r="H11" i="59"/>
  <c r="G17" i="59"/>
  <c r="G18" i="59" s="1"/>
  <c r="G14" i="59"/>
  <c r="G15" i="59" s="1"/>
  <c r="G23" i="59"/>
  <c r="G24" i="59" s="1"/>
  <c r="G11" i="40"/>
  <c r="F23" i="40"/>
  <c r="F24" i="40" s="1"/>
  <c r="F12" i="40"/>
  <c r="F26" i="40"/>
  <c r="F27" i="40" s="1"/>
  <c r="F17" i="40"/>
  <c r="F18" i="40" s="1"/>
  <c r="F20" i="40"/>
  <c r="F21" i="40" s="1"/>
  <c r="F14" i="40"/>
  <c r="F15" i="40" s="1"/>
  <c r="G11" i="69"/>
  <c r="F17" i="69"/>
  <c r="F18" i="69" s="1"/>
  <c r="F14" i="69"/>
  <c r="F15" i="69" s="1"/>
  <c r="F23" i="69"/>
  <c r="F24" i="69" s="1"/>
  <c r="F12" i="69"/>
  <c r="F20" i="69"/>
  <c r="F21" i="69" s="1"/>
  <c r="F26" i="69"/>
  <c r="F27" i="69" s="1"/>
  <c r="F20" i="68"/>
  <c r="F21" i="68" s="1"/>
  <c r="F26" i="68"/>
  <c r="F27" i="68" s="1"/>
  <c r="F14" i="68"/>
  <c r="F15" i="68" s="1"/>
  <c r="F17" i="68"/>
  <c r="F18" i="68" s="1"/>
  <c r="F12" i="68"/>
  <c r="F23" i="68"/>
  <c r="F24" i="68" s="1"/>
  <c r="G11" i="68"/>
  <c r="E21" i="56"/>
  <c r="G11" i="67"/>
  <c r="F14" i="67"/>
  <c r="F15" i="67" s="1"/>
  <c r="F26" i="67"/>
  <c r="F27" i="67" s="1"/>
  <c r="F17" i="67"/>
  <c r="F18" i="67" s="1"/>
  <c r="F20" i="67"/>
  <c r="F21" i="67" s="1"/>
  <c r="F12" i="67"/>
  <c r="F23" i="67"/>
  <c r="F24" i="67" s="1"/>
  <c r="F12" i="65"/>
  <c r="F14" i="65"/>
  <c r="F15" i="65" s="1"/>
  <c r="F17" i="65"/>
  <c r="F18" i="65" s="1"/>
  <c r="F20" i="65"/>
  <c r="F21" i="65" s="1"/>
  <c r="F26" i="65"/>
  <c r="F27" i="65" s="1"/>
  <c r="F23" i="65"/>
  <c r="F24" i="65" s="1"/>
  <c r="G11" i="65"/>
  <c r="F12" i="61" l="1"/>
  <c r="G11" i="61"/>
  <c r="F23" i="61"/>
  <c r="F24" i="61" s="1"/>
  <c r="F17" i="61"/>
  <c r="F18" i="61" s="1"/>
  <c r="F26" i="61"/>
  <c r="F27" i="61" s="1"/>
  <c r="F20" i="61"/>
  <c r="F21" i="61" s="1"/>
  <c r="F14" i="61"/>
  <c r="F15" i="61" s="1"/>
  <c r="M21" i="56"/>
  <c r="G20" i="66"/>
  <c r="G21" i="66" s="1"/>
  <c r="G23" i="66"/>
  <c r="G24" i="66" s="1"/>
  <c r="G26" i="66"/>
  <c r="G27" i="66" s="1"/>
  <c r="H11" i="66"/>
  <c r="G12" i="66"/>
  <c r="G14" i="66"/>
  <c r="G15" i="66" s="1"/>
  <c r="G17" i="66"/>
  <c r="G18" i="66" s="1"/>
  <c r="G26" i="64"/>
  <c r="G27" i="64" s="1"/>
  <c r="H11" i="64"/>
  <c r="G12" i="64"/>
  <c r="G14" i="64"/>
  <c r="G15" i="64" s="1"/>
  <c r="G17" i="64"/>
  <c r="G18" i="64" s="1"/>
  <c r="G23" i="64"/>
  <c r="G24" i="64" s="1"/>
  <c r="G20" i="64"/>
  <c r="G21" i="64" s="1"/>
  <c r="G14" i="63"/>
  <c r="G15" i="63" s="1"/>
  <c r="G17" i="63"/>
  <c r="G18" i="63" s="1"/>
  <c r="G20" i="63"/>
  <c r="G21" i="63" s="1"/>
  <c r="G23" i="63"/>
  <c r="G24" i="63" s="1"/>
  <c r="G26" i="63"/>
  <c r="G27" i="63" s="1"/>
  <c r="H11" i="63"/>
  <c r="G12" i="63"/>
  <c r="G12" i="62"/>
  <c r="G17" i="62"/>
  <c r="G18" i="62" s="1"/>
  <c r="G26" i="62"/>
  <c r="G27" i="62" s="1"/>
  <c r="G20" i="62"/>
  <c r="G21" i="62" s="1"/>
  <c r="G14" i="62"/>
  <c r="G15" i="62" s="1"/>
  <c r="G23" i="62"/>
  <c r="G24" i="62" s="1"/>
  <c r="H11" i="62"/>
  <c r="H26" i="60"/>
  <c r="H27" i="60" s="1"/>
  <c r="H23" i="60"/>
  <c r="H24" i="60" s="1"/>
  <c r="H20" i="60"/>
  <c r="H21" i="60" s="1"/>
  <c r="H17" i="60"/>
  <c r="H18" i="60" s="1"/>
  <c r="H12" i="60"/>
  <c r="H14" i="60"/>
  <c r="H15" i="60" s="1"/>
  <c r="H12" i="59"/>
  <c r="H20" i="59"/>
  <c r="H21" i="59" s="1"/>
  <c r="H14" i="59"/>
  <c r="H15" i="59" s="1"/>
  <c r="H23" i="59"/>
  <c r="H24" i="59" s="1"/>
  <c r="H17" i="59"/>
  <c r="H18" i="59" s="1"/>
  <c r="H26" i="59"/>
  <c r="H27" i="59" s="1"/>
  <c r="G17" i="40"/>
  <c r="G18" i="40" s="1"/>
  <c r="G20" i="40"/>
  <c r="G21" i="40" s="1"/>
  <c r="G12" i="40"/>
  <c r="G26" i="40"/>
  <c r="G27" i="40" s="1"/>
  <c r="H11" i="40"/>
  <c r="G23" i="40"/>
  <c r="G24" i="40" s="1"/>
  <c r="G14" i="40"/>
  <c r="G15" i="40" s="1"/>
  <c r="H11" i="69"/>
  <c r="G26" i="69"/>
  <c r="G27" i="69" s="1"/>
  <c r="G23" i="69"/>
  <c r="G24" i="69" s="1"/>
  <c r="G20" i="69"/>
  <c r="G21" i="69" s="1"/>
  <c r="G12" i="69"/>
  <c r="G17" i="69"/>
  <c r="G18" i="69" s="1"/>
  <c r="G14" i="69"/>
  <c r="G15" i="69" s="1"/>
  <c r="G14" i="68"/>
  <c r="G15" i="68" s="1"/>
  <c r="G23" i="68"/>
  <c r="G24" i="68" s="1"/>
  <c r="G26" i="68"/>
  <c r="G27" i="68" s="1"/>
  <c r="G20" i="68"/>
  <c r="G21" i="68" s="1"/>
  <c r="G17" i="68"/>
  <c r="G18" i="68" s="1"/>
  <c r="H11" i="68"/>
  <c r="G12" i="68"/>
  <c r="G17" i="67"/>
  <c r="G18" i="67" s="1"/>
  <c r="G12" i="67"/>
  <c r="G23" i="67"/>
  <c r="G24" i="67" s="1"/>
  <c r="G26" i="67"/>
  <c r="G27" i="67" s="1"/>
  <c r="G14" i="67"/>
  <c r="G15" i="67" s="1"/>
  <c r="H11" i="67"/>
  <c r="G20" i="67"/>
  <c r="G21" i="67" s="1"/>
  <c r="H11" i="65"/>
  <c r="G12" i="65"/>
  <c r="G14" i="65"/>
  <c r="G15" i="65" s="1"/>
  <c r="G17" i="65"/>
  <c r="G18" i="65" s="1"/>
  <c r="G20" i="65"/>
  <c r="G21" i="65" s="1"/>
  <c r="G23" i="65"/>
  <c r="G24" i="65" s="1"/>
  <c r="G26" i="65"/>
  <c r="G27" i="65" s="1"/>
  <c r="G20" i="61" l="1"/>
  <c r="G21" i="61" s="1"/>
  <c r="H11" i="61"/>
  <c r="G23" i="61"/>
  <c r="G24" i="61" s="1"/>
  <c r="G12" i="61"/>
  <c r="G17" i="61"/>
  <c r="G18" i="61" s="1"/>
  <c r="G26" i="61"/>
  <c r="G27" i="61" s="1"/>
  <c r="G14" i="61"/>
  <c r="G15" i="61" s="1"/>
  <c r="H17" i="66"/>
  <c r="H18" i="66" s="1"/>
  <c r="H20" i="66"/>
  <c r="H21" i="66" s="1"/>
  <c r="H23" i="66"/>
  <c r="H24" i="66" s="1"/>
  <c r="H26" i="66"/>
  <c r="H27" i="66" s="1"/>
  <c r="H12" i="66"/>
  <c r="H14" i="66"/>
  <c r="H15" i="66" s="1"/>
  <c r="H23" i="64"/>
  <c r="H24" i="64" s="1"/>
  <c r="H26" i="64"/>
  <c r="H27" i="64" s="1"/>
  <c r="H12" i="64"/>
  <c r="H14" i="64"/>
  <c r="H15" i="64" s="1"/>
  <c r="H17" i="64"/>
  <c r="H18" i="64" s="1"/>
  <c r="H20" i="64"/>
  <c r="H21" i="64" s="1"/>
  <c r="H14" i="63"/>
  <c r="H15" i="63" s="1"/>
  <c r="H17" i="63"/>
  <c r="H18" i="63" s="1"/>
  <c r="H20" i="63"/>
  <c r="H21" i="63" s="1"/>
  <c r="H23" i="63"/>
  <c r="H24" i="63" s="1"/>
  <c r="H26" i="63"/>
  <c r="H27" i="63" s="1"/>
  <c r="H12" i="63"/>
  <c r="H26" i="62"/>
  <c r="H27" i="62" s="1"/>
  <c r="H12" i="62"/>
  <c r="H14" i="62"/>
  <c r="H15" i="62" s="1"/>
  <c r="H23" i="62"/>
  <c r="H24" i="62" s="1"/>
  <c r="H17" i="62"/>
  <c r="H18" i="62" s="1"/>
  <c r="H20" i="62"/>
  <c r="H21" i="62" s="1"/>
  <c r="H8" i="59"/>
  <c r="H8" i="60"/>
  <c r="H23" i="40"/>
  <c r="H24" i="40" s="1"/>
  <c r="H17" i="40"/>
  <c r="H18" i="40" s="1"/>
  <c r="H20" i="40"/>
  <c r="H21" i="40" s="1"/>
  <c r="H26" i="40"/>
  <c r="H27" i="40" s="1"/>
  <c r="H12" i="40"/>
  <c r="H14" i="40"/>
  <c r="H15" i="40" s="1"/>
  <c r="H20" i="69"/>
  <c r="H21" i="69" s="1"/>
  <c r="H26" i="69"/>
  <c r="H27" i="69" s="1"/>
  <c r="H17" i="69"/>
  <c r="H18" i="69" s="1"/>
  <c r="H12" i="69"/>
  <c r="H23" i="69"/>
  <c r="H24" i="69" s="1"/>
  <c r="H14" i="69"/>
  <c r="H15" i="69" s="1"/>
  <c r="H12" i="68"/>
  <c r="H23" i="68"/>
  <c r="H24" i="68" s="1"/>
  <c r="H26" i="68"/>
  <c r="H27" i="68" s="1"/>
  <c r="H17" i="68"/>
  <c r="H18" i="68" s="1"/>
  <c r="H14" i="68"/>
  <c r="H15" i="68" s="1"/>
  <c r="H20" i="68"/>
  <c r="H21" i="68" s="1"/>
  <c r="H20" i="67"/>
  <c r="H21" i="67" s="1"/>
  <c r="H23" i="67"/>
  <c r="H24" i="67" s="1"/>
  <c r="H12" i="67"/>
  <c r="H26" i="67"/>
  <c r="H27" i="67" s="1"/>
  <c r="H17" i="67"/>
  <c r="H18" i="67" s="1"/>
  <c r="H14" i="67"/>
  <c r="H15" i="67" s="1"/>
  <c r="H23" i="65"/>
  <c r="H24" i="65" s="1"/>
  <c r="H26" i="65"/>
  <c r="H27" i="65" s="1"/>
  <c r="H12" i="65"/>
  <c r="H14" i="65"/>
  <c r="H15" i="65" s="1"/>
  <c r="H17" i="65"/>
  <c r="H18" i="65" s="1"/>
  <c r="H20" i="65"/>
  <c r="H21" i="65" s="1"/>
  <c r="H12" i="61" l="1"/>
  <c r="H17" i="61"/>
  <c r="H18" i="61" s="1"/>
  <c r="H14" i="61"/>
  <c r="H15" i="61" s="1"/>
  <c r="H23" i="61"/>
  <c r="H24" i="61" s="1"/>
  <c r="H26" i="61"/>
  <c r="H27" i="61" s="1"/>
  <c r="H20" i="61"/>
  <c r="H21" i="61" s="1"/>
  <c r="H8" i="66"/>
  <c r="H8" i="63"/>
  <c r="H8" i="62"/>
  <c r="H8" i="69"/>
  <c r="H8" i="40"/>
  <c r="H8" i="67"/>
  <c r="H8" i="68"/>
  <c r="H8" i="65"/>
  <c r="H8" i="61" l="1"/>
  <c r="M11" i="64" l="1"/>
  <c r="M165" i="18"/>
  <c r="M21" i="18" s="1"/>
  <c r="B21" i="64"/>
  <c r="H8" i="64" s="1"/>
  <c r="C6" i="64"/>
  <c r="C7" i="64" s="1"/>
  <c r="O7" i="20" l="1"/>
  <c r="P7" i="20" s="1"/>
  <c r="L21" i="20"/>
  <c r="O21" i="20" s="1"/>
  <c r="P21" i="20" s="1"/>
  <c r="L17" i="16"/>
  <c r="O17" i="16" s="1"/>
  <c r="L9" i="16"/>
  <c r="O9" i="16" s="1"/>
  <c r="O23" i="16" s="1"/>
  <c r="L4" i="16"/>
  <c r="N15" i="56" s="1"/>
  <c r="Q15" i="56" s="1"/>
  <c r="L13" i="16"/>
  <c r="L14" i="21" s="1"/>
  <c r="O14" i="21" s="1"/>
  <c r="P14" i="21" s="1"/>
  <c r="L8" i="16"/>
  <c r="O8" i="16" s="1"/>
  <c r="P8" i="16" s="1"/>
  <c r="L10" i="16"/>
  <c r="L11" i="21" s="1"/>
  <c r="O11" i="21" s="1"/>
  <c r="P11" i="21" s="1"/>
  <c r="L7" i="16"/>
  <c r="O7" i="16" s="1"/>
  <c r="L12" i="16"/>
  <c r="L13" i="21" s="1"/>
  <c r="O13" i="21" s="1"/>
  <c r="P13" i="21" s="1"/>
  <c r="L16" i="16"/>
  <c r="L17" i="21" s="1"/>
  <c r="O17" i="21" s="1"/>
  <c r="P17" i="21" s="1"/>
  <c r="P21" i="18"/>
  <c r="R149" i="18" s="1"/>
  <c r="M4" i="18"/>
  <c r="P4" i="18" s="1"/>
  <c r="L20" i="20"/>
  <c r="L6" i="16"/>
  <c r="O11" i="64"/>
  <c r="L17" i="20"/>
  <c r="O17" i="20" s="1"/>
  <c r="P17" i="20" s="1"/>
  <c r="N11" i="65"/>
  <c r="O11" i="65" s="1"/>
  <c r="L18" i="16"/>
  <c r="L11" i="16"/>
  <c r="P165" i="18"/>
  <c r="L15" i="16"/>
  <c r="L14" i="16"/>
  <c r="E16" i="81" l="1"/>
  <c r="L24" i="20"/>
  <c r="L25" i="20"/>
  <c r="L23" i="20"/>
  <c r="R201" i="18"/>
  <c r="R140" i="18"/>
  <c r="R110" i="18"/>
  <c r="R80" i="18"/>
  <c r="R197" i="18"/>
  <c r="R94" i="18"/>
  <c r="R34" i="18"/>
  <c r="R215" i="18"/>
  <c r="R155" i="18"/>
  <c r="R169" i="18"/>
  <c r="R65" i="18"/>
  <c r="R96" i="18"/>
  <c r="R33" i="18"/>
  <c r="R184" i="18"/>
  <c r="R126" i="18"/>
  <c r="R196" i="18"/>
  <c r="R178" i="18"/>
  <c r="R62" i="18"/>
  <c r="R180" i="18"/>
  <c r="R64" i="18"/>
  <c r="R47" i="18"/>
  <c r="R73" i="18"/>
  <c r="R123" i="18"/>
  <c r="R91" i="18"/>
  <c r="R51" i="18"/>
  <c r="R154" i="18"/>
  <c r="R182" i="18"/>
  <c r="R136" i="18"/>
  <c r="R61" i="18"/>
  <c r="R31" i="18"/>
  <c r="R108" i="18"/>
  <c r="R135" i="18"/>
  <c r="R66" i="18"/>
  <c r="R124" i="18"/>
  <c r="R29" i="18"/>
  <c r="R76" i="18"/>
  <c r="R179" i="18"/>
  <c r="R195" i="18"/>
  <c r="R60" i="18"/>
  <c r="R75" i="18"/>
  <c r="R63" i="18"/>
  <c r="R212" i="18"/>
  <c r="R118" i="18"/>
  <c r="R92" i="18"/>
  <c r="R199" i="18"/>
  <c r="R28" i="18"/>
  <c r="R186" i="18"/>
  <c r="R133" i="18"/>
  <c r="R95" i="18"/>
  <c r="R167" i="18"/>
  <c r="R46" i="18"/>
  <c r="R32" i="18"/>
  <c r="R35" i="18"/>
  <c r="R89" i="18"/>
  <c r="R214" i="18"/>
  <c r="R211" i="18"/>
  <c r="R156" i="18"/>
  <c r="R132" i="18"/>
  <c r="R208" i="18"/>
  <c r="R166" i="18"/>
  <c r="R139" i="18"/>
  <c r="R185" i="18"/>
  <c r="R193" i="18"/>
  <c r="R194" i="18"/>
  <c r="R105" i="18"/>
  <c r="R170" i="18"/>
  <c r="R121" i="18"/>
  <c r="R107" i="18"/>
  <c r="R171" i="18"/>
  <c r="R125" i="18"/>
  <c r="R30" i="18"/>
  <c r="R209" i="18"/>
  <c r="R59" i="18"/>
  <c r="R210" i="18"/>
  <c r="R117" i="18"/>
  <c r="R90" i="18"/>
  <c r="R207" i="18"/>
  <c r="R79" i="18"/>
  <c r="R106" i="18"/>
  <c r="R74" i="18"/>
  <c r="R120" i="18"/>
  <c r="R109" i="18"/>
  <c r="R200" i="18"/>
  <c r="R138" i="18"/>
  <c r="R36" i="18"/>
  <c r="R48" i="18"/>
  <c r="R181" i="18"/>
  <c r="R137" i="18"/>
  <c r="R81" i="18"/>
  <c r="R168" i="18"/>
  <c r="R72" i="18"/>
  <c r="R119" i="18"/>
  <c r="R78" i="18"/>
  <c r="R49" i="18"/>
  <c r="R183" i="18"/>
  <c r="R93" i="18"/>
  <c r="R205" i="18"/>
  <c r="R77" i="18"/>
  <c r="R58" i="18"/>
  <c r="R50" i="18"/>
  <c r="R213" i="18"/>
  <c r="R206" i="18"/>
  <c r="R134" i="18"/>
  <c r="R198" i="18"/>
  <c r="R111" i="18"/>
  <c r="R122" i="18"/>
  <c r="R141" i="18"/>
  <c r="R216" i="18"/>
  <c r="R163" i="18"/>
  <c r="R102" i="18"/>
  <c r="R192" i="18"/>
  <c r="R162" i="18"/>
  <c r="R104" i="18"/>
  <c r="R41" i="18"/>
  <c r="R40" i="18"/>
  <c r="L22" i="20"/>
  <c r="O22" i="20" s="1"/>
  <c r="P22" i="20" s="1"/>
  <c r="R54" i="18"/>
  <c r="R27" i="18"/>
  <c r="R188" i="18"/>
  <c r="R38" i="18"/>
  <c r="R176" i="18"/>
  <c r="R98" i="18"/>
  <c r="L23" i="16"/>
  <c r="L18" i="21"/>
  <c r="O18" i="21" s="1"/>
  <c r="P18" i="21" s="1"/>
  <c r="R174" i="18"/>
  <c r="R175" i="18"/>
  <c r="R128" i="18"/>
  <c r="R148" i="18"/>
  <c r="R103" i="18"/>
  <c r="R115" i="18"/>
  <c r="L22" i="16"/>
  <c r="R15" i="56"/>
  <c r="L5" i="21"/>
  <c r="O5" i="21" s="1"/>
  <c r="P5" i="21" s="1"/>
  <c r="L21" i="16"/>
  <c r="O13" i="16"/>
  <c r="P13" i="16" s="1"/>
  <c r="L10" i="21"/>
  <c r="O10" i="21" s="1"/>
  <c r="P10" i="21" s="1"/>
  <c r="L27" i="16"/>
  <c r="P9" i="16"/>
  <c r="P7" i="16"/>
  <c r="O16" i="16"/>
  <c r="P16" i="16" s="1"/>
  <c r="O12" i="16"/>
  <c r="P12" i="16" s="1"/>
  <c r="O4" i="16"/>
  <c r="P4" i="16" s="1"/>
  <c r="O10" i="16"/>
  <c r="P10" i="16" s="1"/>
  <c r="L9" i="21"/>
  <c r="O9" i="21" s="1"/>
  <c r="P9" i="21" s="1"/>
  <c r="L8" i="21"/>
  <c r="O8" i="21" s="1"/>
  <c r="P8" i="21" s="1"/>
  <c r="P17" i="16"/>
  <c r="R187" i="18"/>
  <c r="R112" i="18"/>
  <c r="O18" i="16"/>
  <c r="L19" i="21"/>
  <c r="O19" i="21" s="1"/>
  <c r="P19" i="21" s="1"/>
  <c r="L32" i="16"/>
  <c r="O11" i="16"/>
  <c r="L12" i="21"/>
  <c r="O12" i="21" s="1"/>
  <c r="P12" i="21" s="1"/>
  <c r="L15" i="21"/>
  <c r="O15" i="21" s="1"/>
  <c r="P15" i="21" s="1"/>
  <c r="O14" i="16"/>
  <c r="L16" i="21"/>
  <c r="O16" i="21" s="1"/>
  <c r="P16" i="21" s="1"/>
  <c r="O15" i="16"/>
  <c r="R165" i="18"/>
  <c r="Q165" i="18"/>
  <c r="R5" i="18"/>
  <c r="Q4" i="18"/>
  <c r="R127" i="18"/>
  <c r="R130" i="18"/>
  <c r="R191" i="18"/>
  <c r="R55" i="18"/>
  <c r="R52" i="18"/>
  <c r="R100" i="18"/>
  <c r="R82" i="18"/>
  <c r="R142" i="18"/>
  <c r="R190" i="18"/>
  <c r="R86" i="18"/>
  <c r="R143" i="18"/>
  <c r="R22" i="18"/>
  <c r="R113" i="18"/>
  <c r="R204" i="18"/>
  <c r="R53" i="18"/>
  <c r="R157" i="18"/>
  <c r="R144" i="18"/>
  <c r="R164" i="18"/>
  <c r="R99" i="18"/>
  <c r="R161" i="18"/>
  <c r="R97" i="18"/>
  <c r="R26" i="18"/>
  <c r="Q21" i="18"/>
  <c r="R23" i="18"/>
  <c r="R172" i="18"/>
  <c r="R189" i="18"/>
  <c r="R21" i="18"/>
  <c r="R202" i="18"/>
  <c r="R24" i="18"/>
  <c r="L5" i="16"/>
  <c r="O6" i="16"/>
  <c r="L7" i="21"/>
  <c r="O7" i="21" s="1"/>
  <c r="P7" i="21" s="1"/>
  <c r="L20" i="16"/>
  <c r="O20" i="20"/>
  <c r="O25" i="20" l="1"/>
  <c r="O24" i="20"/>
  <c r="O23" i="20"/>
  <c r="R4" i="18"/>
  <c r="L25" i="16"/>
  <c r="L26" i="16"/>
  <c r="L29" i="16"/>
  <c r="P20" i="20"/>
  <c r="L28" i="16"/>
  <c r="P15" i="16"/>
  <c r="P11" i="16"/>
  <c r="P14" i="16"/>
  <c r="P6" i="16"/>
  <c r="O5" i="16"/>
  <c r="O21" i="16" s="1"/>
  <c r="N16" i="56"/>
  <c r="L24" i="16"/>
  <c r="L30" i="16"/>
  <c r="L6" i="21"/>
  <c r="L19" i="16"/>
  <c r="N14" i="56" s="1"/>
  <c r="L31" i="16"/>
  <c r="P18" i="16"/>
  <c r="O26" i="20" l="1"/>
  <c r="L33" i="16"/>
  <c r="L26" i="20"/>
  <c r="O28" i="16"/>
  <c r="O31" i="16"/>
  <c r="O29" i="16"/>
  <c r="O32" i="16"/>
  <c r="O25" i="16"/>
  <c r="N19" i="56"/>
  <c r="R14" i="56"/>
  <c r="N17" i="56"/>
  <c r="N20" i="56"/>
  <c r="Q14" i="56"/>
  <c r="Q16" i="56"/>
  <c r="R16" i="56"/>
  <c r="L20" i="21"/>
  <c r="O20" i="21" s="1"/>
  <c r="P20" i="21" s="1"/>
  <c r="O6" i="21"/>
  <c r="P6" i="21" s="1"/>
  <c r="P5" i="16"/>
  <c r="O22" i="16"/>
  <c r="O26" i="16"/>
  <c r="O30" i="16"/>
  <c r="O27" i="16"/>
  <c r="O24" i="16"/>
  <c r="O19" i="16"/>
  <c r="P19" i="16" s="1"/>
  <c r="O20" i="16"/>
  <c r="Q19" i="56" l="1"/>
  <c r="Q20" i="56"/>
  <c r="O33" i="16"/>
  <c r="N21" i="56"/>
  <c r="N18" i="56"/>
  <c r="Q18" i="56" s="1"/>
  <c r="Q17" i="56"/>
  <c r="R17" i="56"/>
  <c r="Q21" i="56" l="1"/>
  <c r="E15" i="81" l="1"/>
  <c r="E17" i="81" s="1"/>
  <c r="F15" i="81" s="1"/>
  <c r="F3" i="81" l="1"/>
  <c r="F16" i="81"/>
  <c r="F14" i="81"/>
  <c r="F17" i="81" l="1"/>
  <c r="F7" i="81"/>
  <c r="F6" i="81"/>
  <c r="E10" i="81" s="1"/>
  <c r="F10" i="81" l="1"/>
  <c r="K6" i="81"/>
  <c r="K7" i="81" s="1"/>
  <c r="K8" i="81" s="1"/>
  <c r="K9" i="81" l="1"/>
</calcChain>
</file>

<file path=xl/connections.xml><?xml version="1.0" encoding="utf-8"?>
<connections xmlns="http://schemas.openxmlformats.org/spreadsheetml/2006/main">
  <connection id="1" keepAlive="1" name="쿼리 - 코스닥" description="통합 문서의 '코스닥' 쿼리에 대한 연결입니다." type="5" refreshedVersion="0" background="1">
    <dbPr connection="Provider=Microsoft.Mashup.OleDb.1;Data Source=$Workbook$;Location=코스닥;Extended Properties=&quot;&quot;" command="SELECT * FROM [코스닥]"/>
  </connection>
  <connection id="2" keepAlive="1" name="쿼리 - 코스피" description="통합 문서의 '코스피' 쿼리에 대한 연결입니다." type="5" refreshedVersion="0" background="1">
    <dbPr connection="Provider=Microsoft.Mashup.OleDb.1;Data Source=$Workbook$;Location=코스피;Extended Properties=&quot;&quot;" command="SELECT * FROM [코스피]"/>
  </connection>
</connections>
</file>

<file path=xl/sharedStrings.xml><?xml version="1.0" encoding="utf-8"?>
<sst xmlns="http://schemas.openxmlformats.org/spreadsheetml/2006/main" count="2315" uniqueCount="476">
  <si>
    <t>날짜</t>
    <phoneticPr fontId="3" type="noConversion"/>
  </si>
  <si>
    <t>수입</t>
    <phoneticPr fontId="3" type="noConversion"/>
  </si>
  <si>
    <t>금액</t>
    <phoneticPr fontId="3" type="noConversion"/>
  </si>
  <si>
    <t>이월</t>
  </si>
  <si>
    <t>계</t>
    <phoneticPr fontId="3" type="noConversion"/>
  </si>
  <si>
    <t>의류</t>
  </si>
  <si>
    <t>식비</t>
    <phoneticPr fontId="3" type="noConversion"/>
  </si>
  <si>
    <t>퇴직연금</t>
  </si>
  <si>
    <t>대분류</t>
    <phoneticPr fontId="3" type="noConversion"/>
  </si>
  <si>
    <t>구분</t>
    <phoneticPr fontId="3" type="noConversion"/>
  </si>
  <si>
    <t>저축성지출</t>
    <phoneticPr fontId="3" type="noConversion"/>
  </si>
  <si>
    <t>주거비</t>
    <phoneticPr fontId="3" type="noConversion"/>
  </si>
  <si>
    <t>생활용품비</t>
    <phoneticPr fontId="3" type="noConversion"/>
  </si>
  <si>
    <t>문화생활비</t>
    <phoneticPr fontId="3" type="noConversion"/>
  </si>
  <si>
    <t>통신비</t>
    <phoneticPr fontId="3" type="noConversion"/>
  </si>
  <si>
    <t>예/적금</t>
  </si>
  <si>
    <t>가구/가전</t>
  </si>
  <si>
    <t>주택청약</t>
  </si>
  <si>
    <t>주방/욕실</t>
  </si>
  <si>
    <t>패션잡화</t>
  </si>
  <si>
    <t>간식</t>
  </si>
  <si>
    <t>세탁비</t>
  </si>
  <si>
    <t>비상금</t>
  </si>
  <si>
    <t>기타 의류</t>
  </si>
  <si>
    <t>커피숍</t>
  </si>
  <si>
    <t>기타 식비</t>
  </si>
  <si>
    <t>소분류</t>
    <phoneticPr fontId="3" type="noConversion"/>
  </si>
  <si>
    <t>내용</t>
    <phoneticPr fontId="3" type="noConversion"/>
  </si>
  <si>
    <t>1월</t>
    <phoneticPr fontId="3" type="noConversion"/>
  </si>
  <si>
    <t>의료비</t>
    <phoneticPr fontId="3" type="noConversion"/>
  </si>
  <si>
    <t>경조사회비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</si>
  <si>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</si>
  <si>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</si>
  <si>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</si>
  <si>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</si>
  <si>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</si>
  <si>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</si>
  <si>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</si>
  <si>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</si>
  <si>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</si>
  <si>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</si>
  <si>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</si>
  <si>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  <phoneticPr fontId="3" type="noConversion"/>
  </si>
  <si>
    <t>차액</t>
    <phoneticPr fontId="3" type="noConversion"/>
  </si>
  <si>
    <t>소비성지출</t>
    <phoneticPr fontId="3" type="noConversion"/>
  </si>
  <si>
    <t>원금</t>
    <phoneticPr fontId="3" type="noConversion"/>
  </si>
  <si>
    <t>과세</t>
    <phoneticPr fontId="3" type="noConversion"/>
  </si>
  <si>
    <t>이율</t>
    <phoneticPr fontId="3" type="noConversion"/>
  </si>
  <si>
    <t>가입기간</t>
    <phoneticPr fontId="3" type="noConversion"/>
  </si>
  <si>
    <t>은행</t>
  </si>
  <si>
    <t>비고</t>
  </si>
  <si>
    <t>남은기간</t>
    <phoneticPr fontId="3" type="noConversion"/>
  </si>
  <si>
    <t>계좌명</t>
    <phoneticPr fontId="3" type="noConversion"/>
  </si>
  <si>
    <t>월별 순수입 및 총지출</t>
    <phoneticPr fontId="3" type="noConversion"/>
  </si>
  <si>
    <t>비고</t>
    <phoneticPr fontId="3" type="noConversion"/>
  </si>
  <si>
    <t>잔액</t>
    <phoneticPr fontId="3" type="noConversion"/>
  </si>
  <si>
    <t>현재금액</t>
    <phoneticPr fontId="3" type="noConversion"/>
  </si>
  <si>
    <t>총계</t>
    <phoneticPr fontId="3" type="noConversion"/>
  </si>
  <si>
    <t>이월</t>
    <phoneticPr fontId="3" type="noConversion"/>
  </si>
  <si>
    <t>순수입</t>
    <phoneticPr fontId="3" type="noConversion"/>
  </si>
  <si>
    <t>총지출</t>
    <phoneticPr fontId="3" type="noConversion"/>
  </si>
  <si>
    <t>부수익</t>
    <phoneticPr fontId="3" type="noConversion"/>
  </si>
  <si>
    <t>이월금 제외</t>
    <phoneticPr fontId="3" type="noConversion"/>
  </si>
  <si>
    <t>고정수입</t>
    <phoneticPr fontId="3" type="noConversion"/>
  </si>
  <si>
    <t>총 수입</t>
    <phoneticPr fontId="3" type="noConversion"/>
  </si>
  <si>
    <t>총 지출</t>
    <phoneticPr fontId="3" type="noConversion"/>
  </si>
  <si>
    <t>└ 연간 항목별 지출</t>
    <phoneticPr fontId="3" type="noConversion"/>
  </si>
  <si>
    <t>└ 연간 세부항목별 지출</t>
    <phoneticPr fontId="3" type="noConversion"/>
  </si>
  <si>
    <t>▷ 수입</t>
    <phoneticPr fontId="3" type="noConversion"/>
  </si>
  <si>
    <t>▷ 지출</t>
    <phoneticPr fontId="3" type="noConversion"/>
  </si>
  <si>
    <t>술/회식</t>
    <phoneticPr fontId="3" type="noConversion"/>
  </si>
  <si>
    <t>계좌번호</t>
    <phoneticPr fontId="3" type="noConversion"/>
  </si>
  <si>
    <t>용도</t>
    <phoneticPr fontId="3" type="noConversion"/>
  </si>
  <si>
    <t>가입일</t>
    <phoneticPr fontId="3" type="noConversion"/>
  </si>
  <si>
    <t>만기일</t>
    <phoneticPr fontId="3" type="noConversion"/>
  </si>
  <si>
    <t>기간</t>
    <phoneticPr fontId="3" type="noConversion"/>
  </si>
  <si>
    <t>장기</t>
    <phoneticPr fontId="3" type="noConversion"/>
  </si>
  <si>
    <t>단기</t>
    <phoneticPr fontId="3" type="noConversion"/>
  </si>
  <si>
    <t>비율</t>
    <phoneticPr fontId="3" type="noConversion"/>
  </si>
  <si>
    <t>예상수령액</t>
    <phoneticPr fontId="3" type="noConversion"/>
  </si>
  <si>
    <t xml:space="preserve">- </t>
    <phoneticPr fontId="3" type="noConversion"/>
  </si>
  <si>
    <t>투자수익</t>
    <phoneticPr fontId="3" type="noConversion"/>
  </si>
  <si>
    <r>
      <rPr>
        <sz val="10"/>
        <color theme="2" tint="-0.499984740745262"/>
        <rFont val="맑은 고딕"/>
        <family val="3"/>
        <charset val="129"/>
      </rPr>
      <t xml:space="preserve">▷ </t>
    </r>
    <r>
      <rPr>
        <sz val="10"/>
        <color theme="2" tint="-0.499984740745262"/>
        <rFont val="맑은 고딕"/>
        <family val="3"/>
        <charset val="129"/>
        <scheme val="minor"/>
      </rPr>
      <t>항목설정</t>
    </r>
    <phoneticPr fontId="3" type="noConversion"/>
  </si>
  <si>
    <r>
      <rPr>
        <sz val="10"/>
        <color theme="2" tint="-0.499984740745262"/>
        <rFont val="맑은 고딕"/>
        <family val="3"/>
        <charset val="129"/>
      </rPr>
      <t xml:space="preserve">└ </t>
    </r>
    <r>
      <rPr>
        <sz val="10"/>
        <color theme="2" tint="-0.499984740745262"/>
        <rFont val="맑은 고딕"/>
        <family val="3"/>
        <charset val="129"/>
        <scheme val="minor"/>
      </rPr>
      <t>연간 항목별 수입</t>
    </r>
    <phoneticPr fontId="3" type="noConversion"/>
  </si>
  <si>
    <t>기타 용돈</t>
    <phoneticPr fontId="3" type="noConversion"/>
  </si>
  <si>
    <t>현금</t>
    <phoneticPr fontId="3" type="noConversion"/>
  </si>
  <si>
    <t>여가</t>
    <phoneticPr fontId="3" type="noConversion"/>
  </si>
  <si>
    <t>여행</t>
    <phoneticPr fontId="3" type="noConversion"/>
  </si>
  <si>
    <t>필수지출</t>
    <phoneticPr fontId="3" type="noConversion"/>
  </si>
  <si>
    <t>신용카드 합계</t>
    <phoneticPr fontId="3" type="noConversion"/>
  </si>
  <si>
    <t>체크카드 합계</t>
    <phoneticPr fontId="3" type="noConversion"/>
  </si>
  <si>
    <t>주소득계</t>
    <phoneticPr fontId="3" type="noConversion"/>
  </si>
  <si>
    <t>부소득계</t>
    <phoneticPr fontId="3" type="noConversion"/>
  </si>
  <si>
    <t>주소득율</t>
    <phoneticPr fontId="3" type="noConversion"/>
  </si>
  <si>
    <t>부소득율</t>
    <phoneticPr fontId="3" type="noConversion"/>
  </si>
  <si>
    <t>택시</t>
    <phoneticPr fontId="3" type="noConversion"/>
  </si>
  <si>
    <t>기차</t>
    <phoneticPr fontId="3" type="noConversion"/>
  </si>
  <si>
    <t>항공</t>
    <phoneticPr fontId="3" type="noConversion"/>
  </si>
  <si>
    <t>기타 교통</t>
    <phoneticPr fontId="3" type="noConversion"/>
  </si>
  <si>
    <t>IPTV</t>
    <phoneticPr fontId="3" type="noConversion"/>
  </si>
  <si>
    <t>우편/택배</t>
    <phoneticPr fontId="3" type="noConversion"/>
  </si>
  <si>
    <t>기타 통신</t>
    <phoneticPr fontId="3" type="noConversion"/>
  </si>
  <si>
    <t>월세</t>
    <phoneticPr fontId="3" type="noConversion"/>
  </si>
  <si>
    <t>관리비</t>
    <phoneticPr fontId="3" type="noConversion"/>
  </si>
  <si>
    <t>수도세</t>
    <phoneticPr fontId="3" type="noConversion"/>
  </si>
  <si>
    <t>전기세</t>
    <phoneticPr fontId="3" type="noConversion"/>
  </si>
  <si>
    <t>기타 주거비</t>
    <phoneticPr fontId="3" type="noConversion"/>
  </si>
  <si>
    <t>도서</t>
    <phoneticPr fontId="3" type="noConversion"/>
  </si>
  <si>
    <t>강의</t>
    <phoneticPr fontId="3" type="noConversion"/>
  </si>
  <si>
    <t>가스비</t>
    <phoneticPr fontId="3" type="noConversion"/>
  </si>
  <si>
    <t>재산세</t>
    <phoneticPr fontId="3" type="noConversion"/>
  </si>
  <si>
    <t>신용카드 비율</t>
    <phoneticPr fontId="3" type="noConversion"/>
  </si>
  <si>
    <t>체크카드 비율</t>
    <phoneticPr fontId="3" type="noConversion"/>
  </si>
  <si>
    <t>저축비율</t>
    <phoneticPr fontId="3" type="noConversion"/>
  </si>
  <si>
    <t>소비비율</t>
    <phoneticPr fontId="3" type="noConversion"/>
  </si>
  <si>
    <t>현금 합계</t>
    <phoneticPr fontId="3" type="noConversion"/>
  </si>
  <si>
    <t>현금 비율</t>
    <phoneticPr fontId="3" type="noConversion"/>
  </si>
  <si>
    <t>세전이자</t>
    <phoneticPr fontId="3" type="noConversion"/>
  </si>
  <si>
    <t>세후이자</t>
    <phoneticPr fontId="3" type="noConversion"/>
  </si>
  <si>
    <t>기타 생활용품</t>
    <phoneticPr fontId="3" type="noConversion"/>
  </si>
  <si>
    <t>◀  항목</t>
    <phoneticPr fontId="3" type="noConversion"/>
  </si>
  <si>
    <t>◀  예산</t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</si>
  <si>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10월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</si>
  <si>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11월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</si>
  <si>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09월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</si>
  <si>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08월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</si>
  <si>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07월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</si>
  <si>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06월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</si>
  <si>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05월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</si>
  <si>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04월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</si>
  <si>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03월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</si>
  <si>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02월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</si>
  <si>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01월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</si>
  <si>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r>
      <rPr>
        <b/>
        <sz val="16"/>
        <color theme="2" tint="-0.499984740745262"/>
        <rFont val="맑은 고딕"/>
        <family val="3"/>
        <charset val="129"/>
        <scheme val="minor"/>
      </rPr>
      <t>◀</t>
    </r>
    <r>
      <rPr>
        <b/>
        <sz val="12"/>
        <color theme="2" tint="-0.499984740745262"/>
        <rFont val="맑은 고딕"/>
        <family val="3"/>
        <charset val="129"/>
        <scheme val="minor"/>
      </rPr>
      <t xml:space="preserve">                    12월                    </t>
    </r>
    <r>
      <rPr>
        <b/>
        <sz val="16"/>
        <color theme="2" tint="-0.499984740745262"/>
        <rFont val="맑은 고딕"/>
        <family val="3"/>
        <charset val="129"/>
        <scheme val="minor"/>
      </rPr>
      <t>▶</t>
    </r>
    <phoneticPr fontId="3" type="noConversion"/>
  </si>
  <si>
    <t>◀  결산</t>
    <phoneticPr fontId="3" type="noConversion"/>
  </si>
  <si>
    <t>◀  연간 항목별 수입</t>
    <phoneticPr fontId="3" type="noConversion"/>
  </si>
  <si>
    <t>◀  연간 항목별 지출</t>
    <phoneticPr fontId="3" type="noConversion"/>
  </si>
  <si>
    <t>◀  연간 세부항목별 지출</t>
    <phoneticPr fontId="3" type="noConversion"/>
  </si>
  <si>
    <t>◀  보유 계좌 현황</t>
    <phoneticPr fontId="3" type="noConversion"/>
  </si>
  <si>
    <t>No.</t>
    <phoneticPr fontId="3" type="noConversion"/>
  </si>
  <si>
    <t>부가수입</t>
    <phoneticPr fontId="3" type="noConversion"/>
  </si>
  <si>
    <t>◀  연간 카드별 지출</t>
    <phoneticPr fontId="3" type="noConversion"/>
  </si>
  <si>
    <t>은행</t>
    <phoneticPr fontId="3" type="noConversion"/>
  </si>
  <si>
    <t>예금명</t>
    <phoneticPr fontId="3" type="noConversion"/>
  </si>
  <si>
    <t>적금명</t>
    <phoneticPr fontId="3" type="noConversion"/>
  </si>
  <si>
    <t>중기</t>
    <phoneticPr fontId="3" type="noConversion"/>
  </si>
  <si>
    <t>예금관리</t>
    <phoneticPr fontId="3" type="noConversion"/>
  </si>
  <si>
    <t>계좌현황</t>
    <phoneticPr fontId="3" type="noConversion"/>
  </si>
  <si>
    <t>비상금관리</t>
    <phoneticPr fontId="3" type="noConversion"/>
  </si>
  <si>
    <t>적금관리</t>
    <phoneticPr fontId="3" type="noConversion"/>
  </si>
  <si>
    <t>월 적립액</t>
    <phoneticPr fontId="3" type="noConversion"/>
  </si>
  <si>
    <t>방식</t>
    <phoneticPr fontId="3" type="noConversion"/>
  </si>
  <si>
    <t>◀  예금관리</t>
    <phoneticPr fontId="3" type="noConversion"/>
  </si>
  <si>
    <t>◀  적금관리</t>
    <phoneticPr fontId="3" type="noConversion"/>
  </si>
  <si>
    <t>입출금, 비상금, 3년미만 예적금 등</t>
    <phoneticPr fontId="3" type="noConversion"/>
  </si>
  <si>
    <t>◀  자산현황</t>
    <phoneticPr fontId="3" type="noConversion"/>
  </si>
  <si>
    <t>└ 연간 카드별 지출</t>
    <phoneticPr fontId="3" type="noConversion"/>
  </si>
  <si>
    <t>부채</t>
    <phoneticPr fontId="3" type="noConversion"/>
  </si>
  <si>
    <t>금융자산 총계</t>
    <phoneticPr fontId="3" type="noConversion"/>
  </si>
  <si>
    <t>부동자산</t>
    <phoneticPr fontId="3" type="noConversion"/>
  </si>
  <si>
    <t>부동자산 총계</t>
    <phoneticPr fontId="3" type="noConversion"/>
  </si>
  <si>
    <t>순자산</t>
    <phoneticPr fontId="3" type="noConversion"/>
  </si>
  <si>
    <t>전세보증금</t>
    <phoneticPr fontId="3" type="noConversion"/>
  </si>
  <si>
    <t>순자산 증가율</t>
    <phoneticPr fontId="3" type="noConversion"/>
  </si>
  <si>
    <t>전년도 순자산</t>
    <phoneticPr fontId="3" type="noConversion"/>
  </si>
  <si>
    <t>현재 순자산</t>
    <phoneticPr fontId="3" type="noConversion"/>
  </si>
  <si>
    <t>현재저축액</t>
    <phoneticPr fontId="3" type="noConversion"/>
  </si>
  <si>
    <t>만기시 원금</t>
    <phoneticPr fontId="3" type="noConversion"/>
  </si>
  <si>
    <t>유류교통비</t>
    <phoneticPr fontId="3" type="noConversion"/>
  </si>
  <si>
    <t>기타 수입</t>
    <phoneticPr fontId="3" type="noConversion"/>
  </si>
  <si>
    <t>수입 지출 차액</t>
    <phoneticPr fontId="3" type="noConversion"/>
  </si>
  <si>
    <t>지출 총계</t>
    <phoneticPr fontId="3" type="noConversion"/>
  </si>
  <si>
    <t>수입 총계</t>
    <phoneticPr fontId="3" type="noConversion"/>
  </si>
  <si>
    <t>오피스/문구</t>
    <phoneticPr fontId="3" type="noConversion"/>
  </si>
  <si>
    <t>▷ 자산현황</t>
  </si>
  <si>
    <t>▷ 결산</t>
  </si>
  <si>
    <t>▷ 예산</t>
  </si>
  <si>
    <t>반려동물비</t>
    <phoneticPr fontId="3" type="noConversion"/>
  </si>
  <si>
    <t>사료/간식</t>
    <phoneticPr fontId="3" type="noConversion"/>
  </si>
  <si>
    <t>용품/장난감</t>
    <phoneticPr fontId="3" type="noConversion"/>
  </si>
  <si>
    <t>미용</t>
    <phoneticPr fontId="3" type="noConversion"/>
  </si>
  <si>
    <t>병원/접종</t>
    <phoneticPr fontId="3" type="noConversion"/>
  </si>
  <si>
    <t>기타 반려동물</t>
    <phoneticPr fontId="3" type="noConversion"/>
  </si>
  <si>
    <t>월목표저축액</t>
    <phoneticPr fontId="3" type="noConversion"/>
  </si>
  <si>
    <t>월목표저축률</t>
    <phoneticPr fontId="3" type="noConversion"/>
  </si>
  <si>
    <t>월별 리포트</t>
    <phoneticPr fontId="3" type="noConversion"/>
  </si>
  <si>
    <t>지출 내용</t>
    <phoneticPr fontId="3" type="noConversion"/>
  </si>
  <si>
    <t>이번달 목표</t>
    <phoneticPr fontId="3" type="noConversion"/>
  </si>
  <si>
    <t>OTT</t>
    <phoneticPr fontId="3" type="noConversion"/>
  </si>
  <si>
    <t>기타 문화생활</t>
    <phoneticPr fontId="3" type="noConversion"/>
  </si>
  <si>
    <t>기타 의료비</t>
    <phoneticPr fontId="3" type="noConversion"/>
  </si>
  <si>
    <t>주담대 이자</t>
    <phoneticPr fontId="3" type="noConversion"/>
  </si>
  <si>
    <t>주담대 원금</t>
    <phoneticPr fontId="3" type="noConversion"/>
  </si>
  <si>
    <t>저축성지출 계</t>
    <phoneticPr fontId="3" type="noConversion"/>
  </si>
  <si>
    <t>소비성지출 계</t>
    <phoneticPr fontId="3" type="noConversion"/>
  </si>
  <si>
    <t>예산 잔액</t>
    <phoneticPr fontId="3" type="noConversion"/>
  </si>
  <si>
    <t>변동지출 예산</t>
    <phoneticPr fontId="3" type="noConversion"/>
  </si>
  <si>
    <t>총 예산</t>
    <phoneticPr fontId="3" type="noConversion"/>
  </si>
  <si>
    <t>실지출 계</t>
    <phoneticPr fontId="3" type="noConversion"/>
  </si>
  <si>
    <t>목표금액</t>
    <phoneticPr fontId="3" type="noConversion"/>
  </si>
  <si>
    <t>시작금액</t>
    <phoneticPr fontId="3" type="noConversion"/>
  </si>
  <si>
    <t>필요금액</t>
    <phoneticPr fontId="3" type="noConversion"/>
  </si>
  <si>
    <t>시작일</t>
    <phoneticPr fontId="3" type="noConversion"/>
  </si>
  <si>
    <t>목표일</t>
    <phoneticPr fontId="3" type="noConversion"/>
  </si>
  <si>
    <t>현재일</t>
    <phoneticPr fontId="3" type="noConversion"/>
  </si>
  <si>
    <t>총 기간</t>
    <phoneticPr fontId="3" type="noConversion"/>
  </si>
  <si>
    <t>모은금액</t>
    <phoneticPr fontId="3" type="noConversion"/>
  </si>
  <si>
    <t>남은금액</t>
    <phoneticPr fontId="3" type="noConversion"/>
  </si>
  <si>
    <t>달성률</t>
    <phoneticPr fontId="3" type="noConversion"/>
  </si>
  <si>
    <t>월 목표저축액</t>
    <phoneticPr fontId="3" type="noConversion"/>
  </si>
  <si>
    <t>저축계획</t>
    <phoneticPr fontId="3" type="noConversion"/>
  </si>
  <si>
    <t>3년 초과, 주택청약, 퇴직연금 등</t>
    <phoneticPr fontId="3" type="noConversion"/>
  </si>
  <si>
    <t>기타 잡지출</t>
    <phoneticPr fontId="3" type="noConversion"/>
  </si>
  <si>
    <t>멤버십</t>
    <phoneticPr fontId="3" type="noConversion"/>
  </si>
  <si>
    <t>소비 계</t>
    <phoneticPr fontId="3" type="noConversion"/>
  </si>
  <si>
    <t>시장/마트</t>
    <phoneticPr fontId="3" type="noConversion"/>
  </si>
  <si>
    <t>이자</t>
    <phoneticPr fontId="3" type="noConversion"/>
  </si>
  <si>
    <t>처분소득</t>
    <phoneticPr fontId="3" type="noConversion"/>
  </si>
  <si>
    <t>퇴직연금</t>
    <phoneticPr fontId="3" type="noConversion"/>
  </si>
  <si>
    <t>비상금</t>
    <phoneticPr fontId="3" type="noConversion"/>
  </si>
  <si>
    <t>투자</t>
    <phoneticPr fontId="3" type="noConversion"/>
  </si>
  <si>
    <t>기타 저축</t>
    <phoneticPr fontId="3" type="noConversion"/>
  </si>
  <si>
    <t>의류미용비</t>
    <phoneticPr fontId="3" type="noConversion"/>
  </si>
  <si>
    <t>화장품</t>
    <phoneticPr fontId="3" type="noConversion"/>
  </si>
  <si>
    <t>미용실</t>
    <phoneticPr fontId="3" type="noConversion"/>
  </si>
  <si>
    <t>기타 미용</t>
    <phoneticPr fontId="3" type="noConversion"/>
  </si>
  <si>
    <t>병원</t>
    <phoneticPr fontId="3" type="noConversion"/>
  </si>
  <si>
    <t>의약품</t>
    <phoneticPr fontId="3" type="noConversion"/>
  </si>
  <si>
    <t>영양제</t>
    <phoneticPr fontId="3" type="noConversion"/>
  </si>
  <si>
    <t>저축성지출</t>
  </si>
  <si>
    <t>청년희망적금</t>
  </si>
  <si>
    <t>국민</t>
  </si>
  <si>
    <t>단리</t>
  </si>
  <si>
    <t>국민</t>
    <phoneticPr fontId="3" type="noConversion"/>
  </si>
  <si>
    <t>주택청약</t>
    <phoneticPr fontId="3" type="noConversion"/>
  </si>
  <si>
    <t>실지출</t>
    <phoneticPr fontId="3" type="noConversion"/>
  </si>
  <si>
    <t>결제금액</t>
    <phoneticPr fontId="3" type="noConversion"/>
  </si>
  <si>
    <t>월</t>
    <phoneticPr fontId="3" type="noConversion"/>
  </si>
  <si>
    <t>안정</t>
    <phoneticPr fontId="3" type="noConversion"/>
  </si>
  <si>
    <t>입출금, 비상금, 예적금 등</t>
    <phoneticPr fontId="3" type="noConversion"/>
  </si>
  <si>
    <t>위험</t>
    <phoneticPr fontId="3" type="noConversion"/>
  </si>
  <si>
    <t>수입</t>
  </si>
  <si>
    <t>기간별 금융자산</t>
    <phoneticPr fontId="3" type="noConversion"/>
  </si>
  <si>
    <t>부수익</t>
  </si>
  <si>
    <t>위험자산 비율</t>
    <phoneticPr fontId="3" type="noConversion"/>
  </si>
  <si>
    <t>차트</t>
    <phoneticPr fontId="3" type="noConversion"/>
  </si>
  <si>
    <t>외식/배달</t>
    <phoneticPr fontId="3" type="noConversion"/>
  </si>
  <si>
    <t>할인</t>
    <phoneticPr fontId="3" type="noConversion"/>
  </si>
  <si>
    <t>고정지출</t>
    <phoneticPr fontId="3" type="noConversion"/>
  </si>
  <si>
    <t>변동지출</t>
    <phoneticPr fontId="3" type="noConversion"/>
  </si>
  <si>
    <t>지출</t>
    <phoneticPr fontId="3" type="noConversion"/>
  </si>
  <si>
    <t>화</t>
    <phoneticPr fontId="3" type="noConversion"/>
  </si>
  <si>
    <t>일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</si>
  <si>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</si>
  <si>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</si>
  <si>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</si>
  <si>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</si>
  <si>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무지출 성공</t>
    <phoneticPr fontId="3" type="noConversion"/>
  </si>
  <si>
    <t xml:space="preserve"> </t>
    <phoneticPr fontId="3" type="noConversion"/>
  </si>
  <si>
    <t>항목</t>
    <phoneticPr fontId="3" type="noConversion"/>
  </si>
  <si>
    <t>지출계</t>
    <phoneticPr fontId="3" type="noConversion"/>
  </si>
  <si>
    <t>예산대비</t>
    <phoneticPr fontId="3" type="noConversion"/>
  </si>
  <si>
    <t>변동지출 달력</t>
    <phoneticPr fontId="3" type="noConversion"/>
  </si>
  <si>
    <t>문화생활비</t>
  </si>
  <si>
    <t>예산</t>
    <phoneticPr fontId="3" type="noConversion"/>
  </si>
  <si>
    <t>전월대비</t>
    <phoneticPr fontId="3" type="noConversion"/>
  </si>
  <si>
    <t>전월지출</t>
    <phoneticPr fontId="3" type="noConversion"/>
  </si>
  <si>
    <t>소비성 지출 분석</t>
    <phoneticPr fontId="3" type="noConversion"/>
  </si>
  <si>
    <t>신한</t>
    <phoneticPr fontId="3" type="noConversion"/>
  </si>
  <si>
    <t>3년이상 예적금, 투자금, 예수금 등</t>
    <phoneticPr fontId="3" type="noConversion"/>
  </si>
  <si>
    <t>투자 중인 자산, 대기 자금 등</t>
    <phoneticPr fontId="3" type="noConversion"/>
  </si>
  <si>
    <t>적금</t>
    <phoneticPr fontId="3" type="noConversion"/>
  </si>
  <si>
    <t>주차비</t>
    <phoneticPr fontId="3" type="noConversion"/>
  </si>
  <si>
    <t>MEMO</t>
    <phoneticPr fontId="3" type="noConversion"/>
  </si>
  <si>
    <t>급여</t>
  </si>
  <si>
    <t>급여</t>
    <phoneticPr fontId="3" type="noConversion"/>
  </si>
  <si>
    <t>수당</t>
    <phoneticPr fontId="3" type="noConversion"/>
  </si>
  <si>
    <t>상여</t>
    <phoneticPr fontId="3" type="noConversion"/>
  </si>
  <si>
    <t>처분소득</t>
  </si>
  <si>
    <t>교육비</t>
    <phoneticPr fontId="3" type="noConversion"/>
  </si>
  <si>
    <t>학교</t>
    <phoneticPr fontId="3" type="noConversion"/>
  </si>
  <si>
    <t>학원</t>
    <phoneticPr fontId="3" type="noConversion"/>
  </si>
  <si>
    <t>기타 교육</t>
    <phoneticPr fontId="3" type="noConversion"/>
  </si>
  <si>
    <t>보험료</t>
    <phoneticPr fontId="3" type="noConversion"/>
  </si>
  <si>
    <t>자동차보험</t>
    <phoneticPr fontId="3" type="noConversion"/>
  </si>
  <si>
    <t>자동차할부</t>
    <phoneticPr fontId="3" type="noConversion"/>
  </si>
  <si>
    <t>자동차세</t>
    <phoneticPr fontId="3" type="noConversion"/>
  </si>
  <si>
    <t>버스/지하철</t>
    <phoneticPr fontId="3" type="noConversion"/>
  </si>
  <si>
    <t>핸드폰</t>
    <phoneticPr fontId="3" type="noConversion"/>
  </si>
  <si>
    <t>인터넷</t>
    <phoneticPr fontId="3" type="noConversion"/>
  </si>
  <si>
    <t>수리비</t>
    <phoneticPr fontId="3" type="noConversion"/>
  </si>
  <si>
    <t>톨비/하이패스</t>
    <phoneticPr fontId="3" type="noConversion"/>
  </si>
  <si>
    <t>축의금</t>
    <phoneticPr fontId="3" type="noConversion"/>
  </si>
  <si>
    <t>조의금</t>
    <phoneticPr fontId="3" type="noConversion"/>
  </si>
  <si>
    <t>기부금</t>
    <phoneticPr fontId="3" type="noConversion"/>
  </si>
  <si>
    <t>모임회비</t>
    <phoneticPr fontId="3" type="noConversion"/>
  </si>
  <si>
    <t>선물</t>
    <phoneticPr fontId="3" type="noConversion"/>
  </si>
  <si>
    <t>기타 경조사</t>
    <phoneticPr fontId="3" type="noConversion"/>
  </si>
  <si>
    <t>유류비/충전비</t>
    <phoneticPr fontId="3" type="noConversion"/>
  </si>
  <si>
    <t>용돈</t>
    <phoneticPr fontId="3" type="noConversion"/>
  </si>
  <si>
    <t>부모님 용돈</t>
    <phoneticPr fontId="3" type="noConversion"/>
  </si>
  <si>
    <t>첫째 용돈</t>
    <phoneticPr fontId="3" type="noConversion"/>
  </si>
  <si>
    <t>필요한 것</t>
    <phoneticPr fontId="3" type="noConversion"/>
  </si>
  <si>
    <t>추가하세요</t>
    <phoneticPr fontId="3" type="noConversion"/>
  </si>
  <si>
    <t>추가항목</t>
    <phoneticPr fontId="3" type="noConversion"/>
  </si>
  <si>
    <t>주거비</t>
  </si>
  <si>
    <t>100원 캐시백</t>
    <phoneticPr fontId="3" type="noConversion"/>
  </si>
  <si>
    <t>5천원 할인권</t>
    <phoneticPr fontId="3" type="noConversion"/>
  </si>
  <si>
    <t>5일 출금 예정</t>
    <phoneticPr fontId="3" type="noConversion"/>
  </si>
  <si>
    <t>관리비</t>
  </si>
  <si>
    <t>6일 출금 예정</t>
    <phoneticPr fontId="3" type="noConversion"/>
  </si>
  <si>
    <t>당근마켓 판매</t>
    <phoneticPr fontId="3" type="noConversion"/>
  </si>
  <si>
    <t>개인 연금</t>
    <phoneticPr fontId="3" type="noConversion"/>
  </si>
  <si>
    <t>5% 카드할인</t>
    <phoneticPr fontId="3" type="noConversion"/>
  </si>
  <si>
    <t>00적금</t>
    <phoneticPr fontId="3" type="noConversion"/>
  </si>
  <si>
    <t>00연금</t>
    <phoneticPr fontId="3" type="noConversion"/>
  </si>
  <si>
    <t>00신용 결제 12일 - 잔액 확인</t>
    <phoneticPr fontId="3" type="noConversion"/>
  </si>
  <si>
    <t>무지출 20일 이상 달성하기!</t>
    <phoneticPr fontId="3" type="noConversion"/>
  </si>
  <si>
    <t>계좌이체 합계</t>
    <phoneticPr fontId="3" type="noConversion"/>
  </si>
  <si>
    <t>비율 합계</t>
    <phoneticPr fontId="3" type="noConversion"/>
  </si>
  <si>
    <t>매년 1월 신용카드 연회비 지출</t>
    <phoneticPr fontId="3" type="noConversion"/>
  </si>
  <si>
    <t>00예금</t>
    <phoneticPr fontId="3" type="noConversion"/>
  </si>
  <si>
    <t>부채관리</t>
    <phoneticPr fontId="3" type="noConversion"/>
  </si>
  <si>
    <t>◀  부채관리</t>
    <phoneticPr fontId="3" type="noConversion"/>
  </si>
  <si>
    <t>현재누적상환금</t>
    <phoneticPr fontId="3" type="noConversion"/>
  </si>
  <si>
    <t>현재대출잔금</t>
    <phoneticPr fontId="3" type="noConversion"/>
  </si>
  <si>
    <t>기관명</t>
    <phoneticPr fontId="3" type="noConversion"/>
  </si>
  <si>
    <t>대출명</t>
    <phoneticPr fontId="3" type="noConversion"/>
  </si>
  <si>
    <t>대출일</t>
    <phoneticPr fontId="3" type="noConversion"/>
  </si>
  <si>
    <t>대출금액</t>
    <phoneticPr fontId="3" type="noConversion"/>
  </si>
  <si>
    <t>총 대출이자</t>
    <phoneticPr fontId="3" type="noConversion"/>
  </si>
  <si>
    <t>총 상환금액</t>
    <phoneticPr fontId="3" type="noConversion"/>
  </si>
  <si>
    <t>◀  대출1</t>
    <phoneticPr fontId="3" type="noConversion"/>
  </si>
  <si>
    <t>연이자율</t>
    <phoneticPr fontId="3" type="noConversion"/>
  </si>
  <si>
    <t>상환방법</t>
    <phoneticPr fontId="3" type="noConversion"/>
  </si>
  <si>
    <t>상환만기일</t>
    <phoneticPr fontId="3" type="noConversion"/>
  </si>
  <si>
    <t>원리금균등상환</t>
  </si>
  <si>
    <t>상환기간(개월)</t>
    <phoneticPr fontId="3" type="noConversion"/>
  </si>
  <si>
    <t>남은기간(개월)</t>
    <phoneticPr fontId="3" type="noConversion"/>
  </si>
  <si>
    <t>거치기간(개월)</t>
    <phoneticPr fontId="3" type="noConversion"/>
  </si>
  <si>
    <t>회차</t>
    <phoneticPr fontId="3" type="noConversion"/>
  </si>
  <si>
    <t>상환일</t>
    <phoneticPr fontId="3" type="noConversion"/>
  </si>
  <si>
    <t>납입원금</t>
    <phoneticPr fontId="3" type="noConversion"/>
  </si>
  <si>
    <t>대출이자</t>
    <phoneticPr fontId="3" type="noConversion"/>
  </si>
  <si>
    <t>월상환금</t>
    <phoneticPr fontId="3" type="noConversion"/>
  </si>
  <si>
    <t>누적상환금</t>
    <phoneticPr fontId="3" type="noConversion"/>
  </si>
  <si>
    <t>대출잔금</t>
    <phoneticPr fontId="3" type="noConversion"/>
  </si>
  <si>
    <t>◀  대출2</t>
    <phoneticPr fontId="3" type="noConversion"/>
  </si>
  <si>
    <t>◀  대출3</t>
    <phoneticPr fontId="3" type="noConversion"/>
  </si>
  <si>
    <t>00은행</t>
    <phoneticPr fontId="3" type="noConversion"/>
  </si>
  <si>
    <t>00대출</t>
    <phoneticPr fontId="3" type="noConversion"/>
  </si>
  <si>
    <t>총 자산 대비 부채비율</t>
    <phoneticPr fontId="3" type="noConversion"/>
  </si>
  <si>
    <t>친구 축의금 내야함!</t>
    <phoneticPr fontId="3" type="noConversion"/>
  </si>
  <si>
    <t>추가 종자돈 3천만원 모으기</t>
    <phoneticPr fontId="3" type="noConversion"/>
  </si>
  <si>
    <t>매월 저축 및 투자 250만원 이상</t>
    <phoneticPr fontId="3" type="noConversion"/>
  </si>
  <si>
    <t>1월 7월 부가세, 4월, 10월 예정고지</t>
    <phoneticPr fontId="3" type="noConversion"/>
  </si>
  <si>
    <t>매월 5일 출금</t>
    <phoneticPr fontId="3" type="noConversion"/>
  </si>
  <si>
    <t>변동지출 10만원 이하로 쓰기!</t>
    <phoneticPr fontId="3" type="noConversion"/>
  </si>
  <si>
    <t>지난달 예산에서는 생각못한 축의금 지출이 있었지만 비상금에서 쓰지 않고 다른 지출을 줄였다! 칭찬!</t>
    <phoneticPr fontId="3" type="noConversion"/>
  </si>
  <si>
    <t>식비를 예산보다 조금 많이 썼다. 다음달에는 냉장고 파먹기를 해서 한끼만큼 식비를 줄여야겠다.</t>
    <phoneticPr fontId="3" type="noConversion"/>
  </si>
  <si>
    <t>투자관리</t>
    <phoneticPr fontId="3" type="noConversion"/>
  </si>
  <si>
    <t>목록</t>
    <phoneticPr fontId="3" type="noConversion"/>
  </si>
  <si>
    <t>finance.naver.com/sise/sise_market_sum.naver?&amp;page=1</t>
  </si>
  <si>
    <t>finance.naver.com/sise/sise_market_sum.naver?&amp;page=2</t>
  </si>
  <si>
    <t>finance.naver.com/sise/sise_market_sum.naver?&amp;page=3</t>
  </si>
  <si>
    <t>finance.naver.com/sise/sise_market_sum.naver?&amp;page=4</t>
  </si>
  <si>
    <t>finance.naver.com/sise/sise_market_sum.naver?&amp;page=5</t>
  </si>
  <si>
    <t>finance.naver.com/sise/sise_market_sum.naver?&amp;page=6</t>
  </si>
  <si>
    <t>finance.naver.com/sise/sise_market_sum.naver?&amp;page=7</t>
  </si>
  <si>
    <t>finance.naver.com/sise/sise_market_sum.naver?&amp;page=8</t>
  </si>
  <si>
    <t>finance.naver.com/sise/sise_market_sum.naver?&amp;page=9</t>
  </si>
  <si>
    <t>finance.naver.com/sise/sise_market_sum.naver?&amp;page=10</t>
  </si>
  <si>
    <t>finance.naver.com/sise/sise_market_sum.naver?&amp;page=11</t>
  </si>
  <si>
    <t>finance.naver.com/sise/sise_market_sum.naver?&amp;page=12</t>
  </si>
  <si>
    <t>finance.naver.com/sise/sise_market_sum.naver?&amp;page=13</t>
  </si>
  <si>
    <t>finance.naver.com/sise/sise_market_sum.naver?&amp;page=14</t>
  </si>
  <si>
    <t>finance.naver.com/sise/sise_market_sum.naver?&amp;page=15</t>
  </si>
  <si>
    <t>finance.naver.com/sise/sise_market_sum.naver?&amp;page=16</t>
  </si>
  <si>
    <t>finance.naver.com/sise/sise_market_sum.naver?&amp;page=17</t>
  </si>
  <si>
    <t>finance.naver.com/sise/sise_market_sum.naver?&amp;page=18</t>
  </si>
  <si>
    <t>finance.naver.com/sise/sise_market_sum.naver?&amp;page=19</t>
  </si>
  <si>
    <t>finance.naver.com/sise/sise_market_sum.naver?&amp;page=20</t>
  </si>
  <si>
    <t>finance.naver.com/sise/sise_market_sum.naver?&amp;page=21</t>
  </si>
  <si>
    <t>finance.naver.com/sise/sise_market_sum.naver?&amp;page=22</t>
  </si>
  <si>
    <t>finance.naver.com/sise/sise_market_sum.naver?&amp;page=23</t>
  </si>
  <si>
    <t>finance.naver.com/sise/sise_market_sum.naver?&amp;page=24</t>
  </si>
  <si>
    <t>finance.naver.com/sise/sise_market_sum.naver?&amp;page=25</t>
  </si>
  <si>
    <t>finance.naver.com/sise/sise_market_sum.naver?&amp;page=26</t>
  </si>
  <si>
    <t>finance.naver.com/sise/sise_market_sum.naver?&amp;page=27</t>
  </si>
  <si>
    <t>finance.naver.com/sise/sise_market_sum.naver?&amp;page=28</t>
  </si>
  <si>
    <t>finance.naver.com/sise/sise_market_sum.naver?&amp;page=29</t>
  </si>
  <si>
    <t>finance.naver.com/sise/sise_market_sum.naver?&amp;page=30</t>
  </si>
  <si>
    <t>finance.naver.com/sise/sise_market_sum.naver?&amp;page=31</t>
  </si>
  <si>
    <t>finance.naver.com/sise/sise_market_sum.naver?&amp;page=32</t>
  </si>
  <si>
    <t>finance.naver.com/sise/sise_market_sum.naver?&amp;page=33</t>
  </si>
  <si>
    <t>finance.naver.com/sise/sise_market_sum.naver?&amp;page=34</t>
  </si>
  <si>
    <t>finance.naver.com/sise/sise_market_sum.naver?&amp;page=35</t>
  </si>
  <si>
    <t>finance.naver.com/sise/sise_market_sum.naver?&amp;page=36</t>
  </si>
  <si>
    <t>finance.naver.com/sise/sise_market_sum.naver?&amp;page=37</t>
  </si>
  <si>
    <t>finance.naver.com/sise/sise_market_sum.naver?&amp;page=38</t>
  </si>
  <si>
    <t>finance.naver.com/sise/sise_market_sum.naver?&amp;page=39</t>
  </si>
  <si>
    <t>finance.naver.com/sise/sise_market_sum.naver?&amp;page=40</t>
  </si>
  <si>
    <t>finance.naver.com/sise/sise_market_sum.naver?&amp;page=41</t>
  </si>
  <si>
    <t>finance.naver.com/sise/sise_market_sum.naver?&amp;page=42</t>
  </si>
  <si>
    <t>finance.naver.com/sise/sise_market_sum.naver?&amp;page=43</t>
  </si>
  <si>
    <t>finance.naver.com/sise/sise_market_sum.naver?&amp;page=44</t>
  </si>
  <si>
    <t>finance.naver.com/sise/sise_market_sum.naver?&amp;page=45</t>
  </si>
  <si>
    <t>finance.naver.com/sise/sise_market_sum.naver?&amp;page=46</t>
  </si>
  <si>
    <t>finance.naver.com/sise/sise_market_sum.naver?sosok=1&amp;page=1</t>
    <phoneticPr fontId="3" type="noConversion"/>
  </si>
  <si>
    <t>finance.naver.com/sise/sise_market_sum.naver?sosok=1&amp;page=2</t>
  </si>
  <si>
    <t>finance.naver.com/sise/sise_market_sum.naver?sosok=1&amp;page=3</t>
  </si>
  <si>
    <t>finance.naver.com/sise/sise_market_sum.naver?sosok=1&amp;page=4</t>
  </si>
  <si>
    <t>finance.naver.com/sise/sise_market_sum.naver?sosok=1&amp;page=5</t>
  </si>
  <si>
    <t>finance.naver.com/sise/sise_market_sum.naver?sosok=1&amp;page=6</t>
  </si>
  <si>
    <t>finance.naver.com/sise/sise_market_sum.naver?sosok=1&amp;page=7</t>
  </si>
  <si>
    <t>finance.naver.com/sise/sise_market_sum.naver?sosok=1&amp;page=8</t>
  </si>
  <si>
    <t>finance.naver.com/sise/sise_market_sum.naver?sosok=1&amp;page=9</t>
  </si>
  <si>
    <t>finance.naver.com/sise/sise_market_sum.naver?sosok=1&amp;page=10</t>
  </si>
  <si>
    <t>finance.naver.com/sise/sise_market_sum.naver?sosok=1&amp;page=11</t>
  </si>
  <si>
    <t>finance.naver.com/sise/sise_market_sum.naver?sosok=1&amp;page=12</t>
  </si>
  <si>
    <t>finance.naver.com/sise/sise_market_sum.naver?sosok=1&amp;page=13</t>
  </si>
  <si>
    <t>finance.naver.com/sise/sise_market_sum.naver?sosok=1&amp;page=14</t>
  </si>
  <si>
    <t>finance.naver.com/sise/sise_market_sum.naver?sosok=1&amp;page=15</t>
  </si>
  <si>
    <t>finance.naver.com/sise/sise_market_sum.naver?sosok=1&amp;page=16</t>
  </si>
  <si>
    <t>finance.naver.com/sise/sise_market_sum.naver?sosok=1&amp;page=17</t>
  </si>
  <si>
    <t>finance.naver.com/sise/sise_market_sum.naver?sosok=1&amp;page=18</t>
  </si>
  <si>
    <t>finance.naver.com/sise/sise_market_sum.naver?sosok=1&amp;page=19</t>
  </si>
  <si>
    <t>finance.naver.com/sise/sise_market_sum.naver?sosok=1&amp;page=20</t>
  </si>
  <si>
    <t>finance.naver.com/sise/sise_market_sum.naver?sosok=1&amp;page=21</t>
  </si>
  <si>
    <t>finance.naver.com/sise/sise_market_sum.naver?sosok=1&amp;page=22</t>
  </si>
  <si>
    <t>finance.naver.com/sise/sise_market_sum.naver?sosok=1&amp;page=23</t>
  </si>
  <si>
    <t>finance.naver.com/sise/sise_market_sum.naver?sosok=1&amp;page=24</t>
  </si>
  <si>
    <t>finance.naver.com/sise/sise_market_sum.naver?sosok=1&amp;page=25</t>
  </si>
  <si>
    <t>finance.naver.com/sise/sise_market_sum.naver?sosok=1&amp;page=26</t>
  </si>
  <si>
    <t>finance.naver.com/sise/sise_market_sum.naver?sosok=1&amp;page=27</t>
  </si>
  <si>
    <t>finance.naver.com/sise/sise_market_sum.naver?sosok=1&amp;page=28</t>
  </si>
  <si>
    <t>finance.naver.com/sise/sise_market_sum.naver?sosok=1&amp;page=29</t>
  </si>
  <si>
    <t>finance.naver.com/sise/sise_market_sum.naver?sosok=1&amp;page=30</t>
  </si>
  <si>
    <t>finance.naver.com/sise/sise_market_sum.naver?sosok=1&amp;page=31</t>
  </si>
  <si>
    <t>finance.naver.com/sise/sise_market_sum.naver?sosok=1&amp;page=32</t>
  </si>
  <si>
    <t>finance.naver.com/sise/sise_market_sum.naver?sosok=1&amp;page=33</t>
  </si>
  <si>
    <t>finance.naver.com/sise/sise_market_sum.naver?sosok=1&amp;page=34</t>
  </si>
  <si>
    <t>finance.naver.com/sise/sise_market_sum.naver?sosok=1&amp;page=35</t>
  </si>
  <si>
    <t>finance.naver.com/sise/sise_market_sum.naver?sosok=1&amp;page=36</t>
  </si>
  <si>
    <t>리스트</t>
    <phoneticPr fontId="3" type="noConversion"/>
  </si>
  <si>
    <t>신용카드</t>
  </si>
  <si>
    <t>신용카드</t>
    <phoneticPr fontId="3" type="noConversion"/>
  </si>
  <si>
    <t>체크카드</t>
    <phoneticPr fontId="3" type="noConversion"/>
  </si>
  <si>
    <t>은행</t>
    <phoneticPr fontId="3" type="noConversion"/>
  </si>
  <si>
    <t>우리은행</t>
    <phoneticPr fontId="3" type="noConversion"/>
  </si>
  <si>
    <t>하나은행</t>
    <phoneticPr fontId="3" type="noConversion"/>
  </si>
  <si>
    <t>카카오뱅크</t>
    <phoneticPr fontId="3" type="noConversion"/>
  </si>
  <si>
    <t>본인</t>
  </si>
  <si>
    <t>본인</t>
    <phoneticPr fontId="3" type="noConversion"/>
  </si>
  <si>
    <t>가족</t>
    <phoneticPr fontId="3" type="noConversion"/>
  </si>
  <si>
    <t>친구</t>
    <phoneticPr fontId="3" type="noConversion"/>
  </si>
  <si>
    <t>데이트</t>
    <phoneticPr fontId="3" type="noConversion"/>
  </si>
  <si>
    <t>회사</t>
    <phoneticPr fontId="3" type="noConversion"/>
  </si>
  <si>
    <t>계좌종류</t>
    <phoneticPr fontId="3" type="noConversion"/>
  </si>
  <si>
    <t>입출금</t>
    <phoneticPr fontId="3" type="noConversion"/>
  </si>
  <si>
    <t>예금</t>
    <phoneticPr fontId="3" type="noConversion"/>
  </si>
  <si>
    <t>적금</t>
    <phoneticPr fontId="3" type="noConversion"/>
  </si>
  <si>
    <t>증권</t>
    <phoneticPr fontId="3" type="noConversion"/>
  </si>
  <si>
    <t>기타</t>
    <phoneticPr fontId="3" type="noConversion"/>
  </si>
  <si>
    <t>결제구분</t>
    <phoneticPr fontId="3" type="noConversion"/>
  </si>
  <si>
    <t>계좌이체</t>
    <phoneticPr fontId="3" type="noConversion"/>
  </si>
  <si>
    <t>삼성_텝텝오</t>
  </si>
  <si>
    <t>삼성_텝텝오</t>
    <phoneticPr fontId="3" type="noConversion"/>
  </si>
  <si>
    <t>롯데_로카</t>
    <phoneticPr fontId="3" type="noConversion"/>
  </si>
  <si>
    <t>월급</t>
    <phoneticPr fontId="3" type="noConversion"/>
  </si>
  <si>
    <t>대상분류</t>
    <phoneticPr fontId="3" type="noConversion"/>
  </si>
  <si>
    <t>대상분류</t>
    <phoneticPr fontId="3" type="noConversion"/>
  </si>
  <si>
    <t>결제분류</t>
    <phoneticPr fontId="3" type="noConversion"/>
  </si>
  <si>
    <t>결제상세</t>
    <phoneticPr fontId="3" type="noConversion"/>
  </si>
  <si>
    <t>영화</t>
  </si>
  <si>
    <t>영화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</si>
</sst>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-* #,##0_-;\-* #,##0_-;_-* &quot;-&quot;??_-;_-@_-"/>
    <numFmt numFmtId="177" formatCode="0.0%"/>
    <numFmt numFmtId="178" formatCode="General&quot;개월&quot;"/>
    <numFmt numFmtId="179" formatCode="General&quot;개&quot;&quot;월&quot;"/>
    <numFmt numFmtId="181" formatCode="0_ "/>
    <numFmt numFmtId="187" formatCode="[$NZD]\ #,##0.00"/>
    <numFmt numFmtId="191" formatCode="General&quot;일&quot;"/>
    <numFmt numFmtId="192" formatCode="dd"/>
    <numFmt numFmtId="193" formatCode="0&quot;월&quot;"/>
    <numFmt numFmtId="194" formatCode="\+#,##0;[Red]\-#,##0"/>
    <numFmt numFmtId="195" formatCode="[Red]\▲* #,##0;[Blue]\▼* #,##0"/>
  </numFmts>
  <fonts count="4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 tint="0.34998626667073579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sz val="8"/>
      <color theme="2" tint="-0.49998474074526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2" tint="-0.749992370372631"/>
      <name val="맑은 고딕"/>
      <family val="3"/>
      <charset val="129"/>
      <scheme val="minor"/>
    </font>
    <font>
      <b/>
      <sz val="8"/>
      <color theme="2" tint="-0.499984740745262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2" tint="-0.499984740745262"/>
      <name val="맑은 고딕"/>
      <family val="3"/>
      <charset val="129"/>
      <scheme val="minor"/>
    </font>
    <font>
      <b/>
      <sz val="12"/>
      <color theme="2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2" tint="-0.499984740745262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10"/>
      <color theme="2" tint="-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2" tint="-0.499984740745262"/>
      <name val="맑은 고딕"/>
      <family val="3"/>
      <charset val="129"/>
      <scheme val="minor"/>
    </font>
    <font>
      <sz val="10"/>
      <color theme="2" tint="-0.499984740745262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1"/>
      <color theme="2" tint="-0.749992370372631"/>
      <name val="맑은 고딕"/>
      <family val="3"/>
      <charset val="129"/>
      <scheme val="minor"/>
    </font>
    <font>
      <b/>
      <sz val="16"/>
      <color theme="2" tint="-0.499984740745262"/>
      <name val="맑은 고딕"/>
      <family val="3"/>
      <charset val="129"/>
      <scheme val="minor"/>
    </font>
    <font>
      <sz val="8"/>
      <color theme="2" tint="-0.499984740745262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rgb="FFC0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</cellStyleXfs>
  <cellXfs count="59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41" fontId="7" fillId="4" borderId="2" xfId="1" applyFont="1" applyFill="1" applyBorder="1">
      <alignment vertical="center"/>
    </xf>
    <xf numFmtId="14" fontId="7" fillId="4" borderId="3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41" fontId="7" fillId="4" borderId="4" xfId="1" applyFont="1" applyFill="1" applyBorder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41" fontId="4" fillId="4" borderId="8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1" fontId="9" fillId="2" borderId="9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41" fontId="9" fillId="2" borderId="21" xfId="1" applyFont="1" applyFill="1" applyBorder="1" applyAlignment="1">
      <alignment horizontal="center" vertical="center"/>
    </xf>
    <xf numFmtId="41" fontId="9" fillId="2" borderId="20" xfId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41" fontId="9" fillId="2" borderId="23" xfId="1" applyFont="1" applyFill="1" applyBorder="1" applyAlignment="1">
      <alignment horizontal="center" vertical="center"/>
    </xf>
    <xf numFmtId="41" fontId="9" fillId="2" borderId="2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7" xfId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4" borderId="3" xfId="0" applyFont="1" applyFill="1" applyBorder="1" applyAlignment="1">
      <alignment horizontal="center" vertical="center"/>
    </xf>
    <xf numFmtId="41" fontId="7" fillId="4" borderId="8" xfId="1" applyFont="1" applyFill="1" applyBorder="1">
      <alignment vertical="center"/>
    </xf>
    <xf numFmtId="41" fontId="7" fillId="4" borderId="7" xfId="1" applyFont="1" applyFill="1" applyBorder="1">
      <alignment vertical="center"/>
    </xf>
    <xf numFmtId="14" fontId="7" fillId="4" borderId="7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10" fillId="0" borderId="0" xfId="1" applyFont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41" fontId="7" fillId="4" borderId="8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10" xfId="0" applyFont="1" applyFill="1" applyBorder="1">
      <alignment vertical="center"/>
    </xf>
    <xf numFmtId="0" fontId="16" fillId="5" borderId="0" xfId="0" applyFont="1" applyFill="1" applyAlignment="1">
      <alignment horizontal="center" vertical="center"/>
    </xf>
    <xf numFmtId="41" fontId="17" fillId="0" borderId="0" xfId="0" applyNumberFormat="1" applyFont="1">
      <alignment vertical="center"/>
    </xf>
    <xf numFmtId="41" fontId="18" fillId="0" borderId="10" xfId="1" applyFont="1" applyBorder="1">
      <alignment vertical="center"/>
    </xf>
    <xf numFmtId="41" fontId="18" fillId="0" borderId="10" xfId="0" applyNumberFormat="1" applyFont="1" applyBorder="1">
      <alignment vertical="center"/>
    </xf>
    <xf numFmtId="41" fontId="7" fillId="4" borderId="2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14" fontId="7" fillId="0" borderId="4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left" vertical="center" indent="1"/>
    </xf>
    <xf numFmtId="41" fontId="7" fillId="0" borderId="46" xfId="1" applyFont="1" applyBorder="1">
      <alignment vertical="center"/>
    </xf>
    <xf numFmtId="0" fontId="7" fillId="0" borderId="46" xfId="0" applyFont="1" applyBorder="1" applyAlignment="1">
      <alignment horizontal="center" vertical="center"/>
    </xf>
    <xf numFmtId="41" fontId="14" fillId="0" borderId="0" xfId="0" applyNumberFormat="1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indent="1"/>
    </xf>
    <xf numFmtId="41" fontId="18" fillId="0" borderId="10" xfId="0" applyNumberFormat="1" applyFont="1" applyBorder="1" applyAlignment="1">
      <alignment horizontal="center" vertical="center"/>
    </xf>
    <xf numFmtId="41" fontId="18" fillId="0" borderId="0" xfId="1" applyFont="1" applyAlignment="1">
      <alignment horizontal="center" vertical="center"/>
    </xf>
    <xf numFmtId="14" fontId="16" fillId="5" borderId="10" xfId="0" applyNumberFormat="1" applyFont="1" applyFill="1" applyBorder="1" applyAlignment="1">
      <alignment horizontal="center" vertical="center"/>
    </xf>
    <xf numFmtId="14" fontId="16" fillId="5" borderId="0" xfId="0" applyNumberFormat="1" applyFont="1" applyFill="1" applyAlignment="1">
      <alignment horizontal="center" vertical="center"/>
    </xf>
    <xf numFmtId="41" fontId="18" fillId="0" borderId="26" xfId="0" applyNumberFormat="1" applyFont="1" applyBorder="1">
      <alignment vertical="center"/>
    </xf>
    <xf numFmtId="41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5" fillId="5" borderId="0" xfId="0" applyFont="1" applyFill="1">
      <alignment vertical="center"/>
    </xf>
    <xf numFmtId="0" fontId="0" fillId="4" borderId="0" xfId="0" applyFill="1">
      <alignment vertical="center"/>
    </xf>
    <xf numFmtId="0" fontId="22" fillId="4" borderId="0" xfId="0" applyFont="1" applyFill="1">
      <alignment vertical="center"/>
    </xf>
    <xf numFmtId="0" fontId="23" fillId="0" borderId="0" xfId="0" applyFont="1">
      <alignment vertical="center"/>
    </xf>
    <xf numFmtId="0" fontId="7" fillId="4" borderId="2" xfId="1" applyNumberFormat="1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1" fontId="6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1" fontId="20" fillId="0" borderId="0" xfId="1" applyFont="1">
      <alignment vertical="center"/>
    </xf>
    <xf numFmtId="14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41" fontId="20" fillId="0" borderId="0" xfId="0" applyNumberFormat="1" applyFont="1">
      <alignment vertical="center"/>
    </xf>
    <xf numFmtId="0" fontId="24" fillId="0" borderId="0" xfId="0" applyFont="1">
      <alignment vertical="center"/>
    </xf>
    <xf numFmtId="41" fontId="12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6" fillId="4" borderId="0" xfId="0" applyFont="1" applyFill="1">
      <alignment vertical="center"/>
    </xf>
    <xf numFmtId="0" fontId="25" fillId="4" borderId="0" xfId="0" applyFont="1" applyFill="1">
      <alignment vertical="center"/>
    </xf>
    <xf numFmtId="0" fontId="25" fillId="4" borderId="0" xfId="0" applyFont="1" applyFill="1" applyAlignment="1">
      <alignment horizontal="left" vertical="center" indent="1"/>
    </xf>
    <xf numFmtId="0" fontId="12" fillId="4" borderId="3" xfId="0" applyFont="1" applyFill="1" applyBorder="1" applyAlignment="1">
      <alignment horizontal="center" vertical="center"/>
    </xf>
    <xf numFmtId="41" fontId="12" fillId="4" borderId="8" xfId="1" applyFont="1" applyFill="1" applyBorder="1">
      <alignment vertical="center"/>
    </xf>
    <xf numFmtId="41" fontId="12" fillId="4" borderId="7" xfId="0" applyNumberFormat="1" applyFont="1" applyFill="1" applyBorder="1">
      <alignment vertical="center"/>
    </xf>
    <xf numFmtId="10" fontId="12" fillId="4" borderId="7" xfId="2" applyNumberFormat="1" applyFont="1" applyFill="1" applyBorder="1" applyAlignment="1">
      <alignment horizontal="right" vertical="center" indent="1"/>
    </xf>
    <xf numFmtId="10" fontId="12" fillId="4" borderId="7" xfId="0" applyNumberFormat="1" applyFont="1" applyFill="1" applyBorder="1" applyAlignment="1">
      <alignment horizontal="right" vertical="center" indent="1"/>
    </xf>
    <xf numFmtId="0" fontId="0" fillId="6" borderId="0" xfId="0" applyFill="1">
      <alignment vertical="center"/>
    </xf>
    <xf numFmtId="0" fontId="12" fillId="4" borderId="11" xfId="0" applyFont="1" applyFill="1" applyBorder="1" applyAlignment="1">
      <alignment horizontal="center" vertical="center"/>
    </xf>
    <xf numFmtId="10" fontId="12" fillId="4" borderId="45" xfId="2" applyNumberFormat="1" applyFont="1" applyFill="1" applyBorder="1" applyAlignment="1">
      <alignment horizontal="right" vertical="center" indent="1"/>
    </xf>
    <xf numFmtId="41" fontId="4" fillId="0" borderId="0" xfId="1" applyFont="1" applyFill="1" applyBorder="1">
      <alignment vertical="center"/>
    </xf>
    <xf numFmtId="14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41" fontId="4" fillId="0" borderId="0" xfId="0" applyNumberFormat="1" applyFont="1">
      <alignment vertical="center"/>
    </xf>
    <xf numFmtId="41" fontId="14" fillId="0" borderId="0" xfId="1" applyFont="1" applyFill="1" applyBorder="1">
      <alignment vertical="center"/>
    </xf>
    <xf numFmtId="0" fontId="16" fillId="0" borderId="0" xfId="0" applyFont="1" applyAlignment="1">
      <alignment horizontal="center" vertical="center"/>
    </xf>
    <xf numFmtId="187" fontId="18" fillId="0" borderId="0" xfId="0" applyNumberFormat="1" applyFont="1">
      <alignment vertical="center"/>
    </xf>
    <xf numFmtId="41" fontId="18" fillId="0" borderId="0" xfId="1" applyFont="1" applyFill="1" applyBorder="1">
      <alignment vertical="center"/>
    </xf>
    <xf numFmtId="187" fontId="6" fillId="0" borderId="0" xfId="0" applyNumberFormat="1" applyFont="1">
      <alignment vertical="center"/>
    </xf>
    <xf numFmtId="3" fontId="6" fillId="0" borderId="0" xfId="1" applyNumberFormat="1" applyFont="1" applyFill="1" applyBorder="1">
      <alignment vertical="center"/>
    </xf>
    <xf numFmtId="187" fontId="17" fillId="0" borderId="0" xfId="0" applyNumberFormat="1" applyFont="1">
      <alignment vertical="center"/>
    </xf>
    <xf numFmtId="41" fontId="6" fillId="0" borderId="0" xfId="1" applyFont="1" applyFill="1" applyBorder="1">
      <alignment vertical="center"/>
    </xf>
    <xf numFmtId="41" fontId="7" fillId="0" borderId="0" xfId="1" applyFont="1" applyFill="1" applyBorder="1">
      <alignment vertical="center"/>
    </xf>
    <xf numFmtId="0" fontId="27" fillId="0" borderId="0" xfId="0" applyFont="1">
      <alignment vertical="center"/>
    </xf>
    <xf numFmtId="0" fontId="27" fillId="0" borderId="5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41" fontId="9" fillId="0" borderId="0" xfId="1" applyFont="1" applyFill="1" applyBorder="1" applyAlignment="1">
      <alignment horizontal="center" vertical="center"/>
    </xf>
    <xf numFmtId="176" fontId="9" fillId="0" borderId="0" xfId="1" applyNumberFormat="1" applyFont="1" applyFill="1" applyBorder="1" applyAlignment="1">
      <alignment horizontal="center" vertical="center"/>
    </xf>
    <xf numFmtId="177" fontId="7" fillId="4" borderId="3" xfId="2" applyNumberFormat="1" applyFont="1" applyFill="1" applyBorder="1" applyAlignment="1">
      <alignment horizontal="right" vertical="center" indent="1"/>
    </xf>
    <xf numFmtId="0" fontId="5" fillId="5" borderId="0" xfId="0" applyFont="1" applyFill="1" applyAlignment="1">
      <alignment horizontal="center" vertical="center"/>
    </xf>
    <xf numFmtId="0" fontId="28" fillId="0" borderId="0" xfId="0" applyFont="1">
      <alignment vertical="center"/>
    </xf>
    <xf numFmtId="0" fontId="9" fillId="4" borderId="5" xfId="0" applyFont="1" applyFill="1" applyBorder="1" applyAlignment="1">
      <alignment horizontal="center" vertical="center"/>
    </xf>
    <xf numFmtId="41" fontId="9" fillId="4" borderId="9" xfId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41" fontId="7" fillId="4" borderId="14" xfId="1" applyFont="1" applyFill="1" applyBorder="1" applyAlignment="1">
      <alignment horizontal="center" vertical="center"/>
    </xf>
    <xf numFmtId="41" fontId="9" fillId="4" borderId="9" xfId="0" applyNumberFormat="1" applyFont="1" applyFill="1" applyBorder="1" applyAlignment="1">
      <alignment horizontal="center" vertical="center"/>
    </xf>
    <xf numFmtId="41" fontId="9" fillId="2" borderId="22" xfId="0" applyNumberFormat="1" applyFont="1" applyFill="1" applyBorder="1" applyAlignment="1">
      <alignment horizontal="center" vertical="center"/>
    </xf>
    <xf numFmtId="176" fontId="9" fillId="2" borderId="20" xfId="0" applyNumberFormat="1" applyFont="1" applyFill="1" applyBorder="1" applyAlignment="1">
      <alignment horizontal="center" vertical="center"/>
    </xf>
    <xf numFmtId="0" fontId="7" fillId="4" borderId="3" xfId="2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41" fontId="7" fillId="0" borderId="0" xfId="1" applyFont="1" applyBorder="1">
      <alignment vertical="center"/>
    </xf>
    <xf numFmtId="41" fontId="12" fillId="0" borderId="0" xfId="1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7" fillId="4" borderId="8" xfId="1" applyNumberFormat="1" applyFont="1" applyFill="1" applyBorder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7" fillId="0" borderId="0" xfId="1" applyNumberFormat="1" applyFont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41" fontId="7" fillId="4" borderId="57" xfId="1" applyFont="1" applyFill="1" applyBorder="1">
      <alignment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41" fontId="7" fillId="4" borderId="37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0" fontId="7" fillId="2" borderId="9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1" fontId="7" fillId="4" borderId="43" xfId="1" applyFont="1" applyFill="1" applyBorder="1">
      <alignment vertical="center"/>
    </xf>
    <xf numFmtId="41" fontId="7" fillId="4" borderId="35" xfId="0" applyNumberFormat="1" applyFont="1" applyFill="1" applyBorder="1" applyAlignment="1">
      <alignment horizontal="center" vertical="center"/>
    </xf>
    <xf numFmtId="14" fontId="7" fillId="4" borderId="7" xfId="1" applyNumberFormat="1" applyFont="1" applyFill="1" applyBorder="1" applyAlignment="1">
      <alignment horizontal="center" vertical="center"/>
    </xf>
    <xf numFmtId="181" fontId="7" fillId="4" borderId="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 wrapText="1" shrinkToFit="1"/>
    </xf>
    <xf numFmtId="0" fontId="7" fillId="2" borderId="6" xfId="0" applyFont="1" applyFill="1" applyBorder="1" applyAlignment="1">
      <alignment horizontal="center" vertical="center" wrapText="1" shrinkToFit="1"/>
    </xf>
    <xf numFmtId="0" fontId="10" fillId="2" borderId="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41" fontId="7" fillId="2" borderId="9" xfId="1" applyFont="1" applyFill="1" applyBorder="1">
      <alignment vertical="center"/>
    </xf>
    <xf numFmtId="9" fontId="7" fillId="2" borderId="6" xfId="0" applyNumberFormat="1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41" fontId="7" fillId="2" borderId="56" xfId="1" applyFont="1" applyFill="1" applyBorder="1" applyAlignment="1">
      <alignment horizontal="center" vertical="center"/>
    </xf>
    <xf numFmtId="9" fontId="7" fillId="2" borderId="57" xfId="2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41" fontId="7" fillId="4" borderId="45" xfId="1" applyFont="1" applyFill="1" applyBorder="1" applyAlignment="1">
      <alignment horizontal="center" vertical="center"/>
    </xf>
    <xf numFmtId="9" fontId="7" fillId="4" borderId="44" xfId="2" applyFont="1" applyFill="1" applyBorder="1" applyAlignment="1">
      <alignment horizontal="center" vertical="center"/>
    </xf>
    <xf numFmtId="41" fontId="7" fillId="4" borderId="42" xfId="1" applyFont="1" applyFill="1" applyBorder="1" applyAlignment="1">
      <alignment horizontal="center" vertical="center"/>
    </xf>
    <xf numFmtId="9" fontId="7" fillId="4" borderId="43" xfId="2" applyFont="1" applyFill="1" applyBorder="1" applyAlignment="1">
      <alignment horizontal="center" vertical="center"/>
    </xf>
    <xf numFmtId="9" fontId="7" fillId="0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41" fontId="7" fillId="4" borderId="3" xfId="1" applyFont="1" applyFill="1" applyBorder="1" applyAlignment="1">
      <alignment vertical="center"/>
    </xf>
    <xf numFmtId="0" fontId="7" fillId="7" borderId="3" xfId="2" applyNumberFormat="1" applyFont="1" applyFill="1" applyBorder="1" applyAlignment="1">
      <alignment horizontal="center" vertical="center"/>
    </xf>
    <xf numFmtId="178" fontId="7" fillId="7" borderId="8" xfId="1" applyNumberFormat="1" applyFont="1" applyFill="1" applyBorder="1" applyAlignment="1">
      <alignment horizontal="center" vertical="center"/>
    </xf>
    <xf numFmtId="177" fontId="7" fillId="7" borderId="8" xfId="2" applyNumberFormat="1" applyFont="1" applyFill="1" applyBorder="1" applyAlignment="1">
      <alignment horizontal="right" vertical="center" indent="1"/>
    </xf>
    <xf numFmtId="41" fontId="7" fillId="7" borderId="8" xfId="1" applyFont="1" applyFill="1" applyBorder="1">
      <alignment vertical="center"/>
    </xf>
    <xf numFmtId="41" fontId="7" fillId="7" borderId="2" xfId="1" applyFont="1" applyFill="1" applyBorder="1" applyAlignment="1">
      <alignment horizontal="center" vertical="center"/>
    </xf>
    <xf numFmtId="14" fontId="7" fillId="7" borderId="8" xfId="1" applyNumberFormat="1" applyFont="1" applyFill="1" applyBorder="1" applyAlignment="1">
      <alignment horizontal="center" vertical="center"/>
    </xf>
    <xf numFmtId="0" fontId="7" fillId="7" borderId="8" xfId="2" applyNumberFormat="1" applyFont="1" applyFill="1" applyBorder="1" applyAlignment="1">
      <alignment horizontal="center" vertical="center"/>
    </xf>
    <xf numFmtId="41" fontId="7" fillId="7" borderId="8" xfId="1" applyFont="1" applyFill="1" applyBorder="1" applyAlignment="1">
      <alignment horizontal="right" vertical="center" indent="1"/>
    </xf>
    <xf numFmtId="41" fontId="7" fillId="7" borderId="7" xfId="1" applyFont="1" applyFill="1" applyBorder="1">
      <alignment vertical="center"/>
    </xf>
    <xf numFmtId="41" fontId="7" fillId="7" borderId="4" xfId="1" applyFont="1" applyFill="1" applyBorder="1">
      <alignment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41" fontId="7" fillId="4" borderId="3" xfId="1" applyFont="1" applyFill="1" applyBorder="1" applyAlignment="1">
      <alignment horizontal="center" vertical="center"/>
    </xf>
    <xf numFmtId="41" fontId="10" fillId="2" borderId="49" xfId="1" applyFont="1" applyFill="1" applyBorder="1" applyAlignment="1">
      <alignment horizontal="center" vertical="center"/>
    </xf>
    <xf numFmtId="41" fontId="10" fillId="2" borderId="10" xfId="1" applyFont="1" applyFill="1" applyBorder="1" applyAlignment="1">
      <alignment horizontal="center" vertical="center"/>
    </xf>
    <xf numFmtId="41" fontId="7" fillId="4" borderId="13" xfId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41" fontId="7" fillId="4" borderId="27" xfId="1" applyFont="1" applyFill="1" applyBorder="1" applyAlignment="1">
      <alignment horizontal="center" vertical="center"/>
    </xf>
    <xf numFmtId="41" fontId="10" fillId="2" borderId="47" xfId="1" applyFont="1" applyFill="1" applyBorder="1" applyAlignment="1">
      <alignment horizontal="center" vertical="center"/>
    </xf>
    <xf numFmtId="41" fontId="10" fillId="2" borderId="25" xfId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41" fontId="7" fillId="4" borderId="49" xfId="1" applyFont="1" applyFill="1" applyBorder="1" applyAlignment="1">
      <alignment horizontal="center" vertical="center"/>
    </xf>
    <xf numFmtId="41" fontId="7" fillId="4" borderId="4" xfId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41" fontId="7" fillId="4" borderId="60" xfId="1" applyFont="1" applyFill="1" applyBorder="1" applyAlignment="1">
      <alignment horizontal="center" vertical="center"/>
    </xf>
    <xf numFmtId="41" fontId="7" fillId="4" borderId="43" xfId="1" applyFont="1" applyFill="1" applyBorder="1" applyAlignment="1">
      <alignment horizontal="center" vertical="center"/>
    </xf>
    <xf numFmtId="41" fontId="10" fillId="2" borderId="60" xfId="1" applyFont="1" applyFill="1" applyBorder="1" applyAlignment="1">
      <alignment horizontal="center" vertical="center"/>
    </xf>
    <xf numFmtId="41" fontId="10" fillId="2" borderId="33" xfId="1" applyFont="1" applyFill="1" applyBorder="1" applyAlignment="1">
      <alignment horizontal="center" vertical="center"/>
    </xf>
    <xf numFmtId="41" fontId="10" fillId="2" borderId="55" xfId="1" applyFont="1" applyFill="1" applyBorder="1" applyAlignment="1">
      <alignment horizontal="center" vertical="center"/>
    </xf>
    <xf numFmtId="41" fontId="10" fillId="2" borderId="9" xfId="1" applyFont="1" applyFill="1" applyBorder="1" applyAlignment="1">
      <alignment horizontal="center" vertical="center"/>
    </xf>
    <xf numFmtId="41" fontId="10" fillId="2" borderId="6" xfId="1" applyFont="1" applyFill="1" applyBorder="1" applyAlignment="1">
      <alignment horizontal="center" vertical="center"/>
    </xf>
    <xf numFmtId="41" fontId="10" fillId="2" borderId="24" xfId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9" fontId="7" fillId="4" borderId="45" xfId="2" applyFont="1" applyFill="1" applyBorder="1" applyAlignment="1">
      <alignment horizontal="center" vertical="center"/>
    </xf>
    <xf numFmtId="9" fontId="10" fillId="2" borderId="62" xfId="2" applyFont="1" applyFill="1" applyBorder="1" applyAlignment="1">
      <alignment horizontal="center" vertical="center"/>
    </xf>
    <xf numFmtId="9" fontId="7" fillId="4" borderId="62" xfId="2" applyFont="1" applyFill="1" applyBorder="1" applyAlignment="1">
      <alignment horizontal="center" vertical="center"/>
    </xf>
    <xf numFmtId="9" fontId="7" fillId="4" borderId="7" xfId="2" applyFont="1" applyFill="1" applyBorder="1" applyAlignment="1">
      <alignment horizontal="center" vertical="center"/>
    </xf>
    <xf numFmtId="9" fontId="7" fillId="4" borderId="31" xfId="2" applyFont="1" applyFill="1" applyBorder="1" applyAlignment="1">
      <alignment horizontal="center" vertical="center"/>
    </xf>
    <xf numFmtId="41" fontId="10" fillId="2" borderId="26" xfId="1" applyFont="1" applyFill="1" applyBorder="1" applyAlignment="1">
      <alignment horizontal="center" vertical="center"/>
    </xf>
    <xf numFmtId="9" fontId="7" fillId="4" borderId="42" xfId="2" applyFont="1" applyFill="1" applyBorder="1" applyAlignment="1">
      <alignment horizontal="center" vertical="center"/>
    </xf>
    <xf numFmtId="9" fontId="7" fillId="4" borderId="41" xfId="2" applyFont="1" applyFill="1" applyBorder="1" applyAlignment="1">
      <alignment horizontal="center" vertical="center"/>
    </xf>
    <xf numFmtId="9" fontId="10" fillId="2" borderId="36" xfId="2" applyFont="1" applyFill="1" applyBorder="1" applyAlignment="1">
      <alignment horizontal="center" vertical="center"/>
    </xf>
    <xf numFmtId="9" fontId="10" fillId="2" borderId="43" xfId="2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9" fontId="7" fillId="4" borderId="55" xfId="2" applyFont="1" applyFill="1" applyBorder="1" applyAlignment="1">
      <alignment horizontal="center" vertical="center"/>
    </xf>
    <xf numFmtId="9" fontId="7" fillId="4" borderId="9" xfId="2" applyFont="1" applyFill="1" applyBorder="1" applyAlignment="1">
      <alignment horizontal="center" vertical="center"/>
    </xf>
    <xf numFmtId="9" fontId="7" fillId="4" borderId="28" xfId="2" applyFont="1" applyFill="1" applyBorder="1" applyAlignment="1">
      <alignment horizontal="center" vertical="center"/>
    </xf>
    <xf numFmtId="9" fontId="10" fillId="2" borderId="48" xfId="2" applyFont="1" applyFill="1" applyBorder="1" applyAlignment="1">
      <alignment horizontal="center" vertical="center"/>
    </xf>
    <xf numFmtId="41" fontId="10" fillId="2" borderId="57" xfId="1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41" fontId="7" fillId="4" borderId="35" xfId="1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41" fontId="10" fillId="2" borderId="37" xfId="1" applyFont="1" applyFill="1" applyBorder="1" applyAlignment="1">
      <alignment horizontal="center" vertical="center"/>
    </xf>
    <xf numFmtId="41" fontId="10" fillId="2" borderId="56" xfId="1" applyFont="1" applyFill="1" applyBorder="1" applyAlignment="1">
      <alignment horizontal="center" vertical="center"/>
    </xf>
    <xf numFmtId="41" fontId="10" fillId="2" borderId="48" xfId="1" applyFont="1" applyFill="1" applyBorder="1" applyAlignment="1">
      <alignment horizontal="center" vertical="center"/>
    </xf>
    <xf numFmtId="41" fontId="10" fillId="2" borderId="58" xfId="1" applyFont="1" applyFill="1" applyBorder="1" applyAlignment="1">
      <alignment horizontal="center" vertical="center"/>
    </xf>
    <xf numFmtId="9" fontId="7" fillId="4" borderId="27" xfId="2" applyFont="1" applyFill="1" applyBorder="1" applyAlignment="1">
      <alignment horizontal="center" vertical="center"/>
    </xf>
    <xf numFmtId="9" fontId="10" fillId="2" borderId="47" xfId="2" applyFont="1" applyFill="1" applyBorder="1" applyAlignment="1">
      <alignment horizontal="center" vertical="center"/>
    </xf>
    <xf numFmtId="9" fontId="7" fillId="4" borderId="35" xfId="2" applyFont="1" applyFill="1" applyBorder="1" applyAlignment="1">
      <alignment horizontal="center" vertical="center"/>
    </xf>
    <xf numFmtId="9" fontId="10" fillId="2" borderId="60" xfId="2" applyFont="1" applyFill="1" applyBorder="1" applyAlignment="1">
      <alignment horizontal="center" vertical="center"/>
    </xf>
    <xf numFmtId="9" fontId="10" fillId="2" borderId="35" xfId="2" applyFont="1" applyFill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41" fontId="10" fillId="4" borderId="5" xfId="1" applyFont="1" applyFill="1" applyBorder="1" applyAlignment="1">
      <alignment horizontal="center" vertical="center"/>
    </xf>
    <xf numFmtId="41" fontId="10" fillId="2" borderId="20" xfId="1" applyFont="1" applyFill="1" applyBorder="1" applyAlignment="1">
      <alignment horizontal="center" vertical="center"/>
    </xf>
    <xf numFmtId="41" fontId="10" fillId="2" borderId="21" xfId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41" fontId="10" fillId="2" borderId="40" xfId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41" fontId="10" fillId="2" borderId="5" xfId="1" applyFont="1" applyFill="1" applyBorder="1" applyAlignment="1">
      <alignment horizontal="center" vertical="center"/>
    </xf>
    <xf numFmtId="41" fontId="10" fillId="2" borderId="28" xfId="1" applyFont="1" applyFill="1" applyBorder="1" applyAlignment="1">
      <alignment horizontal="center" vertical="center"/>
    </xf>
    <xf numFmtId="176" fontId="10" fillId="2" borderId="20" xfId="1" applyNumberFormat="1" applyFont="1" applyFill="1" applyBorder="1" applyAlignment="1">
      <alignment horizontal="center" vertical="center"/>
    </xf>
    <xf numFmtId="9" fontId="7" fillId="4" borderId="3" xfId="2" applyFont="1" applyFill="1" applyBorder="1" applyAlignment="1">
      <alignment horizontal="center" vertical="center"/>
    </xf>
    <xf numFmtId="9" fontId="7" fillId="4" borderId="30" xfId="2" applyFont="1" applyFill="1" applyBorder="1" applyAlignment="1">
      <alignment horizontal="center" vertical="center"/>
    </xf>
    <xf numFmtId="9" fontId="10" fillId="2" borderId="3" xfId="2" applyFont="1" applyFill="1" applyBorder="1" applyAlignment="1">
      <alignment horizontal="center" vertical="center"/>
    </xf>
    <xf numFmtId="41" fontId="10" fillId="2" borderId="38" xfId="1" applyFont="1" applyFill="1" applyBorder="1" applyAlignment="1">
      <alignment horizontal="center" vertical="center"/>
    </xf>
    <xf numFmtId="41" fontId="10" fillId="2" borderId="61" xfId="1" applyFont="1" applyFill="1" applyBorder="1" applyAlignment="1">
      <alignment horizontal="center" vertical="center"/>
    </xf>
    <xf numFmtId="9" fontId="7" fillId="4" borderId="5" xfId="2" applyFont="1" applyFill="1" applyBorder="1" applyAlignment="1">
      <alignment horizontal="center" vertical="center"/>
    </xf>
    <xf numFmtId="9" fontId="10" fillId="2" borderId="5" xfId="2" applyFont="1" applyFill="1" applyBorder="1" applyAlignment="1">
      <alignment horizontal="center" vertical="center"/>
    </xf>
    <xf numFmtId="41" fontId="10" fillId="4" borderId="55" xfId="1" applyFont="1" applyFill="1" applyBorder="1" applyAlignment="1">
      <alignment horizontal="center" vertical="center"/>
    </xf>
    <xf numFmtId="41" fontId="10" fillId="4" borderId="16" xfId="1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41" fontId="10" fillId="2" borderId="36" xfId="1" applyFont="1" applyFill="1" applyBorder="1" applyAlignment="1">
      <alignment horizontal="center" vertical="center"/>
    </xf>
    <xf numFmtId="41" fontId="12" fillId="4" borderId="8" xfId="0" applyNumberFormat="1" applyFont="1" applyFill="1" applyBorder="1">
      <alignment vertical="center"/>
    </xf>
    <xf numFmtId="41" fontId="12" fillId="4" borderId="4" xfId="0" applyNumberFormat="1" applyFont="1" applyFill="1" applyBorder="1">
      <alignment vertical="center"/>
    </xf>
    <xf numFmtId="41" fontId="12" fillId="4" borderId="2" xfId="0" applyNumberFormat="1" applyFont="1" applyFill="1" applyBorder="1">
      <alignment vertical="center"/>
    </xf>
    <xf numFmtId="10" fontId="12" fillId="4" borderId="44" xfId="2" applyNumberFormat="1" applyFont="1" applyFill="1" applyBorder="1">
      <alignment vertical="center"/>
    </xf>
    <xf numFmtId="10" fontId="12" fillId="4" borderId="2" xfId="2" applyNumberFormat="1" applyFont="1" applyFill="1" applyBorder="1">
      <alignment vertical="center"/>
    </xf>
    <xf numFmtId="10" fontId="12" fillId="4" borderId="2" xfId="0" applyNumberFormat="1" applyFont="1" applyFill="1" applyBorder="1">
      <alignment vertical="center"/>
    </xf>
    <xf numFmtId="0" fontId="10" fillId="2" borderId="22" xfId="0" applyFont="1" applyFill="1" applyBorder="1" applyAlignment="1">
      <alignment horizontal="center" vertical="center"/>
    </xf>
    <xf numFmtId="41" fontId="10" fillId="2" borderId="23" xfId="1" applyFont="1" applyFill="1" applyBorder="1" applyAlignment="1">
      <alignment horizontal="center" vertical="center"/>
    </xf>
    <xf numFmtId="41" fontId="10" fillId="2" borderId="51" xfId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41" fontId="10" fillId="7" borderId="9" xfId="1" applyFont="1" applyFill="1" applyBorder="1" applyAlignment="1">
      <alignment horizontal="center" vertical="center"/>
    </xf>
    <xf numFmtId="41" fontId="10" fillId="7" borderId="28" xfId="1" applyFont="1" applyFill="1" applyBorder="1" applyAlignment="1">
      <alignment horizontal="center" vertical="center"/>
    </xf>
    <xf numFmtId="41" fontId="10" fillId="7" borderId="22" xfId="1" applyFont="1" applyFill="1" applyBorder="1" applyAlignment="1">
      <alignment horizontal="center" vertical="center"/>
    </xf>
    <xf numFmtId="41" fontId="10" fillId="7" borderId="20" xfId="1" applyFont="1" applyFill="1" applyBorder="1" applyAlignment="1">
      <alignment horizontal="center" vertical="center"/>
    </xf>
    <xf numFmtId="41" fontId="10" fillId="7" borderId="24" xfId="1" applyFont="1" applyFill="1" applyBorder="1" applyAlignment="1">
      <alignment horizontal="center" vertical="center"/>
    </xf>
    <xf numFmtId="41" fontId="7" fillId="7" borderId="14" xfId="1" applyFont="1" applyFill="1" applyBorder="1">
      <alignment vertical="center"/>
    </xf>
    <xf numFmtId="41" fontId="7" fillId="7" borderId="8" xfId="1" applyFont="1" applyFill="1" applyBorder="1" applyAlignment="1">
      <alignment vertical="center"/>
    </xf>
    <xf numFmtId="9" fontId="10" fillId="7" borderId="4" xfId="2" applyFont="1" applyFill="1" applyBorder="1" applyAlignment="1">
      <alignment horizontal="center" vertical="center"/>
    </xf>
    <xf numFmtId="41" fontId="7" fillId="7" borderId="2" xfId="0" applyNumberFormat="1" applyFont="1" applyFill="1" applyBorder="1">
      <alignment vertical="center"/>
    </xf>
    <xf numFmtId="41" fontId="7" fillId="7" borderId="52" xfId="0" applyNumberFormat="1" applyFont="1" applyFill="1" applyBorder="1" applyAlignment="1">
      <alignment horizontal="center" vertical="center"/>
    </xf>
    <xf numFmtId="41" fontId="10" fillId="7" borderId="44" xfId="0" applyNumberFormat="1" applyFont="1" applyFill="1" applyBorder="1" applyAlignment="1">
      <alignment horizontal="center" vertical="center"/>
    </xf>
    <xf numFmtId="9" fontId="10" fillId="7" borderId="43" xfId="2" applyFont="1" applyFill="1" applyBorder="1" applyAlignment="1">
      <alignment horizontal="center" vertical="center"/>
    </xf>
    <xf numFmtId="9" fontId="7" fillId="7" borderId="44" xfId="2" applyFont="1" applyFill="1" applyBorder="1" applyAlignment="1">
      <alignment horizontal="center" vertical="center"/>
    </xf>
    <xf numFmtId="9" fontId="7" fillId="7" borderId="43" xfId="2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41" fontId="10" fillId="4" borderId="9" xfId="1" applyFont="1" applyFill="1" applyBorder="1" applyAlignment="1">
      <alignment horizontal="center" vertical="center"/>
    </xf>
    <xf numFmtId="41" fontId="10" fillId="4" borderId="6" xfId="1" applyFont="1" applyFill="1" applyBorder="1" applyAlignment="1">
      <alignment horizontal="center" vertical="center"/>
    </xf>
    <xf numFmtId="41" fontId="10" fillId="7" borderId="9" xfId="1" applyFont="1" applyFill="1" applyBorder="1">
      <alignment vertical="center"/>
    </xf>
    <xf numFmtId="41" fontId="10" fillId="7" borderId="22" xfId="1" applyFont="1" applyFill="1" applyBorder="1">
      <alignment vertical="center"/>
    </xf>
    <xf numFmtId="41" fontId="10" fillId="7" borderId="24" xfId="1" applyFont="1" applyFill="1" applyBorder="1">
      <alignment vertical="center"/>
    </xf>
    <xf numFmtId="0" fontId="7" fillId="4" borderId="12" xfId="0" applyFont="1" applyFill="1" applyBorder="1" applyAlignment="1">
      <alignment horizontal="center" vertical="center"/>
    </xf>
    <xf numFmtId="177" fontId="0" fillId="5" borderId="0" xfId="2" applyNumberFormat="1" applyFont="1" applyFill="1">
      <alignment vertical="center"/>
    </xf>
    <xf numFmtId="177" fontId="0" fillId="0" borderId="0" xfId="2" applyNumberFormat="1" applyFont="1">
      <alignment vertical="center"/>
    </xf>
    <xf numFmtId="177" fontId="10" fillId="2" borderId="38" xfId="2" applyNumberFormat="1" applyFont="1" applyFill="1" applyBorder="1" applyAlignment="1">
      <alignment horizontal="center" vertical="center"/>
    </xf>
    <xf numFmtId="177" fontId="10" fillId="2" borderId="20" xfId="2" applyNumberFormat="1" applyFont="1" applyFill="1" applyBorder="1" applyAlignment="1">
      <alignment horizontal="center" vertical="center"/>
    </xf>
    <xf numFmtId="177" fontId="10" fillId="2" borderId="21" xfId="2" applyNumberFormat="1" applyFont="1" applyFill="1" applyBorder="1" applyAlignment="1">
      <alignment horizontal="center" vertical="center"/>
    </xf>
    <xf numFmtId="177" fontId="10" fillId="2" borderId="36" xfId="2" applyNumberFormat="1" applyFont="1" applyFill="1" applyBorder="1" applyAlignment="1">
      <alignment horizontal="center" vertical="center"/>
    </xf>
    <xf numFmtId="0" fontId="10" fillId="2" borderId="20" xfId="2" applyNumberFormat="1" applyFont="1" applyFill="1" applyBorder="1" applyAlignment="1">
      <alignment horizontal="center" vertical="center"/>
    </xf>
    <xf numFmtId="9" fontId="12" fillId="4" borderId="7" xfId="2" applyFont="1" applyFill="1" applyBorder="1" applyAlignment="1">
      <alignment horizontal="right" vertical="center" indent="1"/>
    </xf>
    <xf numFmtId="0" fontId="32" fillId="0" borderId="0" xfId="0" applyFont="1">
      <alignment vertical="center"/>
    </xf>
    <xf numFmtId="0" fontId="7" fillId="4" borderId="65" xfId="0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66" xfId="0" applyFont="1" applyFill="1" applyBorder="1" applyAlignment="1">
      <alignment horizontal="center" vertical="center"/>
    </xf>
    <xf numFmtId="41" fontId="7" fillId="4" borderId="37" xfId="1" applyFont="1" applyFill="1" applyBorder="1" applyAlignment="1">
      <alignment horizontal="center" vertical="center"/>
    </xf>
    <xf numFmtId="41" fontId="10" fillId="2" borderId="67" xfId="1" applyFont="1" applyFill="1" applyBorder="1" applyAlignment="1">
      <alignment horizontal="center" vertical="center"/>
    </xf>
    <xf numFmtId="177" fontId="10" fillId="2" borderId="67" xfId="2" applyNumberFormat="1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41" fontId="33" fillId="0" borderId="0" xfId="1" applyFont="1" applyFill="1" applyAlignment="1">
      <alignment horizontal="center" vertical="center"/>
    </xf>
    <xf numFmtId="0" fontId="12" fillId="0" borderId="26" xfId="0" quotePrefix="1" applyFont="1" applyBorder="1">
      <alignment vertical="center"/>
    </xf>
    <xf numFmtId="0" fontId="12" fillId="0" borderId="26" xfId="0" applyFont="1" applyBorder="1">
      <alignment vertical="center"/>
    </xf>
    <xf numFmtId="0" fontId="12" fillId="0" borderId="10" xfId="0" quotePrefix="1" applyFont="1" applyBorder="1">
      <alignment vertical="center"/>
    </xf>
    <xf numFmtId="0" fontId="12" fillId="0" borderId="10" xfId="0" applyFont="1" applyBorder="1">
      <alignment vertical="center"/>
    </xf>
    <xf numFmtId="0" fontId="12" fillId="0" borderId="0" xfId="0" quotePrefix="1" applyFont="1">
      <alignment vertical="center"/>
    </xf>
    <xf numFmtId="0" fontId="7" fillId="0" borderId="3" xfId="0" applyFont="1" applyBorder="1" applyAlignment="1">
      <alignment horizontal="center" vertical="center"/>
    </xf>
    <xf numFmtId="41" fontId="7" fillId="0" borderId="4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9" fontId="7" fillId="0" borderId="52" xfId="0" applyNumberFormat="1" applyFont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62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0" fontId="7" fillId="4" borderId="6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1" fontId="18" fillId="0" borderId="0" xfId="1" applyFont="1">
      <alignment vertical="center"/>
    </xf>
    <xf numFmtId="177" fontId="12" fillId="4" borderId="45" xfId="2" applyNumberFormat="1" applyFont="1" applyFill="1" applyBorder="1" applyAlignment="1">
      <alignment horizontal="right" vertical="center" indent="1"/>
    </xf>
    <xf numFmtId="177" fontId="12" fillId="4" borderId="7" xfId="2" applyNumberFormat="1" applyFont="1" applyFill="1" applyBorder="1" applyAlignment="1">
      <alignment horizontal="right" vertical="center" indent="1"/>
    </xf>
    <xf numFmtId="178" fontId="7" fillId="7" borderId="2" xfId="1" applyNumberFormat="1" applyFont="1" applyFill="1" applyBorder="1" applyAlignment="1">
      <alignment horizontal="center" vertical="center"/>
    </xf>
    <xf numFmtId="0" fontId="15" fillId="0" borderId="10" xfId="0" quotePrefix="1" applyFont="1" applyBorder="1" applyAlignment="1">
      <alignment horizontal="left" vertical="center"/>
    </xf>
    <xf numFmtId="0" fontId="15" fillId="0" borderId="26" xfId="0" quotePrefix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 shrinkToFit="1"/>
    </xf>
    <xf numFmtId="0" fontId="7" fillId="4" borderId="7" xfId="0" applyFont="1" applyFill="1" applyBorder="1" applyAlignment="1">
      <alignment horizontal="left" vertical="center" wrapText="1"/>
    </xf>
    <xf numFmtId="181" fontId="7" fillId="4" borderId="7" xfId="0" applyNumberFormat="1" applyFont="1" applyFill="1" applyBorder="1" applyAlignment="1">
      <alignment horizontal="left" vertical="center" wrapText="1"/>
    </xf>
    <xf numFmtId="0" fontId="7" fillId="4" borderId="3" xfId="2" applyNumberFormat="1" applyFont="1" applyFill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41" fontId="7" fillId="0" borderId="46" xfId="1" applyFont="1" applyBorder="1" applyAlignment="1">
      <alignment vertical="center"/>
    </xf>
    <xf numFmtId="41" fontId="7" fillId="0" borderId="0" xfId="1" applyFont="1" applyAlignment="1">
      <alignment vertical="center"/>
    </xf>
    <xf numFmtId="0" fontId="7" fillId="4" borderId="4" xfId="1" applyNumberFormat="1" applyFont="1" applyFill="1" applyBorder="1" applyAlignment="1">
      <alignment horizontal="left" vertical="center"/>
    </xf>
    <xf numFmtId="0" fontId="7" fillId="4" borderId="2" xfId="1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30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26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7" fillId="4" borderId="2" xfId="0" applyFont="1" applyFill="1" applyBorder="1" applyAlignment="1">
      <alignment horizontal="left" vertical="center" indent="1"/>
    </xf>
    <xf numFmtId="0" fontId="7" fillId="0" borderId="0" xfId="0" applyFont="1" applyAlignment="1">
      <alignment horizontal="right" vertical="center"/>
    </xf>
    <xf numFmtId="177" fontId="7" fillId="7" borderId="4" xfId="2" applyNumberFormat="1" applyFont="1" applyFill="1" applyBorder="1" applyAlignment="1">
      <alignment horizontal="center" vertical="center"/>
    </xf>
    <xf numFmtId="41" fontId="12" fillId="0" borderId="0" xfId="1" applyFont="1">
      <alignment vertical="center"/>
    </xf>
    <xf numFmtId="41" fontId="7" fillId="0" borderId="0" xfId="1" applyFont="1" applyFill="1" applyBorder="1" applyAlignment="1">
      <alignment horizontal="center" vertical="center"/>
    </xf>
    <xf numFmtId="41" fontId="10" fillId="0" borderId="0" xfId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41" fontId="7" fillId="0" borderId="0" xfId="1" applyFont="1" applyAlignment="1">
      <alignment horizontal="right" vertical="center"/>
    </xf>
    <xf numFmtId="41" fontId="7" fillId="4" borderId="30" xfId="1" applyFont="1" applyFill="1" applyBorder="1">
      <alignment vertical="center"/>
    </xf>
    <xf numFmtId="41" fontId="7" fillId="7" borderId="31" xfId="1" applyFont="1" applyFill="1" applyBorder="1">
      <alignment vertical="center"/>
    </xf>
    <xf numFmtId="14" fontId="7" fillId="4" borderId="31" xfId="0" applyNumberFormat="1" applyFont="1" applyFill="1" applyBorder="1" applyAlignment="1">
      <alignment horizontal="center" vertical="center"/>
    </xf>
    <xf numFmtId="14" fontId="7" fillId="7" borderId="3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1" fontId="10" fillId="2" borderId="31" xfId="1" applyFont="1" applyFill="1" applyBorder="1">
      <alignment vertical="center"/>
    </xf>
    <xf numFmtId="0" fontId="10" fillId="4" borderId="62" xfId="0" applyFont="1" applyFill="1" applyBorder="1" applyAlignment="1">
      <alignment horizontal="center" vertical="center"/>
    </xf>
    <xf numFmtId="0" fontId="14" fillId="0" borderId="52" xfId="0" applyFont="1" applyBorder="1">
      <alignment vertical="center"/>
    </xf>
    <xf numFmtId="0" fontId="14" fillId="0" borderId="46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15" xfId="0" applyFont="1" applyBorder="1">
      <alignment vertical="center"/>
    </xf>
    <xf numFmtId="0" fontId="14" fillId="0" borderId="13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3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6" xfId="0" applyFont="1" applyBorder="1">
      <alignment vertical="center"/>
    </xf>
    <xf numFmtId="41" fontId="7" fillId="4" borderId="8" xfId="1" applyFont="1" applyFill="1" applyBorder="1" applyAlignment="1">
      <alignment horizontal="left" vertical="center" indent="1"/>
    </xf>
    <xf numFmtId="41" fontId="7" fillId="4" borderId="2" xfId="1" applyFont="1" applyFill="1" applyBorder="1" applyAlignment="1">
      <alignment horizontal="left" vertical="center" indent="1"/>
    </xf>
    <xf numFmtId="41" fontId="7" fillId="4" borderId="7" xfId="1" applyFont="1" applyFill="1" applyBorder="1" applyAlignment="1">
      <alignment horizontal="left" vertical="center" indent="1"/>
    </xf>
    <xf numFmtId="41" fontId="7" fillId="0" borderId="0" xfId="1" applyFont="1" applyFill="1" applyBorder="1" applyAlignment="1">
      <alignment horizontal="left" vertical="center" indent="1"/>
    </xf>
    <xf numFmtId="0" fontId="15" fillId="0" borderId="0" xfId="0" quotePrefix="1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41" fontId="7" fillId="0" borderId="8" xfId="0" applyNumberFormat="1" applyFont="1" applyBorder="1" applyAlignment="1">
      <alignment horizontal="center" vertical="center"/>
    </xf>
    <xf numFmtId="192" fontId="7" fillId="0" borderId="11" xfId="0" applyNumberFormat="1" applyFont="1" applyBorder="1">
      <alignment vertical="center"/>
    </xf>
    <xf numFmtId="192" fontId="7" fillId="0" borderId="12" xfId="0" applyNumberFormat="1" applyFont="1" applyBorder="1">
      <alignment vertical="center"/>
    </xf>
    <xf numFmtId="192" fontId="7" fillId="0" borderId="52" xfId="0" applyNumberFormat="1" applyFont="1" applyBorder="1">
      <alignment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1" fillId="3" borderId="10" xfId="0" applyFont="1" applyFill="1" applyBorder="1">
      <alignment vertical="center"/>
    </xf>
    <xf numFmtId="193" fontId="12" fillId="2" borderId="5" xfId="0" applyNumberFormat="1" applyFont="1" applyFill="1" applyBorder="1">
      <alignment vertical="center"/>
    </xf>
    <xf numFmtId="193" fontId="12" fillId="2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91" fontId="15" fillId="0" borderId="0" xfId="0" applyNumberFormat="1" applyFont="1" applyAlignment="1">
      <alignment horizontal="center" vertical="center"/>
    </xf>
    <xf numFmtId="0" fontId="7" fillId="4" borderId="27" xfId="0" applyFont="1" applyFill="1" applyBorder="1" applyAlignment="1">
      <alignment horizontal="left" vertical="center" indent="1"/>
    </xf>
    <xf numFmtId="0" fontId="7" fillId="4" borderId="26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4" borderId="44" xfId="1" applyNumberFormat="1" applyFont="1" applyFill="1" applyBorder="1" applyAlignment="1">
      <alignment horizontal="left" vertical="center" indent="1"/>
    </xf>
    <xf numFmtId="0" fontId="7" fillId="4" borderId="25" xfId="1" applyNumberFormat="1" applyFont="1" applyFill="1" applyBorder="1" applyAlignment="1">
      <alignment horizontal="left" vertical="center" indent="1"/>
    </xf>
    <xf numFmtId="0" fontId="7" fillId="4" borderId="26" xfId="1" applyNumberFormat="1" applyFont="1" applyFill="1" applyBorder="1" applyAlignment="1">
      <alignment horizontal="left" vertical="center" indent="1"/>
    </xf>
    <xf numFmtId="41" fontId="7" fillId="4" borderId="26" xfId="1" applyFont="1" applyFill="1" applyBorder="1" applyAlignment="1">
      <alignment horizontal="left" vertical="center" indent="1"/>
    </xf>
    <xf numFmtId="41" fontId="7" fillId="0" borderId="46" xfId="1" applyFont="1" applyFill="1" applyBorder="1" applyAlignment="1">
      <alignment horizontal="left" vertical="center" indent="1"/>
    </xf>
    <xf numFmtId="41" fontId="7" fillId="0" borderId="46" xfId="1" applyFont="1" applyFill="1" applyBorder="1">
      <alignment vertical="center"/>
    </xf>
    <xf numFmtId="0" fontId="7" fillId="0" borderId="46" xfId="1" applyNumberFormat="1" applyFont="1" applyFill="1" applyBorder="1" applyAlignment="1">
      <alignment horizontal="left" vertical="center"/>
    </xf>
    <xf numFmtId="0" fontId="7" fillId="0" borderId="0" xfId="1" applyNumberFormat="1" applyFont="1" applyFill="1" applyBorder="1" applyAlignment="1">
      <alignment horizontal="left" vertical="center"/>
    </xf>
    <xf numFmtId="3" fontId="7" fillId="0" borderId="0" xfId="1" applyNumberFormat="1" applyFont="1" applyBorder="1" applyAlignment="1">
      <alignment horizontal="center" vertical="center"/>
    </xf>
    <xf numFmtId="41" fontId="7" fillId="0" borderId="7" xfId="1" applyFont="1" applyBorder="1">
      <alignment vertical="center"/>
    </xf>
    <xf numFmtId="41" fontId="7" fillId="0" borderId="12" xfId="1" applyFont="1" applyBorder="1">
      <alignment vertical="center"/>
    </xf>
    <xf numFmtId="194" fontId="7" fillId="0" borderId="7" xfId="0" applyNumberFormat="1" applyFont="1" applyBorder="1">
      <alignment vertical="center"/>
    </xf>
    <xf numFmtId="194" fontId="7" fillId="0" borderId="12" xfId="0" applyNumberFormat="1" applyFont="1" applyBorder="1">
      <alignment vertical="center"/>
    </xf>
    <xf numFmtId="0" fontId="7" fillId="0" borderId="0" xfId="1" applyNumberFormat="1" applyFont="1" applyFill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14" fillId="0" borderId="0" xfId="1" applyNumberFormat="1" applyFont="1">
      <alignment vertical="center"/>
    </xf>
    <xf numFmtId="194" fontId="7" fillId="0" borderId="2" xfId="0" applyNumberFormat="1" applyFont="1" applyBorder="1">
      <alignment vertical="center"/>
    </xf>
    <xf numFmtId="194" fontId="7" fillId="0" borderId="52" xfId="0" applyNumberFormat="1" applyFont="1" applyBorder="1">
      <alignment vertical="center"/>
    </xf>
    <xf numFmtId="0" fontId="12" fillId="2" borderId="6" xfId="0" applyFont="1" applyFill="1" applyBorder="1" applyAlignment="1">
      <alignment horizontal="centerContinuous" vertical="center"/>
    </xf>
    <xf numFmtId="0" fontId="12" fillId="2" borderId="5" xfId="0" applyFont="1" applyFill="1" applyBorder="1" applyAlignment="1">
      <alignment horizontal="centerContinuous" vertical="center"/>
    </xf>
    <xf numFmtId="3" fontId="7" fillId="0" borderId="2" xfId="0" applyNumberFormat="1" applyFont="1" applyBorder="1">
      <alignment vertical="center"/>
    </xf>
    <xf numFmtId="3" fontId="7" fillId="0" borderId="52" xfId="0" applyNumberFormat="1" applyFont="1" applyBorder="1">
      <alignment vertical="center"/>
    </xf>
    <xf numFmtId="195" fontId="7" fillId="0" borderId="2" xfId="0" applyNumberFormat="1" applyFont="1" applyBorder="1">
      <alignment vertical="center"/>
    </xf>
    <xf numFmtId="195" fontId="7" fillId="0" borderId="52" xfId="0" applyNumberFormat="1" applyFont="1" applyBorder="1">
      <alignment vertical="center"/>
    </xf>
    <xf numFmtId="0" fontId="15" fillId="0" borderId="10" xfId="0" quotePrefix="1" applyFont="1" applyBorder="1">
      <alignment vertical="center"/>
    </xf>
    <xf numFmtId="0" fontId="15" fillId="0" borderId="26" xfId="0" quotePrefix="1" applyFont="1" applyBorder="1">
      <alignment vertical="center"/>
    </xf>
    <xf numFmtId="0" fontId="6" fillId="0" borderId="10" xfId="0" applyFont="1" applyBorder="1">
      <alignment vertical="center"/>
    </xf>
    <xf numFmtId="0" fontId="6" fillId="0" borderId="26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6" xfId="0" quotePrefix="1" applyFont="1" applyBorder="1">
      <alignment vertical="center"/>
    </xf>
    <xf numFmtId="177" fontId="7" fillId="0" borderId="0" xfId="2" applyNumberFormat="1" applyFont="1">
      <alignment vertical="center"/>
    </xf>
    <xf numFmtId="0" fontId="10" fillId="0" borderId="10" xfId="0" applyFont="1" applyBorder="1">
      <alignment vertical="center"/>
    </xf>
    <xf numFmtId="0" fontId="10" fillId="0" borderId="26" xfId="0" applyFont="1" applyBorder="1">
      <alignment vertical="center"/>
    </xf>
    <xf numFmtId="0" fontId="37" fillId="0" borderId="0" xfId="0" applyFont="1" applyAlignment="1">
      <alignment horizontal="center" vertical="center"/>
    </xf>
    <xf numFmtId="0" fontId="7" fillId="0" borderId="0" xfId="1" applyNumberFormat="1" applyFont="1" applyBorder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41" fontId="12" fillId="4" borderId="12" xfId="1" applyFont="1" applyFill="1" applyBorder="1">
      <alignment vertical="center"/>
    </xf>
    <xf numFmtId="41" fontId="12" fillId="4" borderId="7" xfId="1" applyFont="1" applyFill="1" applyBorder="1">
      <alignment vertical="center"/>
    </xf>
    <xf numFmtId="41" fontId="18" fillId="0" borderId="26" xfId="1" applyFont="1" applyBorder="1">
      <alignment vertical="center"/>
    </xf>
    <xf numFmtId="41" fontId="17" fillId="0" borderId="0" xfId="1" applyFont="1">
      <alignment vertical="center"/>
    </xf>
    <xf numFmtId="41" fontId="12" fillId="4" borderId="52" xfId="1" applyFont="1" applyFill="1" applyBorder="1">
      <alignment vertical="center"/>
    </xf>
    <xf numFmtId="0" fontId="6" fillId="0" borderId="10" xfId="0" applyFont="1" applyBorder="1" applyAlignment="1">
      <alignment horizontal="left" vertical="center" indent="1"/>
    </xf>
    <xf numFmtId="0" fontId="10" fillId="0" borderId="0" xfId="1" applyNumberFormat="1" applyFont="1" applyFill="1" applyBorder="1" applyAlignment="1">
      <alignment horizontal="center" vertical="center"/>
    </xf>
    <xf numFmtId="41" fontId="7" fillId="4" borderId="30" xfId="1" applyFont="1" applyFill="1" applyBorder="1" applyAlignment="1">
      <alignment horizontal="center" vertical="center"/>
    </xf>
    <xf numFmtId="41" fontId="7" fillId="4" borderId="44" xfId="1" applyFont="1" applyFill="1" applyBorder="1" applyAlignment="1">
      <alignment horizontal="center" vertical="center"/>
    </xf>
    <xf numFmtId="9" fontId="7" fillId="4" borderId="49" xfId="2" applyFont="1" applyFill="1" applyBorder="1" applyAlignment="1">
      <alignment horizontal="center" vertical="center"/>
    </xf>
    <xf numFmtId="9" fontId="7" fillId="4" borderId="8" xfId="2" applyFont="1" applyFill="1" applyBorder="1" applyAlignment="1">
      <alignment horizontal="center" vertical="center"/>
    </xf>
    <xf numFmtId="9" fontId="10" fillId="2" borderId="49" xfId="2" applyFont="1" applyFill="1" applyBorder="1" applyAlignment="1">
      <alignment horizontal="center" vertical="center"/>
    </xf>
    <xf numFmtId="9" fontId="7" fillId="4" borderId="48" xfId="2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left" vertical="center" wrapText="1"/>
    </xf>
    <xf numFmtId="178" fontId="7" fillId="7" borderId="7" xfId="1" applyNumberFormat="1" applyFont="1" applyFill="1" applyBorder="1" applyAlignment="1">
      <alignment horizontal="center" vertical="center"/>
    </xf>
    <xf numFmtId="177" fontId="7" fillId="4" borderId="1" xfId="2" applyNumberFormat="1" applyFont="1" applyFill="1" applyBorder="1" applyAlignment="1">
      <alignment horizontal="right" vertical="center" indent="1"/>
    </xf>
    <xf numFmtId="177" fontId="7" fillId="7" borderId="7" xfId="2" applyNumberFormat="1" applyFont="1" applyFill="1" applyBorder="1" applyAlignment="1">
      <alignment horizontal="right" vertical="center" indent="1"/>
    </xf>
    <xf numFmtId="0" fontId="7" fillId="7" borderId="7" xfId="2" applyNumberFormat="1" applyFont="1" applyFill="1" applyBorder="1" applyAlignment="1">
      <alignment horizontal="center" vertical="center"/>
    </xf>
    <xf numFmtId="41" fontId="7" fillId="7" borderId="7" xfId="1" applyFont="1" applyFill="1" applyBorder="1" applyAlignment="1">
      <alignment horizontal="right" vertical="center" indent="1"/>
    </xf>
    <xf numFmtId="41" fontId="7" fillId="7" borderId="2" xfId="1" applyFont="1" applyFill="1" applyBorder="1">
      <alignment vertical="center"/>
    </xf>
    <xf numFmtId="41" fontId="35" fillId="7" borderId="26" xfId="1" applyFont="1" applyFill="1" applyBorder="1" applyAlignment="1">
      <alignment horizontal="center" vertical="center"/>
    </xf>
    <xf numFmtId="0" fontId="7" fillId="4" borderId="27" xfId="2" applyNumberFormat="1" applyFont="1" applyFill="1" applyBorder="1" applyAlignment="1">
      <alignment horizontal="center" vertical="center"/>
    </xf>
    <xf numFmtId="0" fontId="7" fillId="7" borderId="39" xfId="2" applyNumberFormat="1" applyFont="1" applyFill="1" applyBorder="1" applyAlignment="1">
      <alignment horizontal="center" vertical="center"/>
    </xf>
    <xf numFmtId="14" fontId="7" fillId="7" borderId="63" xfId="2" applyNumberFormat="1" applyFont="1" applyFill="1" applyBorder="1" applyAlignment="1">
      <alignment horizontal="center" vertical="center"/>
    </xf>
    <xf numFmtId="14" fontId="7" fillId="7" borderId="53" xfId="2" applyNumberFormat="1" applyFont="1" applyFill="1" applyBorder="1" applyAlignment="1">
      <alignment horizontal="center" vertical="center"/>
    </xf>
    <xf numFmtId="178" fontId="7" fillId="7" borderId="63" xfId="1" applyNumberFormat="1" applyFont="1" applyFill="1" applyBorder="1" applyAlignment="1">
      <alignment horizontal="center" vertical="center"/>
    </xf>
    <xf numFmtId="41" fontId="7" fillId="7" borderId="63" xfId="1" applyFont="1" applyFill="1" applyBorder="1" applyAlignment="1">
      <alignment horizontal="center" vertical="center"/>
    </xf>
    <xf numFmtId="41" fontId="7" fillId="7" borderId="63" xfId="1" applyFont="1" applyFill="1" applyBorder="1">
      <alignment vertical="center"/>
    </xf>
    <xf numFmtId="41" fontId="7" fillId="7" borderId="39" xfId="1" applyFont="1" applyFill="1" applyBorder="1" applyAlignment="1">
      <alignment horizontal="right" vertical="center" indent="1"/>
    </xf>
    <xf numFmtId="41" fontId="7" fillId="7" borderId="53" xfId="1" applyFont="1" applyFill="1" applyBorder="1" applyAlignment="1">
      <alignment horizontal="center" vertical="center"/>
    </xf>
    <xf numFmtId="0" fontId="7" fillId="7" borderId="1" xfId="2" applyNumberFormat="1" applyFont="1" applyFill="1" applyBorder="1" applyAlignment="1">
      <alignment horizontal="center" vertical="center"/>
    </xf>
    <xf numFmtId="14" fontId="7" fillId="7" borderId="7" xfId="2" applyNumberFormat="1" applyFont="1" applyFill="1" applyBorder="1" applyAlignment="1">
      <alignment horizontal="center" vertical="center"/>
    </xf>
    <xf numFmtId="14" fontId="7" fillId="7" borderId="2" xfId="2" applyNumberFormat="1" applyFont="1" applyFill="1" applyBorder="1" applyAlignment="1">
      <alignment horizontal="center" vertical="center"/>
    </xf>
    <xf numFmtId="41" fontId="7" fillId="7" borderId="7" xfId="1" applyFont="1" applyFill="1" applyBorder="1" applyAlignment="1">
      <alignment horizontal="center" vertical="center"/>
    </xf>
    <xf numFmtId="41" fontId="7" fillId="7" borderId="1" xfId="1" applyFont="1" applyFill="1" applyBorder="1" applyAlignment="1">
      <alignment horizontal="right" vertical="center" indent="1"/>
    </xf>
    <xf numFmtId="178" fontId="7" fillId="0" borderId="0" xfId="1" applyNumberFormat="1" applyFont="1" applyAlignment="1">
      <alignment vertical="center"/>
    </xf>
    <xf numFmtId="14" fontId="7" fillId="0" borderId="0" xfId="0" applyNumberFormat="1" applyFont="1">
      <alignment vertical="center"/>
    </xf>
    <xf numFmtId="0" fontId="7" fillId="4" borderId="13" xfId="2" applyNumberFormat="1" applyFont="1" applyFill="1" applyBorder="1" applyAlignment="1">
      <alignment horizontal="center" vertical="center"/>
    </xf>
    <xf numFmtId="0" fontId="7" fillId="4" borderId="14" xfId="2" applyNumberFormat="1" applyFont="1" applyFill="1" applyBorder="1" applyAlignment="1">
      <alignment horizontal="center" vertical="center"/>
    </xf>
    <xf numFmtId="41" fontId="7" fillId="4" borderId="14" xfId="1" applyFont="1" applyFill="1" applyBorder="1">
      <alignment vertical="center"/>
    </xf>
    <xf numFmtId="10" fontId="7" fillId="4" borderId="14" xfId="2" applyNumberFormat="1" applyFont="1" applyFill="1" applyBorder="1" applyAlignment="1">
      <alignment horizontal="right" vertical="center" indent="1"/>
    </xf>
    <xf numFmtId="14" fontId="7" fillId="4" borderId="14" xfId="2" applyNumberFormat="1" applyFont="1" applyFill="1" applyBorder="1" applyAlignment="1">
      <alignment horizontal="center" vertical="center"/>
    </xf>
    <xf numFmtId="14" fontId="7" fillId="4" borderId="15" xfId="2" applyNumberFormat="1" applyFont="1" applyFill="1" applyBorder="1" applyAlignment="1">
      <alignment horizontal="center" vertical="center"/>
    </xf>
    <xf numFmtId="178" fontId="7" fillId="7" borderId="3" xfId="2" applyNumberFormat="1" applyFont="1" applyFill="1" applyBorder="1" applyAlignment="1">
      <alignment horizontal="center" vertical="center"/>
    </xf>
    <xf numFmtId="178" fontId="7" fillId="7" borderId="8" xfId="2" applyNumberFormat="1" applyFont="1" applyFill="1" applyBorder="1" applyAlignment="1">
      <alignment horizontal="center" vertical="center"/>
    </xf>
    <xf numFmtId="178" fontId="7" fillId="4" borderId="8" xfId="2" applyNumberFormat="1" applyFont="1" applyFill="1" applyBorder="1" applyAlignment="1">
      <alignment horizontal="center" vertical="center"/>
    </xf>
    <xf numFmtId="177" fontId="4" fillId="0" borderId="0" xfId="2" applyNumberFormat="1" applyFont="1">
      <alignment vertical="center"/>
    </xf>
    <xf numFmtId="14" fontId="7" fillId="7" borderId="3" xfId="0" applyNumberFormat="1" applyFont="1" applyFill="1" applyBorder="1" applyAlignment="1">
      <alignment horizontal="center" vertical="center"/>
    </xf>
    <xf numFmtId="41" fontId="7" fillId="7" borderId="8" xfId="0" applyNumberFormat="1" applyFont="1" applyFill="1" applyBorder="1" applyAlignment="1">
      <alignment horizontal="center" vertical="center"/>
    </xf>
    <xf numFmtId="176" fontId="7" fillId="7" borderId="4" xfId="0" applyNumberFormat="1" applyFont="1" applyFill="1" applyBorder="1">
      <alignment vertical="center"/>
    </xf>
    <xf numFmtId="176" fontId="7" fillId="0" borderId="46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41" fontId="7" fillId="7" borderId="45" xfId="1" applyFont="1" applyFill="1" applyBorder="1" applyAlignment="1">
      <alignment horizontal="right" vertical="center" indent="1"/>
    </xf>
    <xf numFmtId="0" fontId="7" fillId="0" borderId="0" xfId="1" applyNumberFormat="1" applyFont="1" applyAlignment="1">
      <alignment horizontal="center" vertical="center"/>
    </xf>
    <xf numFmtId="0" fontId="7" fillId="0" borderId="46" xfId="1" applyNumberFormat="1" applyFont="1" applyBorder="1" applyAlignment="1">
      <alignment vertical="center"/>
    </xf>
    <xf numFmtId="0" fontId="7" fillId="0" borderId="0" xfId="1" applyNumberFormat="1" applyFont="1" applyAlignment="1">
      <alignment vertical="center"/>
    </xf>
    <xf numFmtId="41" fontId="7" fillId="7" borderId="6" xfId="0" applyNumberFormat="1" applyFont="1" applyFill="1" applyBorder="1" applyAlignment="1">
      <alignment horizontal="center" vertical="center"/>
    </xf>
    <xf numFmtId="41" fontId="7" fillId="7" borderId="44" xfId="0" applyNumberFormat="1" applyFont="1" applyFill="1" applyBorder="1" applyAlignment="1">
      <alignment horizontal="center" vertical="center"/>
    </xf>
    <xf numFmtId="177" fontId="7" fillId="7" borderId="52" xfId="2" applyNumberFormat="1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9" fillId="0" borderId="0" xfId="0" quotePrefix="1" applyFont="1">
      <alignment vertical="center"/>
    </xf>
    <xf numFmtId="0" fontId="7" fillId="4" borderId="14" xfId="1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indent="1"/>
    </xf>
    <xf numFmtId="0" fontId="7" fillId="4" borderId="26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4" borderId="27" xfId="0" applyFont="1" applyFill="1" applyBorder="1" applyAlignment="1">
      <alignment horizontal="left" vertical="center" indent="1"/>
    </xf>
    <xf numFmtId="0" fontId="7" fillId="4" borderId="2" xfId="1" applyNumberFormat="1" applyFont="1" applyFill="1" applyBorder="1" applyAlignment="1">
      <alignment horizontal="left" vertical="center" indent="1"/>
    </xf>
    <xf numFmtId="0" fontId="7" fillId="4" borderId="26" xfId="1" applyNumberFormat="1" applyFont="1" applyFill="1" applyBorder="1" applyAlignment="1">
      <alignment horizontal="left" vertical="center" indent="1"/>
    </xf>
    <xf numFmtId="41" fontId="7" fillId="4" borderId="2" xfId="1" applyFont="1" applyFill="1" applyBorder="1" applyAlignment="1">
      <alignment horizontal="left" vertical="center" indent="1"/>
    </xf>
    <xf numFmtId="41" fontId="7" fillId="4" borderId="26" xfId="1" applyFont="1" applyFill="1" applyBorder="1" applyAlignment="1">
      <alignment horizontal="left" vertical="center" indent="1"/>
    </xf>
    <xf numFmtId="0" fontId="7" fillId="4" borderId="44" xfId="1" applyNumberFormat="1" applyFont="1" applyFill="1" applyBorder="1" applyAlignment="1">
      <alignment horizontal="left" vertical="center" indent="1"/>
    </xf>
    <xf numFmtId="0" fontId="7" fillId="4" borderId="25" xfId="1" applyNumberFormat="1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3" fontId="7" fillId="0" borderId="13" xfId="1" applyNumberFormat="1" applyFont="1" applyBorder="1" applyAlignment="1">
      <alignment horizontal="center" vertical="center"/>
    </xf>
    <xf numFmtId="3" fontId="7" fillId="0" borderId="14" xfId="1" applyNumberFormat="1" applyFont="1" applyBorder="1" applyAlignment="1">
      <alignment horizontal="center" vertical="center"/>
    </xf>
    <xf numFmtId="3" fontId="7" fillId="0" borderId="15" xfId="1" applyNumberFormat="1" applyFont="1" applyBorder="1" applyAlignment="1">
      <alignment horizontal="center" vertical="center"/>
    </xf>
    <xf numFmtId="3" fontId="7" fillId="0" borderId="8" xfId="1" applyNumberFormat="1" applyFont="1" applyBorder="1" applyAlignment="1">
      <alignment horizontal="center" vertical="center"/>
    </xf>
    <xf numFmtId="3" fontId="7" fillId="0" borderId="4" xfId="1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78" fontId="10" fillId="2" borderId="64" xfId="0" applyNumberFormat="1" applyFont="1" applyFill="1" applyBorder="1" applyAlignment="1">
      <alignment horizontal="center" vertical="center"/>
    </xf>
    <xf numFmtId="178" fontId="10" fillId="2" borderId="50" xfId="0" applyNumberFormat="1" applyFont="1" applyFill="1" applyBorder="1" applyAlignment="1">
      <alignment horizontal="center" vertical="center"/>
    </xf>
    <xf numFmtId="178" fontId="10" fillId="2" borderId="32" xfId="0" applyNumberFormat="1" applyFont="1" applyFill="1" applyBorder="1" applyAlignment="1">
      <alignment horizontal="center" vertical="center"/>
    </xf>
    <xf numFmtId="178" fontId="10" fillId="2" borderId="3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7" fillId="4" borderId="27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26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44" xfId="0" applyFont="1" applyFill="1" applyBorder="1" applyAlignment="1">
      <alignment horizontal="left" vertical="center"/>
    </xf>
    <xf numFmtId="194" fontId="7" fillId="0" borderId="0" xfId="0" applyNumberFormat="1" applyFont="1" applyBorder="1">
      <alignment vertical="center"/>
    </xf>
    <xf numFmtId="0" fontId="7" fillId="0" borderId="0" xfId="0" applyFont="1" applyBorder="1">
      <alignment vertical="center"/>
    </xf>
    <xf numFmtId="195" fontId="7" fillId="0" borderId="0" xfId="0" applyNumberFormat="1" applyFont="1" applyBorder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 2" xfId="3"/>
  </cellStyles>
  <dxfs count="99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/>
        <i val="0"/>
        <color rgb="FFC00000"/>
      </font>
    </dxf>
    <dxf>
      <fill>
        <patternFill>
          <bgColor rgb="FFFFC000"/>
        </patternFill>
      </fill>
    </dxf>
    <dxf>
      <font>
        <color rgb="FFC0000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 val="0"/>
        <i val="0"/>
        <color theme="5" tint="-0.24994659260841701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  <border diagonalUp="0" diagonalDown="0">
        <left/>
        <right/>
        <top style="medium">
          <color theme="0" tint="-0.24994659260841701"/>
        </top>
        <bottom style="medium">
          <color theme="0" tint="-0.24994659260841701"/>
        </bottom>
        <vertical/>
        <horizontal/>
      </border>
    </dxf>
    <dxf>
      <font>
        <strike val="0"/>
        <color theme="2" tint="-0.499984740745262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2"/>
        </patternFill>
      </fill>
      <border>
        <top style="medium">
          <color theme="0" tint="-0.24994659260841701"/>
        </top>
        <bottom style="medium">
          <color theme="0" tint="-0.24994659260841701"/>
        </bottom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</dxf>
    <dxf>
      <border diagonalUp="0" diagonalDown="0"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표 스타일 1" pivot="0" count="1">
      <tableStyleElement type="wholeTable" dxfId="98"/>
    </tableStyle>
    <tableStyle name="표 스타일 2" pivot="0" count="1">
      <tableStyleElement type="wholeTable" dxfId="97"/>
    </tableStyle>
    <tableStyle name="표 스타일 3" pivot="0" count="2">
      <tableStyleElement type="wholeTable" dxfId="96"/>
      <tableStyleElement type="headerRow" dxfId="95"/>
    </tableStyle>
    <tableStyle name="표 스타일 4" pivot="0" count="2">
      <tableStyleElement type="wholeTable" dxfId="94"/>
      <tableStyleElement type="headerRow" dxfId="93"/>
    </tableStyle>
  </tableStyles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47" Type="http://schemas.microsoft.com/office/2017/10/relationships/person" Target="persons/person2.xml"/><Relationship Id="rId50" Type="http://schemas.microsoft.com/office/2017/10/relationships/person" Target="persons/person6.xml"/><Relationship Id="rId55" Type="http://schemas.microsoft.com/office/2017/10/relationships/person" Target="persons/person1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59" Type="http://schemas.microsoft.com/office/2017/10/relationships/person" Target="persons/person.xml"/><Relationship Id="rId46" Type="http://schemas.microsoft.com/office/2017/10/relationships/person" Target="persons/pers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54" Type="http://schemas.microsoft.com/office/2017/10/relationships/person" Target="persons/pers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45" Type="http://schemas.microsoft.com/office/2017/10/relationships/person" Target="persons/person1.xml"/><Relationship Id="rId53" Type="http://schemas.microsoft.com/office/2017/10/relationships/person" Target="persons/person9.xml"/><Relationship Id="rId58" Type="http://schemas.microsoft.com/office/2017/10/relationships/person" Target="persons/person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57" Type="http://schemas.microsoft.com/office/2017/10/relationships/person" Target="persons/person13.xml"/><Relationship Id="rId49" Type="http://schemas.microsoft.com/office/2017/10/relationships/person" Target="persons/pers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60" Type="http://schemas.microsoft.com/office/2017/10/relationships/person" Target="persons/person15.xml"/><Relationship Id="rId44" Type="http://schemas.microsoft.com/office/2017/10/relationships/person" Target="persons/person0.xml"/><Relationship Id="rId52" Type="http://schemas.microsoft.com/office/2017/10/relationships/person" Target="persons/pers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56" Type="http://schemas.microsoft.com/office/2017/10/relationships/person" Target="persons/person14.xml"/><Relationship Id="rId48" Type="http://schemas.microsoft.com/office/2017/10/relationships/person" Target="persons/person5.xml"/><Relationship Id="rId8" Type="http://schemas.openxmlformats.org/officeDocument/2006/relationships/worksheet" Target="worksheets/sheet8.xml"/><Relationship Id="rId51" Type="http://schemas.microsoft.com/office/2017/10/relationships/person" Target="persons/person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v>지출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Ref>
              <c:f>연간_항목별지출!$C$19:$N$19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C-4F97-8FB9-7EE26104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8"/>
        <c:axId val="659353192"/>
        <c:axId val="659359096"/>
      </c:barChart>
      <c:lineChart>
        <c:grouping val="standard"/>
        <c:varyColors val="0"/>
        <c:ser>
          <c:idx val="1"/>
          <c:order val="0"/>
          <c:tx>
            <c:v>순수입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Ref>
              <c:f>연간_항목별수입!$C$20:$N$20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C-4F97-8FB9-7EE26104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353192"/>
        <c:axId val="659359096"/>
      </c:lineChart>
      <c:catAx>
        <c:axId val="65935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9359096"/>
        <c:crosses val="autoZero"/>
        <c:auto val="1"/>
        <c:lblAlgn val="ctr"/>
        <c:lblOffset val="100"/>
        <c:noMultiLvlLbl val="0"/>
      </c:catAx>
      <c:valAx>
        <c:axId val="6593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93531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776576763030072"/>
          <c:y val="2.2099447513812154E-2"/>
          <c:w val="0.17777777777777778"/>
          <c:h val="6.215513116109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연간_항목별지출!$D$4:$D$19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1A0-9B48-40641EED4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연간_항목별지출!$E$4:$E$19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4-4022-B1DE-D9C9397BAA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연간_항목별지출!$F$4:$F$19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A-4C1E-BD36-D7C2272E24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연간_항목별지출!$G$4:$G$19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C-4364-BE69-D8CBD7D83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연간_항목별지출!$H$4:$H$19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00A-A360-A052C1DDF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연간_항목별지출!$I$4:$I$19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C-4156-8A97-500B673DC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연간_항목별지출!$J$4:$J$19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499-48DF-ADDB-F0030507FD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연간_항목별지출!$K$4:$K$19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D-41B9-8F20-BCBADDDF14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연간_항목별지출!$L$4:$L$19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9-4601-A382-95965F3C08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연간_항목별지출!$M$4:$M$19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B-444B-B723-9F82CBD93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연간_항목별지출!$B$4:$B$19</c:f>
              <c:strCache>
                <c:ptCount val="16"/>
                <c:pt idx="0">
                  <c:v>저축성지출</c:v>
                </c:pt>
                <c:pt idx="1">
                  <c:v>소비성지출</c:v>
                </c:pt>
                <c:pt idx="2">
                  <c:v>식비</c:v>
                </c:pt>
                <c:pt idx="3">
                  <c:v>주거비</c:v>
                </c:pt>
                <c:pt idx="4">
                  <c:v>생활용품비</c:v>
                </c:pt>
                <c:pt idx="5">
                  <c:v>반려동물비</c:v>
                </c:pt>
                <c:pt idx="6">
                  <c:v>의류미용비</c:v>
                </c:pt>
                <c:pt idx="7">
                  <c:v>교육비</c:v>
                </c:pt>
                <c:pt idx="8">
                  <c:v>문화생활비</c:v>
                </c:pt>
                <c:pt idx="9">
                  <c:v>의료비</c:v>
                </c:pt>
                <c:pt idx="10">
                  <c:v>유류교통비</c:v>
                </c:pt>
                <c:pt idx="11">
                  <c:v>통신비</c:v>
                </c:pt>
                <c:pt idx="12">
                  <c:v>경조사회비</c:v>
                </c:pt>
                <c:pt idx="13">
                  <c:v>용돈</c:v>
                </c:pt>
                <c:pt idx="14">
                  <c:v>추가항목</c:v>
                </c:pt>
                <c:pt idx="15">
                  <c:v>지출 총계</c:v>
                </c:pt>
              </c:strCache>
            </c:strRef>
          </c:cat>
          <c:val>
            <c:numRef>
              <c:f>연간_항목별지출!$N$4:$N$19</c:f>
              <c:numCache>
                <c:formatCode>_(* #,##0_);_(* \(#,##0\);_(* "-"_);_(@_)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3-42CC-BAC9-2D554963C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12738568"/>
        <c:axId val="512741520"/>
      </c:barChart>
      <c:catAx>
        <c:axId val="5127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41520"/>
        <c:crosses val="autoZero"/>
        <c:auto val="1"/>
        <c:lblAlgn val="ctr"/>
        <c:lblOffset val="100"/>
        <c:noMultiLvlLbl val="0"/>
      </c:catAx>
      <c:valAx>
        <c:axId val="51274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73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D75-4F7C-8AAD-CA600F1D11A5}"/>
              </c:ext>
            </c:extLst>
          </c:dPt>
          <c:dPt>
            <c:idx val="1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D75-4F7C-8AAD-CA600F1D11A5}"/>
              </c:ext>
            </c:extLst>
          </c:dPt>
          <c:dPt>
            <c:idx val="2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41C-41C4-8AA6-31AB9BD6BE5A}"/>
              </c:ext>
            </c:extLst>
          </c:dPt>
          <c:dPt>
            <c:idx val="3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C-41C4-8AA6-31AB9BD6BE5A}"/>
              </c:ext>
            </c:extLst>
          </c:dPt>
          <c:dPt>
            <c:idx val="4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41C-41C4-8AA6-31AB9BD6BE5A}"/>
              </c:ext>
            </c:extLst>
          </c:dPt>
          <c:dPt>
            <c:idx val="5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1C-41C4-8AA6-31AB9BD6BE5A}"/>
              </c:ext>
            </c:extLst>
          </c:dPt>
          <c:dPt>
            <c:idx val="6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41C-41C4-8AA6-31AB9BD6BE5A}"/>
              </c:ext>
            </c:extLst>
          </c:dPt>
          <c:dPt>
            <c:idx val="7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1C-41C4-8AA6-31AB9BD6BE5A}"/>
              </c:ext>
            </c:extLst>
          </c:dPt>
          <c:dPt>
            <c:idx val="8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41C-41C4-8AA6-31AB9BD6BE5A}"/>
              </c:ext>
            </c:extLst>
          </c:dPt>
          <c:dPt>
            <c:idx val="9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1C-41C4-8AA6-31AB9BD6BE5A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41C-41C4-8AA6-31AB9BD6BE5A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1C-41C4-8AA6-31AB9BD6BE5A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41C-41C4-8AA6-31AB9BD6BE5A}"/>
              </c:ext>
            </c:extLst>
          </c:dPt>
          <c:dLbls>
            <c:dLbl>
              <c:idx val="0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DD75-4F7C-8AAD-CA600F1D11A5}"/>
                </c:ext>
              </c:extLst>
            </c:dLbl>
            <c:dLbl>
              <c:idx val="1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DD75-4F7C-8AAD-CA600F1D11A5}"/>
                </c:ext>
              </c:extLst>
            </c:dLbl>
            <c:dLbl>
              <c:idx val="2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41C-41C4-8AA6-31AB9BD6BE5A}"/>
                </c:ext>
              </c:extLst>
            </c:dLbl>
            <c:dLbl>
              <c:idx val="3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41C-41C4-8AA6-31AB9BD6BE5A}"/>
                </c:ext>
              </c:extLst>
            </c:dLbl>
            <c:dLbl>
              <c:idx val="4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41C-41C4-8AA6-31AB9BD6BE5A}"/>
                </c:ext>
              </c:extLst>
            </c:dLbl>
            <c:dLbl>
              <c:idx val="5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41C-41C4-8AA6-31AB9BD6BE5A}"/>
                </c:ext>
              </c:extLst>
            </c:dLbl>
            <c:dLbl>
              <c:idx val="6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41C-41C4-8AA6-31AB9BD6BE5A}"/>
                </c:ext>
              </c:extLst>
            </c:dLbl>
            <c:dLbl>
              <c:idx val="7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41C-41C4-8AA6-31AB9BD6BE5A}"/>
                </c:ext>
              </c:extLst>
            </c:dLbl>
            <c:dLbl>
              <c:idx val="8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41C-41C4-8AA6-31AB9BD6BE5A}"/>
                </c:ext>
              </c:extLst>
            </c:dLbl>
            <c:dLbl>
              <c:idx val="9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41C-41C4-8AA6-31AB9BD6BE5A}"/>
                </c:ext>
              </c:extLst>
            </c:dLbl>
            <c:dLbl>
              <c:idx val="10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E41C-41C4-8AA6-31AB9BD6BE5A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E41C-41C4-8AA6-31AB9BD6BE5A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41C-41C4-8AA6-31AB9BD6BE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'1월'!$K$11:$K$23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E-4C56-A80C-0FC65EE36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'2월'!$K$10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5-408B-8161-59B8C23454DF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A5-408B-8161-59B8C23454DF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A5-408B-8161-59B8C23454DF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A5-408B-8161-59B8C23454DF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A5-408B-8161-59B8C23454DF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A5-408B-8161-59B8C23454DF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A5-408B-8161-59B8C23454DF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A5-408B-8161-59B8C23454DF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2A5-408B-8161-59B8C23454DF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2A5-408B-8161-59B8C23454DF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2A5-408B-8161-59B8C23454DF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2A5-408B-8161-59B8C23454DF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2A5-408B-8161-59B8C23454DF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A5-408B-8161-59B8C23454DF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A5-408B-8161-59B8C23454DF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2A5-408B-8161-59B8C23454DF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2A5-408B-8161-59B8C23454DF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2A5-408B-8161-59B8C23454DF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02A5-408B-8161-59B8C23454DF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2A5-408B-8161-59B8C23454DF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2A5-408B-8161-59B8C23454DF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02A5-408B-8161-59B8C23454DF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02A5-408B-8161-59B8C23454DF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02A5-408B-8161-59B8C23454DF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02A5-408B-8161-59B8C23454DF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02A5-408B-8161-59B8C2345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'2월'!$K$11:$K$23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2A5-408B-8161-59B8C23454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'3월'!$K$10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6-41DA-ACD5-24180EDC6E4C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6-41DA-ACD5-24180EDC6E4C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A6-41DA-ACD5-24180EDC6E4C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A6-41DA-ACD5-24180EDC6E4C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A6-41DA-ACD5-24180EDC6E4C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A6-41DA-ACD5-24180EDC6E4C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A6-41DA-ACD5-24180EDC6E4C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A6-41DA-ACD5-24180EDC6E4C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A6-41DA-ACD5-24180EDC6E4C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A6-41DA-ACD5-24180EDC6E4C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A6-41DA-ACD5-24180EDC6E4C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A6-41DA-ACD5-24180EDC6E4C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A6-41DA-ACD5-24180EDC6E4C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DA6-41DA-ACD5-24180EDC6E4C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DA6-41DA-ACD5-24180EDC6E4C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DA6-41DA-ACD5-24180EDC6E4C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DA6-41DA-ACD5-24180EDC6E4C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DA6-41DA-ACD5-24180EDC6E4C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DA6-41DA-ACD5-24180EDC6E4C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2DA6-41DA-ACD5-24180EDC6E4C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2DA6-41DA-ACD5-24180EDC6E4C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2DA6-41DA-ACD5-24180EDC6E4C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2DA6-41DA-ACD5-24180EDC6E4C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2DA6-41DA-ACD5-24180EDC6E4C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2DA6-41DA-ACD5-24180EDC6E4C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2DA6-41DA-ACD5-24180EDC6E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'3월'!$K$11:$K$23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DA6-41DA-ACD5-24180EDC6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'4월'!$K$10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C-4349-A48D-4E83719C24E5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C-4349-A48D-4E83719C24E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C-4349-A48D-4E83719C24E5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9C-4349-A48D-4E83719C24E5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9C-4349-A48D-4E83719C24E5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9C-4349-A48D-4E83719C24E5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9C-4349-A48D-4E83719C24E5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59C-4349-A48D-4E83719C24E5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59C-4349-A48D-4E83719C24E5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59C-4349-A48D-4E83719C24E5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59C-4349-A48D-4E83719C24E5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59C-4349-A48D-4E83719C24E5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59C-4349-A48D-4E83719C24E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59C-4349-A48D-4E83719C24E5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59C-4349-A48D-4E83719C24E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59C-4349-A48D-4E83719C24E5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59C-4349-A48D-4E83719C24E5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59C-4349-A48D-4E83719C24E5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A59C-4349-A48D-4E83719C24E5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59C-4349-A48D-4E83719C24E5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59C-4349-A48D-4E83719C24E5}"/>
                </c:ext>
              </c:extLst>
            </c:dLbl>
            <c:dLbl>
              <c:idx val="8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59C-4349-A48D-4E83719C24E5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A59C-4349-A48D-4E83719C24E5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A59C-4349-A48D-4E83719C24E5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A59C-4349-A48D-4E83719C24E5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A59C-4349-A48D-4E83719C2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'4월'!$K$11:$K$23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9C-4349-A48D-4E83719C24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'5월'!$K$10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E-4ADE-8CFF-AE8CEDF669AA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E-4ADE-8CFF-AE8CEDF669AA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E-4ADE-8CFF-AE8CEDF669AA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E-4ADE-8CFF-AE8CEDF669AA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BE-4ADE-8CFF-AE8CEDF669AA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BE-4ADE-8CFF-AE8CEDF669AA}"/>
              </c:ext>
            </c:extLst>
          </c:dPt>
          <c:dPt>
            <c:idx val="6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BE-4ADE-8CFF-AE8CEDF669AA}"/>
              </c:ext>
            </c:extLst>
          </c:dPt>
          <c:dPt>
            <c:idx val="7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BE-4ADE-8CFF-AE8CEDF669AA}"/>
              </c:ext>
            </c:extLst>
          </c:dPt>
          <c:dPt>
            <c:idx val="8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BE-4ADE-8CFF-AE8CEDF669AA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BE-4ADE-8CFF-AE8CEDF669AA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BE-4ADE-8CFF-AE8CEDF669AA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BE-4ADE-8CFF-AE8CEDF669AA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BE-4ADE-8CFF-AE8CEDF669AA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EBE-4ADE-8CFF-AE8CEDF669AA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EBE-4ADE-8CFF-AE8CEDF669AA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EBE-4ADE-8CFF-AE8CEDF669AA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EBE-4ADE-8CFF-AE8CEDF669AA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EBE-4ADE-8CFF-AE8CEDF669AA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EBE-4ADE-8CFF-AE8CEDF669AA}"/>
                </c:ext>
              </c:extLst>
            </c:dLbl>
            <c:dLbl>
              <c:idx val="6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EBE-4ADE-8CFF-AE8CEDF669AA}"/>
                </c:ext>
              </c:extLst>
            </c:dLbl>
            <c:dLbl>
              <c:idx val="7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EBE-4ADE-8CFF-AE8CEDF669AA}"/>
                </c:ext>
              </c:extLst>
            </c:dLbl>
            <c:dLbl>
              <c:idx val="8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EBE-4ADE-8CFF-AE8CEDF669AA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EBE-4ADE-8CFF-AE8CEDF669AA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7EBE-4ADE-8CFF-AE8CEDF669AA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7EBE-4ADE-8CFF-AE8CEDF669AA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7EBE-4ADE-8CFF-AE8CEDF669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'5월'!$K$11:$K$23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BE-4ADE-8CFF-AE8CEDF669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'6월'!$K$10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0-4EAF-97A9-55DDBF76BA50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40-4EAF-97A9-55DDBF76BA50}"/>
              </c:ext>
            </c:extLst>
          </c:dPt>
          <c:dPt>
            <c:idx val="2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40-4EAF-97A9-55DDBF76BA50}"/>
              </c:ext>
            </c:extLst>
          </c:dPt>
          <c:dPt>
            <c:idx val="3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40-4EAF-97A9-55DDBF76BA50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40-4EAF-97A9-55DDBF76BA50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40-4EAF-97A9-55DDBF76BA50}"/>
              </c:ext>
            </c:extLst>
          </c:dPt>
          <c:dPt>
            <c:idx val="6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40-4EAF-97A9-55DDBF76BA50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40-4EAF-97A9-55DDBF76BA50}"/>
              </c:ext>
            </c:extLst>
          </c:dPt>
          <c:dPt>
            <c:idx val="8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40-4EAF-97A9-55DDBF76BA50}"/>
              </c:ext>
            </c:extLst>
          </c:dPt>
          <c:dPt>
            <c:idx val="9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40-4EAF-97A9-55DDBF76BA50}"/>
              </c:ext>
            </c:extLst>
          </c:dPt>
          <c:dPt>
            <c:idx val="10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40-4EAF-97A9-55DDBF76BA50}"/>
              </c:ext>
            </c:extLst>
          </c:dPt>
          <c:dPt>
            <c:idx val="1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40-4EAF-97A9-55DDBF76BA50}"/>
              </c:ext>
            </c:extLst>
          </c:dPt>
          <c:dPt>
            <c:idx val="12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40-4EAF-97A9-55DDBF76BA50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840-4EAF-97A9-55DDBF76BA50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840-4EAF-97A9-55DDBF76BA50}"/>
                </c:ext>
              </c:extLst>
            </c:dLbl>
            <c:dLbl>
              <c:idx val="2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840-4EAF-97A9-55DDBF76BA50}"/>
                </c:ext>
              </c:extLst>
            </c:dLbl>
            <c:dLbl>
              <c:idx val="3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840-4EAF-97A9-55DDBF76BA50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840-4EAF-97A9-55DDBF76BA50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840-4EAF-97A9-55DDBF76BA50}"/>
                </c:ext>
              </c:extLst>
            </c:dLbl>
            <c:dLbl>
              <c:idx val="6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840-4EAF-97A9-55DDBF76BA50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840-4EAF-97A9-55DDBF76BA50}"/>
                </c:ext>
              </c:extLst>
            </c:dLbl>
            <c:dLbl>
              <c:idx val="8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840-4EAF-97A9-55DDBF76BA50}"/>
                </c:ext>
              </c:extLst>
            </c:dLbl>
            <c:dLbl>
              <c:idx val="9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3840-4EAF-97A9-55DDBF76BA50}"/>
                </c:ext>
              </c:extLst>
            </c:dLbl>
            <c:dLbl>
              <c:idx val="10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840-4EAF-97A9-55DDBF76BA50}"/>
                </c:ext>
              </c:extLst>
            </c:dLbl>
            <c:dLbl>
              <c:idx val="1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3840-4EAF-97A9-55DDBF76BA50}"/>
                </c:ext>
              </c:extLst>
            </c:dLbl>
            <c:dLbl>
              <c:idx val="12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3840-4EAF-97A9-55DDBF76B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'6월'!$K$11:$K$23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40-4EAF-97A9-55DDBF76BA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'7월'!$K$10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D-4186-A130-1699453AB800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D-4186-A130-1699453AB800}"/>
              </c:ext>
            </c:extLst>
          </c:dPt>
          <c:dPt>
            <c:idx val="2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7D-4186-A130-1699453AB800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7D-4186-A130-1699453AB800}"/>
              </c:ext>
            </c:extLst>
          </c:dPt>
          <c:dPt>
            <c:idx val="4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7D-4186-A130-1699453AB800}"/>
              </c:ext>
            </c:extLst>
          </c:dPt>
          <c:dPt>
            <c:idx val="5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7D-4186-A130-1699453AB800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7D-4186-A130-1699453AB800}"/>
              </c:ext>
            </c:extLst>
          </c:dPt>
          <c:dPt>
            <c:idx val="7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7D-4186-A130-1699453AB800}"/>
              </c:ext>
            </c:extLst>
          </c:dPt>
          <c:dPt>
            <c:idx val="8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7D-4186-A130-1699453AB800}"/>
              </c:ext>
            </c:extLst>
          </c:dPt>
          <c:dPt>
            <c:idx val="9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7D-4186-A130-1699453AB800}"/>
              </c:ext>
            </c:extLst>
          </c:dPt>
          <c:dPt>
            <c:idx val="10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97D-4186-A130-1699453AB800}"/>
              </c:ext>
            </c:extLst>
          </c:dPt>
          <c:dPt>
            <c:idx val="11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97D-4186-A130-1699453AB800}"/>
              </c:ext>
            </c:extLst>
          </c:dPt>
          <c:dPt>
            <c:idx val="1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97D-4186-A130-1699453AB800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7D-4186-A130-1699453AB800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97D-4186-A130-1699453AB800}"/>
                </c:ext>
              </c:extLst>
            </c:dLbl>
            <c:dLbl>
              <c:idx val="2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97D-4186-A130-1699453AB800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97D-4186-A130-1699453AB800}"/>
                </c:ext>
              </c:extLst>
            </c:dLbl>
            <c:dLbl>
              <c:idx val="4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97D-4186-A130-1699453AB800}"/>
                </c:ext>
              </c:extLst>
            </c:dLbl>
            <c:dLbl>
              <c:idx val="5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97D-4186-A130-1699453AB800}"/>
                </c:ext>
              </c:extLst>
            </c:dLbl>
            <c:dLbl>
              <c:idx val="6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97D-4186-A130-1699453AB800}"/>
                </c:ext>
              </c:extLst>
            </c:dLbl>
            <c:dLbl>
              <c:idx val="7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97D-4186-A130-1699453AB800}"/>
                </c:ext>
              </c:extLst>
            </c:dLbl>
            <c:dLbl>
              <c:idx val="8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D97D-4186-A130-1699453AB800}"/>
                </c:ext>
              </c:extLst>
            </c:dLbl>
            <c:dLbl>
              <c:idx val="9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D97D-4186-A130-1699453AB800}"/>
                </c:ext>
              </c:extLst>
            </c:dLbl>
            <c:dLbl>
              <c:idx val="10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97D-4186-A130-1699453AB800}"/>
                </c:ext>
              </c:extLst>
            </c:dLbl>
            <c:dLbl>
              <c:idx val="11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D97D-4186-A130-1699453AB800}"/>
                </c:ext>
              </c:extLst>
            </c:dLbl>
            <c:dLbl>
              <c:idx val="1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D97D-4186-A130-1699453AB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'7월'!$K$11:$K$23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7D-4186-A130-1699453AB8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'8월'!$K$10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3-43FD-84BD-C078A2BA1ECF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3-43FD-84BD-C078A2BA1ECF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F3-43FD-84BD-C078A2BA1ECF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F3-43FD-84BD-C078A2BA1ECF}"/>
              </c:ext>
            </c:extLst>
          </c:dPt>
          <c:dPt>
            <c:idx val="4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F3-43FD-84BD-C078A2BA1ECF}"/>
              </c:ext>
            </c:extLst>
          </c:dPt>
          <c:dPt>
            <c:idx val="5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F3-43FD-84BD-C078A2BA1ECF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F3-43FD-84BD-C078A2BA1ECF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F3-43FD-84BD-C078A2BA1ECF}"/>
              </c:ext>
            </c:extLst>
          </c:dPt>
          <c:dPt>
            <c:idx val="8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F3-43FD-84BD-C078A2BA1ECF}"/>
              </c:ext>
            </c:extLst>
          </c:dPt>
          <c:dPt>
            <c:idx val="9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F3-43FD-84BD-C078A2BA1ECF}"/>
              </c:ext>
            </c:extLst>
          </c:dPt>
          <c:dPt>
            <c:idx val="10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F3-43FD-84BD-C078A2BA1ECF}"/>
              </c:ext>
            </c:extLst>
          </c:dPt>
          <c:dPt>
            <c:idx val="11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CF3-43FD-84BD-C078A2BA1ECF}"/>
              </c:ext>
            </c:extLst>
          </c:dPt>
          <c:dPt>
            <c:idx val="1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CF3-43FD-84BD-C078A2BA1ECF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F3-43FD-84BD-C078A2BA1ECF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CF3-43FD-84BD-C078A2BA1ECF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CF3-43FD-84BD-C078A2BA1ECF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CF3-43FD-84BD-C078A2BA1ECF}"/>
                </c:ext>
              </c:extLst>
            </c:dLbl>
            <c:dLbl>
              <c:idx val="4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CF3-43FD-84BD-C078A2BA1ECF}"/>
                </c:ext>
              </c:extLst>
            </c:dLbl>
            <c:dLbl>
              <c:idx val="5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CF3-43FD-84BD-C078A2BA1ECF}"/>
                </c:ext>
              </c:extLst>
            </c:dLbl>
            <c:dLbl>
              <c:idx val="6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CF3-43FD-84BD-C078A2BA1ECF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CF3-43FD-84BD-C078A2BA1ECF}"/>
                </c:ext>
              </c:extLst>
            </c:dLbl>
            <c:dLbl>
              <c:idx val="8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DCF3-43FD-84BD-C078A2BA1ECF}"/>
                </c:ext>
              </c:extLst>
            </c:dLbl>
            <c:dLbl>
              <c:idx val="9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DCF3-43FD-84BD-C078A2BA1ECF}"/>
                </c:ext>
              </c:extLst>
            </c:dLbl>
            <c:dLbl>
              <c:idx val="10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CF3-43FD-84BD-C078A2BA1ECF}"/>
                </c:ext>
              </c:extLst>
            </c:dLbl>
            <c:dLbl>
              <c:idx val="11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DCF3-43FD-84BD-C078A2BA1ECF}"/>
                </c:ext>
              </c:extLst>
            </c:dLbl>
            <c:dLbl>
              <c:idx val="1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DCF3-43FD-84BD-C078A2BA1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'8월'!$K$11:$K$23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CF3-43FD-84BD-C078A2BA1E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'9월'!$K$10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F-42CE-A5F1-4E1AAFF255A7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F-42CE-A5F1-4E1AAFF255A7}"/>
              </c:ext>
            </c:extLst>
          </c:dPt>
          <c:dPt>
            <c:idx val="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F-42CE-A5F1-4E1AAFF255A7}"/>
              </c:ext>
            </c:extLst>
          </c:dPt>
          <c:dPt>
            <c:idx val="3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F-42CE-A5F1-4E1AAFF255A7}"/>
              </c:ext>
            </c:extLst>
          </c:dPt>
          <c:dPt>
            <c:idx val="4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9F-42CE-A5F1-4E1AAFF255A7}"/>
              </c:ext>
            </c:extLst>
          </c:dPt>
          <c:dPt>
            <c:idx val="5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9F-42CE-A5F1-4E1AAFF255A7}"/>
              </c:ext>
            </c:extLst>
          </c:dPt>
          <c:dPt>
            <c:idx val="6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9F-42CE-A5F1-4E1AAFF255A7}"/>
              </c:ext>
            </c:extLst>
          </c:dPt>
          <c:dPt>
            <c:idx val="7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9F-42CE-A5F1-4E1AAFF255A7}"/>
              </c:ext>
            </c:extLst>
          </c:dPt>
          <c:dPt>
            <c:idx val="8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59F-42CE-A5F1-4E1AAFF255A7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59F-42CE-A5F1-4E1AAFF255A7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59F-42CE-A5F1-4E1AAFF255A7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59F-42CE-A5F1-4E1AAFF255A7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59F-42CE-A5F1-4E1AAFF255A7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9F-42CE-A5F1-4E1AAFF255A7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59F-42CE-A5F1-4E1AAFF255A7}"/>
                </c:ext>
              </c:extLst>
            </c:dLbl>
            <c:dLbl>
              <c:idx val="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59F-42CE-A5F1-4E1AAFF255A7}"/>
                </c:ext>
              </c:extLst>
            </c:dLbl>
            <c:dLbl>
              <c:idx val="3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59F-42CE-A5F1-4E1AAFF255A7}"/>
                </c:ext>
              </c:extLst>
            </c:dLbl>
            <c:dLbl>
              <c:idx val="4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59F-42CE-A5F1-4E1AAFF255A7}"/>
                </c:ext>
              </c:extLst>
            </c:dLbl>
            <c:dLbl>
              <c:idx val="5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59F-42CE-A5F1-4E1AAFF255A7}"/>
                </c:ext>
              </c:extLst>
            </c:dLbl>
            <c:dLbl>
              <c:idx val="6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59F-42CE-A5F1-4E1AAFF255A7}"/>
                </c:ext>
              </c:extLst>
            </c:dLbl>
            <c:dLbl>
              <c:idx val="7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59F-42CE-A5F1-4E1AAFF255A7}"/>
                </c:ext>
              </c:extLst>
            </c:dLbl>
            <c:dLbl>
              <c:idx val="8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59F-42CE-A5F1-4E1AAFF255A7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59F-42CE-A5F1-4E1AAFF255A7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C59F-42CE-A5F1-4E1AAFF255A7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C59F-42CE-A5F1-4E1AAFF255A7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C59F-42CE-A5F1-4E1AAFF255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'9월'!$K$11:$K$23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9F-42CE-A5F1-4E1AAFF255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'10월'!$K$10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87-40D3-9FB8-C005ADED2A96}"/>
              </c:ext>
            </c:extLst>
          </c:dPt>
          <c:dPt>
            <c:idx val="1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87-40D3-9FB8-C005ADED2A96}"/>
              </c:ext>
            </c:extLst>
          </c:dPt>
          <c:dPt>
            <c:idx val="2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87-40D3-9FB8-C005ADED2A96}"/>
              </c:ext>
            </c:extLst>
          </c:dPt>
          <c:dPt>
            <c:idx val="3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87-40D3-9FB8-C005ADED2A96}"/>
              </c:ext>
            </c:extLst>
          </c:dPt>
          <c:dPt>
            <c:idx val="4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87-40D3-9FB8-C005ADED2A96}"/>
              </c:ext>
            </c:extLst>
          </c:dPt>
          <c:dPt>
            <c:idx val="5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87-40D3-9FB8-C005ADED2A96}"/>
              </c:ext>
            </c:extLst>
          </c:dPt>
          <c:dPt>
            <c:idx val="6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87-40D3-9FB8-C005ADED2A96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987-40D3-9FB8-C005ADED2A96}"/>
              </c:ext>
            </c:extLst>
          </c:dPt>
          <c:dPt>
            <c:idx val="8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987-40D3-9FB8-C005ADED2A96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987-40D3-9FB8-C005ADED2A96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987-40D3-9FB8-C005ADED2A96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987-40D3-9FB8-C005ADED2A96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987-40D3-9FB8-C005ADED2A96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987-40D3-9FB8-C005ADED2A96}"/>
                </c:ext>
              </c:extLst>
            </c:dLbl>
            <c:dLbl>
              <c:idx val="1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987-40D3-9FB8-C005ADED2A96}"/>
                </c:ext>
              </c:extLst>
            </c:dLbl>
            <c:dLbl>
              <c:idx val="2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987-40D3-9FB8-C005ADED2A96}"/>
                </c:ext>
              </c:extLst>
            </c:dLbl>
            <c:dLbl>
              <c:idx val="3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987-40D3-9FB8-C005ADED2A96}"/>
                </c:ext>
              </c:extLst>
            </c:dLbl>
            <c:dLbl>
              <c:idx val="4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987-40D3-9FB8-C005ADED2A96}"/>
                </c:ext>
              </c:extLst>
            </c:dLbl>
            <c:dLbl>
              <c:idx val="5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987-40D3-9FB8-C005ADED2A96}"/>
                </c:ext>
              </c:extLst>
            </c:dLbl>
            <c:dLbl>
              <c:idx val="6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987-40D3-9FB8-C005ADED2A96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5987-40D3-9FB8-C005ADED2A96}"/>
                </c:ext>
              </c:extLst>
            </c:dLbl>
            <c:dLbl>
              <c:idx val="8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5987-40D3-9FB8-C005ADED2A96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5987-40D3-9FB8-C005ADED2A96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5987-40D3-9FB8-C005ADED2A96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5987-40D3-9FB8-C005ADED2A96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5987-40D3-9FB8-C005ADED2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'10월'!$K$11:$K$23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987-40D3-9FB8-C005ADED2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'11월'!$K$10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F1-4A50-93DE-88DAF8733235}"/>
              </c:ext>
            </c:extLst>
          </c:dPt>
          <c:dPt>
            <c:idx val="1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F1-4A50-93DE-88DAF873323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F1-4A50-93DE-88DAF8733235}"/>
              </c:ext>
            </c:extLst>
          </c:dPt>
          <c:dPt>
            <c:idx val="3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F1-4A50-93DE-88DAF8733235}"/>
              </c:ext>
            </c:extLst>
          </c:dPt>
          <c:dPt>
            <c:idx val="4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F1-4A50-93DE-88DAF8733235}"/>
              </c:ext>
            </c:extLst>
          </c:dPt>
          <c:dPt>
            <c:idx val="5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F1-4A50-93DE-88DAF8733235}"/>
              </c:ext>
            </c:extLst>
          </c:dPt>
          <c:dPt>
            <c:idx val="6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F1-4A50-93DE-88DAF8733235}"/>
              </c:ext>
            </c:extLst>
          </c:dPt>
          <c:dPt>
            <c:idx val="7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F1-4A50-93DE-88DAF8733235}"/>
              </c:ext>
            </c:extLst>
          </c:dPt>
          <c:dPt>
            <c:idx val="8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F1-4A50-93DE-88DAF8733235}"/>
              </c:ext>
            </c:extLst>
          </c:dPt>
          <c:dPt>
            <c:idx val="9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F1-4A50-93DE-88DAF8733235}"/>
              </c:ext>
            </c:extLst>
          </c:dPt>
          <c:dPt>
            <c:idx val="10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F1-4A50-93DE-88DAF8733235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F1-4A50-93DE-88DAF8733235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F1-4A50-93DE-88DAF873323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8F1-4A50-93DE-88DAF8733235}"/>
                </c:ext>
              </c:extLst>
            </c:dLbl>
            <c:dLbl>
              <c:idx val="1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8F1-4A50-93DE-88DAF873323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8F1-4A50-93DE-88DAF8733235}"/>
                </c:ext>
              </c:extLst>
            </c:dLbl>
            <c:dLbl>
              <c:idx val="3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8F1-4A50-93DE-88DAF8733235}"/>
                </c:ext>
              </c:extLst>
            </c:dLbl>
            <c:dLbl>
              <c:idx val="4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8F1-4A50-93DE-88DAF8733235}"/>
                </c:ext>
              </c:extLst>
            </c:dLbl>
            <c:dLbl>
              <c:idx val="5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8F1-4A50-93DE-88DAF8733235}"/>
                </c:ext>
              </c:extLst>
            </c:dLbl>
            <c:dLbl>
              <c:idx val="6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8F1-4A50-93DE-88DAF8733235}"/>
                </c:ext>
              </c:extLst>
            </c:dLbl>
            <c:dLbl>
              <c:idx val="7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8F1-4A50-93DE-88DAF8733235}"/>
                </c:ext>
              </c:extLst>
            </c:dLbl>
            <c:dLbl>
              <c:idx val="8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8F1-4A50-93DE-88DAF8733235}"/>
                </c:ext>
              </c:extLst>
            </c:dLbl>
            <c:dLbl>
              <c:idx val="9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38F1-4A50-93DE-88DAF8733235}"/>
                </c:ext>
              </c:extLst>
            </c:dLbl>
            <c:dLbl>
              <c:idx val="10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8F1-4A50-93DE-88DAF8733235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38F1-4A50-93DE-88DAF8733235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38F1-4A50-93DE-88DAF87332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'11월'!$K$11:$K$23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F1-4A50-93DE-88DAF8733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'12월'!$K$10</c:f>
              <c:strCache>
                <c:ptCount val="1"/>
                <c:pt idx="0">
                  <c:v>지출계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17-47C9-A808-889A2CD205C5}"/>
              </c:ext>
            </c:extLst>
          </c:dPt>
          <c:dPt>
            <c:idx val="1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17-47C9-A808-889A2CD205C5}"/>
              </c:ext>
            </c:extLst>
          </c:dPt>
          <c:dPt>
            <c:idx val="2"/>
            <c:bubble3D val="0"/>
            <c:spPr>
              <a:solidFill>
                <a:schemeClr val="accent2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17-47C9-A808-889A2CD205C5}"/>
              </c:ext>
            </c:extLst>
          </c:dPt>
          <c:dPt>
            <c:idx val="3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17-47C9-A808-889A2CD205C5}"/>
              </c:ext>
            </c:extLst>
          </c:dPt>
          <c:dPt>
            <c:idx val="4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17-47C9-A808-889A2CD205C5}"/>
              </c:ext>
            </c:extLst>
          </c:dPt>
          <c:dPt>
            <c:idx val="5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17-47C9-A808-889A2CD205C5}"/>
              </c:ext>
            </c:extLst>
          </c:dPt>
          <c:dPt>
            <c:idx val="6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17-47C9-A808-889A2CD205C5}"/>
              </c:ext>
            </c:extLst>
          </c:dPt>
          <c:dPt>
            <c:idx val="7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17-47C9-A808-889A2CD205C5}"/>
              </c:ext>
            </c:extLst>
          </c:dPt>
          <c:dPt>
            <c:idx val="8"/>
            <c:bubble3D val="0"/>
            <c:spPr>
              <a:solidFill>
                <a:schemeClr val="accent2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17-47C9-A808-889A2CD205C5}"/>
              </c:ext>
            </c:extLst>
          </c:dPt>
          <c:dPt>
            <c:idx val="9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17-47C9-A808-889A2CD205C5}"/>
              </c:ext>
            </c:extLst>
          </c:dPt>
          <c:dPt>
            <c:idx val="10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17-47C9-A808-889A2CD205C5}"/>
              </c:ext>
            </c:extLst>
          </c:dPt>
          <c:dPt>
            <c:idx val="11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817-47C9-A808-889A2CD205C5}"/>
              </c:ext>
            </c:extLst>
          </c:dPt>
          <c:dPt>
            <c:idx val="12"/>
            <c:bubble3D val="0"/>
            <c:spPr>
              <a:solidFill>
                <a:schemeClr val="accent2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817-47C9-A808-889A2CD205C5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0.17894736842105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817-47C9-A808-889A2CD205C5}"/>
                </c:ext>
              </c:extLst>
            </c:dLbl>
            <c:dLbl>
              <c:idx val="1"/>
              <c:layout>
                <c:manualLayout>
                  <c:x val="-0.1738095238095238"/>
                  <c:y val="-2.6315789473684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817-47C9-A808-889A2CD205C5}"/>
                </c:ext>
              </c:extLst>
            </c:dLbl>
            <c:dLbl>
              <c:idx val="2"/>
              <c:layout>
                <c:manualLayout>
                  <c:x val="-0.26904761904761909"/>
                  <c:y val="-9.73684210526316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817-47C9-A808-889A2CD205C5}"/>
                </c:ext>
              </c:extLst>
            </c:dLbl>
            <c:dLbl>
              <c:idx val="3"/>
              <c:layout>
                <c:manualLayout>
                  <c:x val="0.25714285714285712"/>
                  <c:y val="-0.160526315789473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817-47C9-A808-889A2CD205C5}"/>
                </c:ext>
              </c:extLst>
            </c:dLbl>
            <c:dLbl>
              <c:idx val="4"/>
              <c:layout>
                <c:manualLayout>
                  <c:x val="8.0952380952380956E-2"/>
                  <c:y val="0.1894736842105263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817-47C9-A808-889A2CD205C5}"/>
                </c:ext>
              </c:extLst>
            </c:dLbl>
            <c:dLbl>
              <c:idx val="5"/>
              <c:layout>
                <c:manualLayout>
                  <c:x val="0.39047619047619048"/>
                  <c:y val="-0.147368421052631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817-47C9-A808-889A2CD205C5}"/>
                </c:ext>
              </c:extLst>
            </c:dLbl>
            <c:dLbl>
              <c:idx val="6"/>
              <c:layout>
                <c:manualLayout>
                  <c:x val="0.15"/>
                  <c:y val="1.8421052631578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817-47C9-A808-889A2CD205C5}"/>
                </c:ext>
              </c:extLst>
            </c:dLbl>
            <c:dLbl>
              <c:idx val="7"/>
              <c:layout>
                <c:manualLayout>
                  <c:x val="-0.18333333333333332"/>
                  <c:y val="-0.1052631578947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817-47C9-A808-889A2CD205C5}"/>
                </c:ext>
              </c:extLst>
            </c:dLbl>
            <c:dLbl>
              <c:idx val="8"/>
              <c:layout>
                <c:manualLayout>
                  <c:x val="-0.12380952380952381"/>
                  <c:y val="-0.157894736842105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817-47C9-A808-889A2CD205C5}"/>
                </c:ext>
              </c:extLst>
            </c:dLbl>
            <c:dLbl>
              <c:idx val="9"/>
              <c:layout>
                <c:manualLayout>
                  <c:x val="-2.3809523809523808E-2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817-47C9-A808-889A2CD205C5}"/>
                </c:ext>
              </c:extLst>
            </c:dLbl>
            <c:dLbl>
              <c:idx val="10"/>
              <c:layout>
                <c:manualLayout>
                  <c:x val="0.12380952380952381"/>
                  <c:y val="9.9999999999999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7817-47C9-A808-889A2CD205C5}"/>
                </c:ext>
              </c:extLst>
            </c:dLbl>
            <c:dLbl>
              <c:idx val="11"/>
              <c:layout>
                <c:manualLayout>
                  <c:x val="-4.2857142857142858E-2"/>
                  <c:y val="0.239473684210526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7817-47C9-A808-889A2CD205C5}"/>
                </c:ext>
              </c:extLst>
            </c:dLbl>
            <c:dLbl>
              <c:idx val="12"/>
              <c:layout>
                <c:manualLayout>
                  <c:x val="0.10476190476190476"/>
                  <c:y val="-0.168421052631578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7817-47C9-A808-889A2CD20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'12월'!$J$11:$J$23</c:f>
              <c:strCache>
                <c:ptCount val="13"/>
                <c:pt idx="0">
                  <c:v>식비</c:v>
                </c:pt>
                <c:pt idx="1">
                  <c:v>주거비</c:v>
                </c:pt>
                <c:pt idx="2">
                  <c:v>생활용품비</c:v>
                </c:pt>
                <c:pt idx="3">
                  <c:v>반려동물비</c:v>
                </c:pt>
                <c:pt idx="4">
                  <c:v>의류미용비</c:v>
                </c:pt>
                <c:pt idx="5">
                  <c:v>교육비</c:v>
                </c:pt>
                <c:pt idx="6">
                  <c:v>문화생활비</c:v>
                </c:pt>
                <c:pt idx="7">
                  <c:v>의료비</c:v>
                </c:pt>
                <c:pt idx="8">
                  <c:v>유류교통비</c:v>
                </c:pt>
                <c:pt idx="9">
                  <c:v>통신비</c:v>
                </c:pt>
                <c:pt idx="10">
                  <c:v>경조사회비</c:v>
                </c:pt>
                <c:pt idx="11">
                  <c:v>용돈</c:v>
                </c:pt>
                <c:pt idx="12">
                  <c:v>추가항목</c:v>
                </c:pt>
              </c:strCache>
            </c:strRef>
          </c:cat>
          <c:val>
            <c:numRef>
              <c:f>'12월'!$K$11:$K$23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212000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817-47C9-A808-889A2CD205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&lt;</a:t>
            </a:r>
            <a:r>
              <a:rPr lang="ko-KR" altLang="en-US" b="1"/>
              <a:t>금융자산</a:t>
            </a:r>
            <a:r>
              <a:rPr lang="ko-KR" altLang="en-US" b="1" baseline="0"/>
              <a:t> 현황</a:t>
            </a:r>
            <a:r>
              <a:rPr lang="en-US" altLang="ko-KR" b="1" baseline="0"/>
              <a:t>&gt;</a:t>
            </a:r>
            <a:endParaRPr lang="ko-KR" altLang="en-US" b="1"/>
          </a:p>
        </c:rich>
      </c:tx>
      <c:layout>
        <c:manualLayout>
          <c:xMode val="edge"/>
          <c:yMode val="edge"/>
          <c:x val="0.3095241807645332"/>
          <c:y val="0.43802086722473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8329249629294804E-2"/>
          <c:y val="2.9353682194610459E-2"/>
          <c:w val="0.86658309158723579"/>
          <c:h val="0.93023009244550747"/>
        </c:manualLayout>
      </c:layout>
      <c:doughnutChart>
        <c:varyColors val="1"/>
        <c:ser>
          <c:idx val="0"/>
          <c:order val="0"/>
          <c:tx>
            <c:strRef>
              <c:f>자산현황!$E$13</c:f>
              <c:strCache>
                <c:ptCount val="1"/>
                <c:pt idx="0">
                  <c:v>금액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5-4A76-900D-6AD692E8D431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55-4A76-900D-6AD692E8D431}"/>
              </c:ext>
            </c:extLst>
          </c:dPt>
          <c:dPt>
            <c:idx val="2"/>
            <c:bubble3D val="0"/>
            <c:spPr>
              <a:solidFill>
                <a:srgbClr val="5F5F5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89-489B-B5B1-D92881B39B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자산현황!$B$14:$B$16</c:f>
              <c:strCache>
                <c:ptCount val="3"/>
                <c:pt idx="0">
                  <c:v>장기</c:v>
                </c:pt>
                <c:pt idx="1">
                  <c:v>중기</c:v>
                </c:pt>
                <c:pt idx="2">
                  <c:v>단기</c:v>
                </c:pt>
              </c:strCache>
            </c:strRef>
          </c:cat>
          <c:val>
            <c:numRef>
              <c:f>자산현황!$E$14:$E$16</c:f>
              <c:numCache>
                <c:formatCode>_(* #,##0_);_(* \(#,##0\);_(* "-"_);_(@_)</c:formatCode>
                <c:ptCount val="3"/>
                <c:pt idx="0">
                  <c:v>71100000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9-4940-90B8-9D421B6DEA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ko-KR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&lt;</a:t>
            </a:r>
            <a:r>
              <a:rPr kumimoji="0" lang="ko-KR" altLang="en-US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전체 자산 현황</a:t>
            </a:r>
            <a:r>
              <a:rPr kumimoji="0" lang="en-US" altLang="ko-KR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&gt;</a:t>
            </a:r>
            <a:endParaRPr lang="ko-KR" b="1"/>
          </a:p>
        </c:rich>
      </c:tx>
      <c:layout>
        <c:manualLayout>
          <c:xMode val="edge"/>
          <c:yMode val="edge"/>
          <c:x val="0.28022279953504226"/>
          <c:y val="0.43368723942744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1392709124198587E-2"/>
          <c:y val="0"/>
          <c:w val="0.87859437254610306"/>
          <c:h val="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94-4DA3-B36C-FA7EB6A23B03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94-4DA3-B36C-FA7EB6A23B0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94-4DA3-B36C-FA7EB6A23B03}"/>
              </c:ext>
            </c:extLst>
          </c:dPt>
          <c:dLbls>
            <c:dLbl>
              <c:idx val="0"/>
              <c:layout>
                <c:manualLayout>
                  <c:x val="1.4564888698555311E-2"/>
                  <c:y val="-0.101497462347782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72086585269929"/>
                      <c:h val="0.279859982807274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A94-4DA3-B36C-FA7EB6A23B03}"/>
                </c:ext>
              </c:extLst>
            </c:dLbl>
            <c:dLbl>
              <c:idx val="2"/>
              <c:layout>
                <c:manualLayout>
                  <c:x val="1.3655948748180819E-7"/>
                  <c:y val="-1.42897649277410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6589049895559"/>
                      <c:h val="0.179870634495567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A94-4DA3-B36C-FA7EB6A23B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자산현황!$D$3:$D$5</c:f>
              <c:strCache>
                <c:ptCount val="3"/>
                <c:pt idx="0">
                  <c:v>금융자산 총계</c:v>
                </c:pt>
                <c:pt idx="1">
                  <c:v>부동자산 총계</c:v>
                </c:pt>
                <c:pt idx="2">
                  <c:v>부채</c:v>
                </c:pt>
              </c:strCache>
            </c:strRef>
          </c:cat>
          <c:val>
            <c:numRef>
              <c:f>자산현황!$F$3:$F$5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30000000</c:v>
                </c:pt>
                <c:pt idx="2">
                  <c:v>7149519.4357249979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4-4DA3-B36C-FA7EB6A23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&lt;</a:t>
            </a:r>
            <a:r>
              <a:rPr lang="ko-KR" altLang="en-US" b="1"/>
              <a:t>위험자산 비율</a:t>
            </a:r>
            <a:r>
              <a:rPr lang="en-US" altLang="ko-KR" b="1" baseline="0"/>
              <a:t>&gt;</a:t>
            </a:r>
            <a:endParaRPr lang="ko-KR" altLang="en-US" b="1"/>
          </a:p>
        </c:rich>
      </c:tx>
      <c:layout>
        <c:manualLayout>
          <c:xMode val="edge"/>
          <c:yMode val="edge"/>
          <c:x val="0.28223671985692056"/>
          <c:y val="0.41034339457567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135895421831395"/>
          <c:y val="1.2713654695602074E-2"/>
          <c:w val="0.73839918240308455"/>
          <c:h val="0.92710119568387284"/>
        </c:manualLayout>
      </c:layout>
      <c:doughnutChart>
        <c:varyColors val="1"/>
        <c:ser>
          <c:idx val="0"/>
          <c:order val="0"/>
          <c:tx>
            <c:strRef>
              <c:f>자산현황!$E$20</c:f>
              <c:strCache>
                <c:ptCount val="1"/>
                <c:pt idx="0">
                  <c:v>금액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explosion val="2"/>
          <c:dPt>
            <c:idx val="0"/>
            <c:bubble3D val="0"/>
            <c:explosion val="4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D-44E1-87C9-14E6BA8000C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D-44E1-87C9-14E6BA8000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자산현황!$B$21:$B$22</c:f>
              <c:strCache>
                <c:ptCount val="2"/>
                <c:pt idx="0">
                  <c:v>안정</c:v>
                </c:pt>
                <c:pt idx="1">
                  <c:v>위험</c:v>
                </c:pt>
              </c:strCache>
            </c:strRef>
          </c:cat>
          <c:val>
            <c:numRef>
              <c:f>자산현황!$E$21:$E$22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D-44E1-87C9-14E6BA8000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</xdr:rowOff>
    </xdr:from>
    <xdr:to>
      <xdr:col>18</xdr:col>
      <xdr:colOff>0</xdr:colOff>
      <xdr:row>38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18</xdr:col>
      <xdr:colOff>0</xdr:colOff>
      <xdr:row>65</xdr:row>
      <xdr:rowOff>0</xdr:rowOff>
    </xdr:to>
    <xdr:graphicFrame macro="">
      <xdr:nvGraphicFramePr>
        <xdr:cNvPr id="182" name="차트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66</xdr:row>
      <xdr:rowOff>0</xdr:rowOff>
    </xdr:from>
    <xdr:to>
      <xdr:col>18</xdr:col>
      <xdr:colOff>0</xdr:colOff>
      <xdr:row>78</xdr:row>
      <xdr:rowOff>0</xdr:rowOff>
    </xdr:to>
    <xdr:graphicFrame macro="">
      <xdr:nvGraphicFramePr>
        <xdr:cNvPr id="183" name="차트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0</xdr:rowOff>
    </xdr:from>
    <xdr:to>
      <xdr:col>18</xdr:col>
      <xdr:colOff>0</xdr:colOff>
      <xdr:row>91</xdr:row>
      <xdr:rowOff>0</xdr:rowOff>
    </xdr:to>
    <xdr:graphicFrame macro="">
      <xdr:nvGraphicFramePr>
        <xdr:cNvPr id="184" name="차트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92</xdr:row>
      <xdr:rowOff>0</xdr:rowOff>
    </xdr:from>
    <xdr:to>
      <xdr:col>18</xdr:col>
      <xdr:colOff>0</xdr:colOff>
      <xdr:row>104</xdr:row>
      <xdr:rowOff>0</xdr:rowOff>
    </xdr:to>
    <xdr:graphicFrame macro="">
      <xdr:nvGraphicFramePr>
        <xdr:cNvPr id="185" name="차트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105</xdr:row>
      <xdr:rowOff>0</xdr:rowOff>
    </xdr:from>
    <xdr:to>
      <xdr:col>18</xdr:col>
      <xdr:colOff>0</xdr:colOff>
      <xdr:row>117</xdr:row>
      <xdr:rowOff>0</xdr:rowOff>
    </xdr:to>
    <xdr:graphicFrame macro="">
      <xdr:nvGraphicFramePr>
        <xdr:cNvPr id="186" name="차트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118</xdr:row>
      <xdr:rowOff>0</xdr:rowOff>
    </xdr:from>
    <xdr:to>
      <xdr:col>18</xdr:col>
      <xdr:colOff>0</xdr:colOff>
      <xdr:row>130</xdr:row>
      <xdr:rowOff>0</xdr:rowOff>
    </xdr:to>
    <xdr:graphicFrame macro="">
      <xdr:nvGraphicFramePr>
        <xdr:cNvPr id="187" name="차트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131</xdr:row>
      <xdr:rowOff>0</xdr:rowOff>
    </xdr:from>
    <xdr:to>
      <xdr:col>18</xdr:col>
      <xdr:colOff>0</xdr:colOff>
      <xdr:row>143</xdr:row>
      <xdr:rowOff>0</xdr:rowOff>
    </xdr:to>
    <xdr:graphicFrame macro="">
      <xdr:nvGraphicFramePr>
        <xdr:cNvPr id="188" name="차트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144</xdr:row>
      <xdr:rowOff>0</xdr:rowOff>
    </xdr:from>
    <xdr:to>
      <xdr:col>18</xdr:col>
      <xdr:colOff>0</xdr:colOff>
      <xdr:row>156</xdr:row>
      <xdr:rowOff>0</xdr:rowOff>
    </xdr:to>
    <xdr:graphicFrame macro="">
      <xdr:nvGraphicFramePr>
        <xdr:cNvPr id="189" name="차트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157</xdr:row>
      <xdr:rowOff>0</xdr:rowOff>
    </xdr:from>
    <xdr:to>
      <xdr:col>18</xdr:col>
      <xdr:colOff>0</xdr:colOff>
      <xdr:row>169</xdr:row>
      <xdr:rowOff>0</xdr:rowOff>
    </xdr:to>
    <xdr:graphicFrame macro="">
      <xdr:nvGraphicFramePr>
        <xdr:cNvPr id="190" name="차트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170</xdr:row>
      <xdr:rowOff>0</xdr:rowOff>
    </xdr:from>
    <xdr:to>
      <xdr:col>18</xdr:col>
      <xdr:colOff>0</xdr:colOff>
      <xdr:row>182</xdr:row>
      <xdr:rowOff>0</xdr:rowOff>
    </xdr:to>
    <xdr:graphicFrame macro="">
      <xdr:nvGraphicFramePr>
        <xdr:cNvPr id="191" name="차트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183</xdr:row>
      <xdr:rowOff>0</xdr:rowOff>
    </xdr:from>
    <xdr:to>
      <xdr:col>18</xdr:col>
      <xdr:colOff>0</xdr:colOff>
      <xdr:row>195</xdr:row>
      <xdr:rowOff>0</xdr:rowOff>
    </xdr:to>
    <xdr:graphicFrame macro="">
      <xdr:nvGraphicFramePr>
        <xdr:cNvPr id="192" name="차트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53</xdr:row>
      <xdr:rowOff>0</xdr:rowOff>
    </xdr:from>
    <xdr:to>
      <xdr:col>4</xdr:col>
      <xdr:colOff>0</xdr:colOff>
      <xdr:row>54</xdr:row>
      <xdr:rowOff>0</xdr:rowOff>
    </xdr:to>
    <xdr:sp macro="[0]!차트1월" textlink="">
      <xdr:nvSpPr>
        <xdr:cNvPr id="205" name="직사각형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352425" y="723900"/>
          <a:ext cx="8096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4</xdr:col>
      <xdr:colOff>0</xdr:colOff>
      <xdr:row>55</xdr:row>
      <xdr:rowOff>0</xdr:rowOff>
    </xdr:to>
    <xdr:sp macro="[0]!차트2월" textlink="">
      <xdr:nvSpPr>
        <xdr:cNvPr id="206" name="직사각형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562225" y="181832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4</xdr:col>
      <xdr:colOff>0</xdr:colOff>
      <xdr:row>56</xdr:row>
      <xdr:rowOff>0</xdr:rowOff>
    </xdr:to>
    <xdr:sp macro="[0]!차트3월" textlink="">
      <xdr:nvSpPr>
        <xdr:cNvPr id="207" name="직사각형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2562225" y="184975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4</xdr:col>
      <xdr:colOff>0</xdr:colOff>
      <xdr:row>57</xdr:row>
      <xdr:rowOff>0</xdr:rowOff>
    </xdr:to>
    <xdr:sp macro="[0]!차트4월" textlink="">
      <xdr:nvSpPr>
        <xdr:cNvPr id="208" name="직사각형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62225" y="188118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0</xdr:colOff>
      <xdr:row>58</xdr:row>
      <xdr:rowOff>0</xdr:rowOff>
    </xdr:to>
    <xdr:sp macro="[0]!차트5월" textlink="">
      <xdr:nvSpPr>
        <xdr:cNvPr id="209" name="직사각형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562225" y="1912620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4</xdr:col>
      <xdr:colOff>0</xdr:colOff>
      <xdr:row>59</xdr:row>
      <xdr:rowOff>0</xdr:rowOff>
    </xdr:to>
    <xdr:sp macro="[0]!차트6월" textlink="">
      <xdr:nvSpPr>
        <xdr:cNvPr id="210" name="직사각형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2562225" y="194405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4</xdr:col>
      <xdr:colOff>0</xdr:colOff>
      <xdr:row>60</xdr:row>
      <xdr:rowOff>0</xdr:rowOff>
    </xdr:to>
    <xdr:sp macro="[0]!차트7월" textlink="">
      <xdr:nvSpPr>
        <xdr:cNvPr id="211" name="직사각형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562225" y="197548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0</xdr:colOff>
      <xdr:row>61</xdr:row>
      <xdr:rowOff>0</xdr:rowOff>
    </xdr:to>
    <xdr:sp macro="[0]!차트8월" textlink="">
      <xdr:nvSpPr>
        <xdr:cNvPr id="212" name="직사각형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562225" y="200691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4</xdr:col>
      <xdr:colOff>0</xdr:colOff>
      <xdr:row>62</xdr:row>
      <xdr:rowOff>0</xdr:rowOff>
    </xdr:to>
    <xdr:sp macro="[0]!차트9월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2562225" y="2038350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4</xdr:col>
      <xdr:colOff>0</xdr:colOff>
      <xdr:row>63</xdr:row>
      <xdr:rowOff>0</xdr:rowOff>
    </xdr:to>
    <xdr:sp macro="[0]!차트10월" textlink="">
      <xdr:nvSpPr>
        <xdr:cNvPr id="214" name="직사각형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2562225" y="2069782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4</xdr:col>
      <xdr:colOff>0</xdr:colOff>
      <xdr:row>64</xdr:row>
      <xdr:rowOff>0</xdr:rowOff>
    </xdr:to>
    <xdr:sp macro="[0]!차트11월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562225" y="21012150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0</xdr:colOff>
      <xdr:row>65</xdr:row>
      <xdr:rowOff>0</xdr:rowOff>
    </xdr:to>
    <xdr:sp macro="[0]!차트12월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62225" y="21326475"/>
          <a:ext cx="809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4</xdr:col>
      <xdr:colOff>0</xdr:colOff>
      <xdr:row>67</xdr:row>
      <xdr:rowOff>0</xdr:rowOff>
    </xdr:to>
    <xdr:sp macro="[0]!차트1월" textlink="">
      <xdr:nvSpPr>
        <xdr:cNvPr id="217" name="직사각형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2562225" y="2333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0</xdr:colOff>
      <xdr:row>68</xdr:row>
      <xdr:rowOff>0</xdr:rowOff>
    </xdr:to>
    <xdr:sp macro="[0]!차트2월" textlink="">
      <xdr:nvSpPr>
        <xdr:cNvPr id="218" name="직사각형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562225" y="2371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68</xdr:row>
      <xdr:rowOff>0</xdr:rowOff>
    </xdr:from>
    <xdr:to>
      <xdr:col>4</xdr:col>
      <xdr:colOff>0</xdr:colOff>
      <xdr:row>69</xdr:row>
      <xdr:rowOff>0</xdr:rowOff>
    </xdr:to>
    <xdr:sp macro="[0]!차트3월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2562225" y="2409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70</xdr:row>
      <xdr:rowOff>0</xdr:rowOff>
    </xdr:to>
    <xdr:sp macro="[0]!차트4월" textlink="">
      <xdr:nvSpPr>
        <xdr:cNvPr id="220" name="직사각형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2562225" y="2447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4</xdr:col>
      <xdr:colOff>0</xdr:colOff>
      <xdr:row>71</xdr:row>
      <xdr:rowOff>0</xdr:rowOff>
    </xdr:to>
    <xdr:sp macro="[0]!차트5월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562225" y="2486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0</xdr:colOff>
      <xdr:row>72</xdr:row>
      <xdr:rowOff>0</xdr:rowOff>
    </xdr:to>
    <xdr:sp macro="[0]!차트6월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2562225" y="2524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[0]!차트7월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562225" y="2562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73</xdr:row>
      <xdr:rowOff>0</xdr:rowOff>
    </xdr:from>
    <xdr:to>
      <xdr:col>4</xdr:col>
      <xdr:colOff>0</xdr:colOff>
      <xdr:row>74</xdr:row>
      <xdr:rowOff>0</xdr:rowOff>
    </xdr:to>
    <xdr:sp macro="[0]!차트8월" textlink="">
      <xdr:nvSpPr>
        <xdr:cNvPr id="224" name="직사각형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562225" y="2600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0</xdr:colOff>
      <xdr:row>75</xdr:row>
      <xdr:rowOff>0</xdr:rowOff>
    </xdr:to>
    <xdr:sp macro="[0]!차트9월" textlink="">
      <xdr:nvSpPr>
        <xdr:cNvPr id="225" name="직사각형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2562225" y="2638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75</xdr:row>
      <xdr:rowOff>0</xdr:rowOff>
    </xdr:from>
    <xdr:to>
      <xdr:col>4</xdr:col>
      <xdr:colOff>0</xdr:colOff>
      <xdr:row>76</xdr:row>
      <xdr:rowOff>0</xdr:rowOff>
    </xdr:to>
    <xdr:sp macro="[0]!차트10월" textlink="">
      <xdr:nvSpPr>
        <xdr:cNvPr id="226" name="직사각형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2562225" y="2676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4</xdr:col>
      <xdr:colOff>0</xdr:colOff>
      <xdr:row>77</xdr:row>
      <xdr:rowOff>0</xdr:rowOff>
    </xdr:to>
    <xdr:sp macro="[0]!차트11월" textlink="">
      <xdr:nvSpPr>
        <xdr:cNvPr id="227" name="직사각형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562225" y="2714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77</xdr:row>
      <xdr:rowOff>0</xdr:rowOff>
    </xdr:from>
    <xdr:to>
      <xdr:col>4</xdr:col>
      <xdr:colOff>0</xdr:colOff>
      <xdr:row>78</xdr:row>
      <xdr:rowOff>0</xdr:rowOff>
    </xdr:to>
    <xdr:sp macro="[0]!차트12월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2562225" y="2752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4</xdr:col>
      <xdr:colOff>0</xdr:colOff>
      <xdr:row>80</xdr:row>
      <xdr:rowOff>0</xdr:rowOff>
    </xdr:to>
    <xdr:sp macro="[0]!차트1월" textlink="">
      <xdr:nvSpPr>
        <xdr:cNvPr id="229" name="직사각형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2562225" y="2790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80</xdr:row>
      <xdr:rowOff>0</xdr:rowOff>
    </xdr:from>
    <xdr:to>
      <xdr:col>4</xdr:col>
      <xdr:colOff>0</xdr:colOff>
      <xdr:row>81</xdr:row>
      <xdr:rowOff>0</xdr:rowOff>
    </xdr:to>
    <xdr:sp macro="[0]!차트2월" textlink="">
      <xdr:nvSpPr>
        <xdr:cNvPr id="230" name="직사각형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562225" y="2828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0</xdr:colOff>
      <xdr:row>82</xdr:row>
      <xdr:rowOff>0</xdr:rowOff>
    </xdr:to>
    <xdr:sp macro="[0]!차트3월" textlink="">
      <xdr:nvSpPr>
        <xdr:cNvPr id="231" name="직사각형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2562225" y="2867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82</xdr:row>
      <xdr:rowOff>0</xdr:rowOff>
    </xdr:from>
    <xdr:to>
      <xdr:col>4</xdr:col>
      <xdr:colOff>0</xdr:colOff>
      <xdr:row>83</xdr:row>
      <xdr:rowOff>0</xdr:rowOff>
    </xdr:to>
    <xdr:sp macro="[0]!차트4월" textlink="">
      <xdr:nvSpPr>
        <xdr:cNvPr id="232" name="직사각형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2562225" y="2905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4</xdr:col>
      <xdr:colOff>0</xdr:colOff>
      <xdr:row>84</xdr:row>
      <xdr:rowOff>0</xdr:rowOff>
    </xdr:to>
    <xdr:sp macro="[0]!차트5월" textlink="">
      <xdr:nvSpPr>
        <xdr:cNvPr id="233" name="직사각형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562225" y="2943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4</xdr:col>
      <xdr:colOff>0</xdr:colOff>
      <xdr:row>85</xdr:row>
      <xdr:rowOff>0</xdr:rowOff>
    </xdr:to>
    <xdr:sp macro="[0]!차트6월" textlink="">
      <xdr:nvSpPr>
        <xdr:cNvPr id="234" name="직사각형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2562225" y="2981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0</xdr:colOff>
      <xdr:row>86</xdr:row>
      <xdr:rowOff>0</xdr:rowOff>
    </xdr:to>
    <xdr:sp macro="[0]!차트7월" textlink="">
      <xdr:nvSpPr>
        <xdr:cNvPr id="235" name="직사각형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2562225" y="3019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4</xdr:col>
      <xdr:colOff>0</xdr:colOff>
      <xdr:row>87</xdr:row>
      <xdr:rowOff>0</xdr:rowOff>
    </xdr:to>
    <xdr:sp macro="[0]!차트8월" textlink="">
      <xdr:nvSpPr>
        <xdr:cNvPr id="236" name="직사각형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62225" y="3057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87</xdr:row>
      <xdr:rowOff>0</xdr:rowOff>
    </xdr:from>
    <xdr:to>
      <xdr:col>4</xdr:col>
      <xdr:colOff>0</xdr:colOff>
      <xdr:row>88</xdr:row>
      <xdr:rowOff>0</xdr:rowOff>
    </xdr:to>
    <xdr:sp macro="[0]!차트9월" textlink="">
      <xdr:nvSpPr>
        <xdr:cNvPr id="237" name="직사각형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2562225" y="3095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0</xdr:colOff>
      <xdr:row>89</xdr:row>
      <xdr:rowOff>0</xdr:rowOff>
    </xdr:to>
    <xdr:sp macro="[0]!차트10월" textlink="">
      <xdr:nvSpPr>
        <xdr:cNvPr id="238" name="직사각형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2562225" y="3133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4</xdr:col>
      <xdr:colOff>0</xdr:colOff>
      <xdr:row>90</xdr:row>
      <xdr:rowOff>0</xdr:rowOff>
    </xdr:to>
    <xdr:sp macro="[0]!차트11월" textlink="">
      <xdr:nvSpPr>
        <xdr:cNvPr id="239" name="직사각형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2562225" y="3171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4</xdr:col>
      <xdr:colOff>0</xdr:colOff>
      <xdr:row>91</xdr:row>
      <xdr:rowOff>0</xdr:rowOff>
    </xdr:to>
    <xdr:sp macro="[0]!차트12월" textlink="">
      <xdr:nvSpPr>
        <xdr:cNvPr id="240" name="직사각형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2562225" y="3209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0</xdr:colOff>
      <xdr:row>93</xdr:row>
      <xdr:rowOff>0</xdr:rowOff>
    </xdr:to>
    <xdr:sp macro="[0]!차트1월" textlink="">
      <xdr:nvSpPr>
        <xdr:cNvPr id="241" name="직사각형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62225" y="3286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93</xdr:row>
      <xdr:rowOff>0</xdr:rowOff>
    </xdr:from>
    <xdr:to>
      <xdr:col>4</xdr:col>
      <xdr:colOff>0</xdr:colOff>
      <xdr:row>94</xdr:row>
      <xdr:rowOff>0</xdr:rowOff>
    </xdr:to>
    <xdr:sp macro="[0]!차트2월" textlink="">
      <xdr:nvSpPr>
        <xdr:cNvPr id="242" name="직사각형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2562225" y="3324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94</xdr:row>
      <xdr:rowOff>0</xdr:rowOff>
    </xdr:from>
    <xdr:to>
      <xdr:col>4</xdr:col>
      <xdr:colOff>0</xdr:colOff>
      <xdr:row>95</xdr:row>
      <xdr:rowOff>0</xdr:rowOff>
    </xdr:to>
    <xdr:sp macro="[0]!차트3월" textlink="">
      <xdr:nvSpPr>
        <xdr:cNvPr id="243" name="직사각형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562225" y="3362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0</xdr:colOff>
      <xdr:row>96</xdr:row>
      <xdr:rowOff>0</xdr:rowOff>
    </xdr:to>
    <xdr:sp macro="[0]!차트4월" textlink="">
      <xdr:nvSpPr>
        <xdr:cNvPr id="244" name="직사각형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2562225" y="3400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4</xdr:col>
      <xdr:colOff>0</xdr:colOff>
      <xdr:row>97</xdr:row>
      <xdr:rowOff>0</xdr:rowOff>
    </xdr:to>
    <xdr:sp macro="[0]!차트5월" textlink="">
      <xdr:nvSpPr>
        <xdr:cNvPr id="245" name="직사각형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2562225" y="3438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4</xdr:col>
      <xdr:colOff>0</xdr:colOff>
      <xdr:row>98</xdr:row>
      <xdr:rowOff>0</xdr:rowOff>
    </xdr:to>
    <xdr:sp macro="[0]!차트6월" textlink="">
      <xdr:nvSpPr>
        <xdr:cNvPr id="246" name="직사각형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2562225" y="3476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98</xdr:row>
      <xdr:rowOff>0</xdr:rowOff>
    </xdr:from>
    <xdr:to>
      <xdr:col>4</xdr:col>
      <xdr:colOff>0</xdr:colOff>
      <xdr:row>99</xdr:row>
      <xdr:rowOff>0</xdr:rowOff>
    </xdr:to>
    <xdr:sp macro="[0]!차트7월" textlink="">
      <xdr:nvSpPr>
        <xdr:cNvPr id="247" name="직사각형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2562225" y="3514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sp macro="[0]!차트8월" textlink="">
      <xdr:nvSpPr>
        <xdr:cNvPr id="248" name="직사각형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2562225" y="3552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sp macro="[0]!차트9월" textlink="">
      <xdr:nvSpPr>
        <xdr:cNvPr id="249" name="직사각형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2562225" y="3590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sp macro="[0]!차트10월" textlink="">
      <xdr:nvSpPr>
        <xdr:cNvPr id="250" name="직사각형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2562225" y="3629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sp macro="[0]!차트11월" textlink="">
      <xdr:nvSpPr>
        <xdr:cNvPr id="251" name="직사각형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2562225" y="3667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sp macro="[0]!차트12월" textlink="">
      <xdr:nvSpPr>
        <xdr:cNvPr id="252" name="직사각형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562225" y="3705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sp macro="[0]!차트1월" textlink="">
      <xdr:nvSpPr>
        <xdr:cNvPr id="253" name="직사각형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2562225" y="3781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sp macro="[0]!차트2월" textlink="">
      <xdr:nvSpPr>
        <xdr:cNvPr id="254" name="직사각형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2562225" y="3819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0</xdr:colOff>
      <xdr:row>108</xdr:row>
      <xdr:rowOff>0</xdr:rowOff>
    </xdr:to>
    <xdr:sp macro="[0]!차트3월" textlink="">
      <xdr:nvSpPr>
        <xdr:cNvPr id="255" name="직사각형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562225" y="3857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sp macro="[0]!차트4월" textlink="">
      <xdr:nvSpPr>
        <xdr:cNvPr id="256" name="직사각형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562225" y="3895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0</xdr:colOff>
      <xdr:row>110</xdr:row>
      <xdr:rowOff>0</xdr:rowOff>
    </xdr:to>
    <xdr:sp macro="[0]!차트5월" textlink="">
      <xdr:nvSpPr>
        <xdr:cNvPr id="257" name="직사각형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562225" y="3933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sp macro="[0]!차트6월" textlink="">
      <xdr:nvSpPr>
        <xdr:cNvPr id="258" name="직사각형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2562225" y="3971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sp macro="[0]!차트7월" textlink="">
      <xdr:nvSpPr>
        <xdr:cNvPr id="259" name="직사각형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2562225" y="4010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4</xdr:col>
      <xdr:colOff>0</xdr:colOff>
      <xdr:row>113</xdr:row>
      <xdr:rowOff>0</xdr:rowOff>
    </xdr:to>
    <xdr:sp macro="[0]!차트8월" textlink="">
      <xdr:nvSpPr>
        <xdr:cNvPr id="260" name="직사각형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562225" y="4048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sp macro="[0]!차트9월" textlink="">
      <xdr:nvSpPr>
        <xdr:cNvPr id="261" name="직사각형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2562225" y="4086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sp macro="[0]!차트10월" textlink="">
      <xdr:nvSpPr>
        <xdr:cNvPr id="262" name="직사각형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2562225" y="4124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sp macro="[0]!차트11월" textlink="">
      <xdr:nvSpPr>
        <xdr:cNvPr id="263" name="직사각형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562225" y="4162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sp macro="[0]!차트12월" textlink="">
      <xdr:nvSpPr>
        <xdr:cNvPr id="264" name="직사각형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2562225" y="4200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sp macro="[0]!차트1월" textlink="">
      <xdr:nvSpPr>
        <xdr:cNvPr id="265" name="직사각형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2562225" y="4276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sp macro="[0]!차트2월" textlink="">
      <xdr:nvSpPr>
        <xdr:cNvPr id="266" name="직사각형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562225" y="4314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sp macro="[0]!차트3월" textlink="">
      <xdr:nvSpPr>
        <xdr:cNvPr id="267" name="직사각형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2562225" y="4352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121</xdr:row>
      <xdr:rowOff>0</xdr:rowOff>
    </xdr:from>
    <xdr:to>
      <xdr:col>4</xdr:col>
      <xdr:colOff>0</xdr:colOff>
      <xdr:row>122</xdr:row>
      <xdr:rowOff>0</xdr:rowOff>
    </xdr:to>
    <xdr:sp macro="[0]!차트4월" textlink="">
      <xdr:nvSpPr>
        <xdr:cNvPr id="268" name="직사각형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2562225" y="4391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sp macro="[0]!차트5월" textlink="">
      <xdr:nvSpPr>
        <xdr:cNvPr id="269" name="직사각형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562225" y="4429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sp macro="[0]!차트6월" textlink="">
      <xdr:nvSpPr>
        <xdr:cNvPr id="270" name="직사각형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2562225" y="4467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sp macro="[0]!차트7월" textlink="">
      <xdr:nvSpPr>
        <xdr:cNvPr id="271" name="직사각형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2562225" y="4505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sp macro="[0]!차트8월" textlink="">
      <xdr:nvSpPr>
        <xdr:cNvPr id="272" name="직사각형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562225" y="4543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sp macro="[0]!차트9월" textlink="">
      <xdr:nvSpPr>
        <xdr:cNvPr id="273" name="직사각형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2562225" y="4581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sp macro="[0]!차트10월" textlink="">
      <xdr:nvSpPr>
        <xdr:cNvPr id="274" name="직사각형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2562225" y="4619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sp macro="[0]!차트11월" textlink="">
      <xdr:nvSpPr>
        <xdr:cNvPr id="275" name="직사각형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562225" y="4657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sp macro="[0]!차트12월" textlink="">
      <xdr:nvSpPr>
        <xdr:cNvPr id="276" name="직사각형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2562225" y="4695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sp macro="[0]!차트1월" textlink="">
      <xdr:nvSpPr>
        <xdr:cNvPr id="277" name="직사각형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2562225" y="4772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4</xdr:col>
      <xdr:colOff>0</xdr:colOff>
      <xdr:row>133</xdr:row>
      <xdr:rowOff>0</xdr:rowOff>
    </xdr:to>
    <xdr:sp macro="[0]!차트2월" textlink="">
      <xdr:nvSpPr>
        <xdr:cNvPr id="278" name="직사각형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562225" y="4810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sp macro="[0]!차트3월" textlink="">
      <xdr:nvSpPr>
        <xdr:cNvPr id="279" name="직사각형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562225" y="4848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sp macro="[0]!차트4월" textlink="">
      <xdr:nvSpPr>
        <xdr:cNvPr id="280" name="직사각형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62225" y="4886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sp macro="[0]!차트5월" textlink="">
      <xdr:nvSpPr>
        <xdr:cNvPr id="281" name="직사각형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562225" y="4924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sp macro="[0]!차트6월" textlink="">
      <xdr:nvSpPr>
        <xdr:cNvPr id="282" name="직사각형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2562225" y="4962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sp macro="[0]!차트7월" textlink="">
      <xdr:nvSpPr>
        <xdr:cNvPr id="283" name="직사각형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2562225" y="5000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sp macro="[0]!차트8월" textlink="">
      <xdr:nvSpPr>
        <xdr:cNvPr id="284" name="직사각형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562225" y="5038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sp macro="[0]!차트9월" textlink="">
      <xdr:nvSpPr>
        <xdr:cNvPr id="285" name="직사각형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2562225" y="5076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0</xdr:colOff>
      <xdr:row>141</xdr:row>
      <xdr:rowOff>0</xdr:rowOff>
    </xdr:to>
    <xdr:sp macro="[0]!차트10월" textlink="">
      <xdr:nvSpPr>
        <xdr:cNvPr id="286" name="직사각형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2562225" y="5114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141</xdr:row>
      <xdr:rowOff>0</xdr:rowOff>
    </xdr:from>
    <xdr:to>
      <xdr:col>4</xdr:col>
      <xdr:colOff>0</xdr:colOff>
      <xdr:row>142</xdr:row>
      <xdr:rowOff>0</xdr:rowOff>
    </xdr:to>
    <xdr:sp macro="[0]!차트11월" textlink="">
      <xdr:nvSpPr>
        <xdr:cNvPr id="287" name="직사각형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562225" y="5153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sp macro="[0]!차트12월" textlink="">
      <xdr:nvSpPr>
        <xdr:cNvPr id="288" name="직사각형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2562225" y="5191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sp macro="[0]!차트1월" textlink="">
      <xdr:nvSpPr>
        <xdr:cNvPr id="289" name="직사각형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562225" y="5267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sp macro="[0]!차트2월" textlink="">
      <xdr:nvSpPr>
        <xdr:cNvPr id="290" name="직사각형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2562225" y="5305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sp macro="[0]!차트3월" textlink="">
      <xdr:nvSpPr>
        <xdr:cNvPr id="291" name="직사각형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2562225" y="5343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sp macro="[0]!차트4월" textlink="">
      <xdr:nvSpPr>
        <xdr:cNvPr id="292" name="직사각형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2562225" y="5381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sp macro="[0]!차트5월" textlink="">
      <xdr:nvSpPr>
        <xdr:cNvPr id="293" name="직사각형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2562225" y="5419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149</xdr:row>
      <xdr:rowOff>0</xdr:rowOff>
    </xdr:from>
    <xdr:to>
      <xdr:col>4</xdr:col>
      <xdr:colOff>0</xdr:colOff>
      <xdr:row>150</xdr:row>
      <xdr:rowOff>0</xdr:rowOff>
    </xdr:to>
    <xdr:sp macro="[0]!차트6월" textlink="">
      <xdr:nvSpPr>
        <xdr:cNvPr id="294" name="직사각형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62225" y="5457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sp macro="[0]!차트7월" textlink="">
      <xdr:nvSpPr>
        <xdr:cNvPr id="295" name="직사각형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2562225" y="5495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</xdr:colOff>
      <xdr:row>150</xdr:row>
      <xdr:rowOff>371475</xdr:rowOff>
    </xdr:from>
    <xdr:to>
      <xdr:col>4</xdr:col>
      <xdr:colOff>9525</xdr:colOff>
      <xdr:row>151</xdr:row>
      <xdr:rowOff>371475</xdr:rowOff>
    </xdr:to>
    <xdr:sp macro="[0]!차트8월" textlink="">
      <xdr:nvSpPr>
        <xdr:cNvPr id="296" name="직사각형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2571750" y="55330725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sp macro="[0]!차트9월" textlink="">
      <xdr:nvSpPr>
        <xdr:cNvPr id="297" name="직사각형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2562225" y="5572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153</xdr:row>
      <xdr:rowOff>0</xdr:rowOff>
    </xdr:from>
    <xdr:to>
      <xdr:col>4</xdr:col>
      <xdr:colOff>0</xdr:colOff>
      <xdr:row>154</xdr:row>
      <xdr:rowOff>0</xdr:rowOff>
    </xdr:to>
    <xdr:sp macro="[0]!차트10월" textlink="">
      <xdr:nvSpPr>
        <xdr:cNvPr id="298" name="직사각형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2562225" y="5610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0</xdr:colOff>
      <xdr:row>155</xdr:row>
      <xdr:rowOff>0</xdr:rowOff>
    </xdr:to>
    <xdr:sp macro="[0]!차트11월" textlink="">
      <xdr:nvSpPr>
        <xdr:cNvPr id="299" name="직사각형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2562225" y="5648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sp macro="[0]!차트12월" textlink="">
      <xdr:nvSpPr>
        <xdr:cNvPr id="300" name="직사각형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2562225" y="5686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sp macro="[0]!차트1월" textlink="">
      <xdr:nvSpPr>
        <xdr:cNvPr id="301" name="직사각형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2562225" y="5762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158</xdr:row>
      <xdr:rowOff>0</xdr:rowOff>
    </xdr:from>
    <xdr:to>
      <xdr:col>4</xdr:col>
      <xdr:colOff>0</xdr:colOff>
      <xdr:row>159</xdr:row>
      <xdr:rowOff>0</xdr:rowOff>
    </xdr:to>
    <xdr:sp macro="[0]!차트2월" textlink="">
      <xdr:nvSpPr>
        <xdr:cNvPr id="302" name="직사각형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562225" y="5800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159</xdr:row>
      <xdr:rowOff>0</xdr:rowOff>
    </xdr:from>
    <xdr:to>
      <xdr:col>4</xdr:col>
      <xdr:colOff>0</xdr:colOff>
      <xdr:row>160</xdr:row>
      <xdr:rowOff>0</xdr:rowOff>
    </xdr:to>
    <xdr:sp macro="[0]!차트3월" textlink="">
      <xdr:nvSpPr>
        <xdr:cNvPr id="303" name="직사각형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2562225" y="5838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sp macro="[0]!차트4월" textlink="">
      <xdr:nvSpPr>
        <xdr:cNvPr id="304" name="직사각형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2562225" y="5876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0</xdr:colOff>
      <xdr:row>162</xdr:row>
      <xdr:rowOff>0</xdr:rowOff>
    </xdr:to>
    <xdr:sp macro="[0]!차트5월" textlink="">
      <xdr:nvSpPr>
        <xdr:cNvPr id="305" name="직사각형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62225" y="5915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162</xdr:row>
      <xdr:rowOff>0</xdr:rowOff>
    </xdr:from>
    <xdr:to>
      <xdr:col>4</xdr:col>
      <xdr:colOff>0</xdr:colOff>
      <xdr:row>163</xdr:row>
      <xdr:rowOff>0</xdr:rowOff>
    </xdr:to>
    <xdr:sp macro="[0]!차트6월" textlink="">
      <xdr:nvSpPr>
        <xdr:cNvPr id="306" name="직사각형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2562225" y="5953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163</xdr:row>
      <xdr:rowOff>0</xdr:rowOff>
    </xdr:from>
    <xdr:to>
      <xdr:col>4</xdr:col>
      <xdr:colOff>0</xdr:colOff>
      <xdr:row>164</xdr:row>
      <xdr:rowOff>0</xdr:rowOff>
    </xdr:to>
    <xdr:sp macro="[0]!차트7월" textlink="">
      <xdr:nvSpPr>
        <xdr:cNvPr id="307" name="직사각형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2562225" y="5991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164</xdr:row>
      <xdr:rowOff>0</xdr:rowOff>
    </xdr:from>
    <xdr:to>
      <xdr:col>4</xdr:col>
      <xdr:colOff>0</xdr:colOff>
      <xdr:row>165</xdr:row>
      <xdr:rowOff>0</xdr:rowOff>
    </xdr:to>
    <xdr:sp macro="[0]!차트8월" textlink="">
      <xdr:nvSpPr>
        <xdr:cNvPr id="308" name="직사각형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562225" y="6029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0</xdr:colOff>
      <xdr:row>166</xdr:row>
      <xdr:rowOff>0</xdr:rowOff>
    </xdr:to>
    <xdr:sp macro="[0]!차트9월" textlink="">
      <xdr:nvSpPr>
        <xdr:cNvPr id="309" name="직사각형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2562225" y="6067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sp macro="[0]!차트10월" textlink="">
      <xdr:nvSpPr>
        <xdr:cNvPr id="310" name="직사각형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2562225" y="6105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sp macro="[0]!차트11월" textlink="">
      <xdr:nvSpPr>
        <xdr:cNvPr id="311" name="직사각형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562225" y="6143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sp macro="[0]!차트12월" textlink="">
      <xdr:nvSpPr>
        <xdr:cNvPr id="312" name="직사각형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2562225" y="6181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170</xdr:row>
      <xdr:rowOff>0</xdr:rowOff>
    </xdr:from>
    <xdr:to>
      <xdr:col>4</xdr:col>
      <xdr:colOff>0</xdr:colOff>
      <xdr:row>171</xdr:row>
      <xdr:rowOff>0</xdr:rowOff>
    </xdr:to>
    <xdr:sp macro="[0]!차트1월" textlink="">
      <xdr:nvSpPr>
        <xdr:cNvPr id="313" name="직사각형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2562225" y="6257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sp macro="[0]!차트2월" textlink="">
      <xdr:nvSpPr>
        <xdr:cNvPr id="314" name="직사각형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562225" y="6296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172</xdr:row>
      <xdr:rowOff>0</xdr:rowOff>
    </xdr:from>
    <xdr:to>
      <xdr:col>4</xdr:col>
      <xdr:colOff>0</xdr:colOff>
      <xdr:row>173</xdr:row>
      <xdr:rowOff>0</xdr:rowOff>
    </xdr:to>
    <xdr:sp macro="[0]!차트3월" textlink="">
      <xdr:nvSpPr>
        <xdr:cNvPr id="315" name="직사각형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2562225" y="6334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0</xdr:colOff>
      <xdr:row>174</xdr:row>
      <xdr:rowOff>0</xdr:rowOff>
    </xdr:to>
    <xdr:sp macro="[0]!차트4월" textlink="">
      <xdr:nvSpPr>
        <xdr:cNvPr id="316" name="직사각형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2562225" y="6372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sp macro="[0]!차트5월" textlink="">
      <xdr:nvSpPr>
        <xdr:cNvPr id="317" name="직사각형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562225" y="6410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0</xdr:colOff>
      <xdr:row>176</xdr:row>
      <xdr:rowOff>0</xdr:rowOff>
    </xdr:to>
    <xdr:sp macro="[0]!차트6월" textlink="">
      <xdr:nvSpPr>
        <xdr:cNvPr id="318" name="직사각형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2562225" y="6448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4</xdr:col>
      <xdr:colOff>0</xdr:colOff>
      <xdr:row>177</xdr:row>
      <xdr:rowOff>0</xdr:rowOff>
    </xdr:to>
    <xdr:sp macro="[0]!차트7월" textlink="">
      <xdr:nvSpPr>
        <xdr:cNvPr id="319" name="직사각형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62225" y="6486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sp macro="[0]!차트8월" textlink="">
      <xdr:nvSpPr>
        <xdr:cNvPr id="320" name="직사각형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562225" y="6524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178</xdr:row>
      <xdr:rowOff>0</xdr:rowOff>
    </xdr:from>
    <xdr:to>
      <xdr:col>4</xdr:col>
      <xdr:colOff>0</xdr:colOff>
      <xdr:row>179</xdr:row>
      <xdr:rowOff>0</xdr:rowOff>
    </xdr:to>
    <xdr:sp macro="[0]!차트9월" textlink="">
      <xdr:nvSpPr>
        <xdr:cNvPr id="321" name="직사각형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2562225" y="6562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0</xdr:colOff>
      <xdr:row>180</xdr:row>
      <xdr:rowOff>0</xdr:rowOff>
    </xdr:to>
    <xdr:sp macro="[0]!차트10월" textlink="">
      <xdr:nvSpPr>
        <xdr:cNvPr id="322" name="직사각형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2562225" y="6600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0</xdr:colOff>
      <xdr:row>181</xdr:row>
      <xdr:rowOff>0</xdr:rowOff>
    </xdr:to>
    <xdr:sp macro="[0]!차트11월" textlink="">
      <xdr:nvSpPr>
        <xdr:cNvPr id="323" name="직사각형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562225" y="6638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181</xdr:row>
      <xdr:rowOff>0</xdr:rowOff>
    </xdr:from>
    <xdr:to>
      <xdr:col>4</xdr:col>
      <xdr:colOff>0</xdr:colOff>
      <xdr:row>182</xdr:row>
      <xdr:rowOff>0</xdr:rowOff>
    </xdr:to>
    <xdr:sp macro="[0]!차트12월" textlink="">
      <xdr:nvSpPr>
        <xdr:cNvPr id="324" name="직사각형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562225" y="6677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0</xdr:colOff>
      <xdr:row>184</xdr:row>
      <xdr:rowOff>0</xdr:rowOff>
    </xdr:to>
    <xdr:sp macro="[0]!차트1월" textlink="">
      <xdr:nvSpPr>
        <xdr:cNvPr id="325" name="직사각형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562225" y="6753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184</xdr:row>
      <xdr:rowOff>0</xdr:rowOff>
    </xdr:from>
    <xdr:to>
      <xdr:col>4</xdr:col>
      <xdr:colOff>0</xdr:colOff>
      <xdr:row>185</xdr:row>
      <xdr:rowOff>0</xdr:rowOff>
    </xdr:to>
    <xdr:sp macro="[0]!차트2월" textlink="">
      <xdr:nvSpPr>
        <xdr:cNvPr id="326" name="직사각형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2562225" y="6791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185</xdr:row>
      <xdr:rowOff>0</xdr:rowOff>
    </xdr:from>
    <xdr:to>
      <xdr:col>4</xdr:col>
      <xdr:colOff>0</xdr:colOff>
      <xdr:row>186</xdr:row>
      <xdr:rowOff>0</xdr:rowOff>
    </xdr:to>
    <xdr:sp macro="[0]!차트3월" textlink="">
      <xdr:nvSpPr>
        <xdr:cNvPr id="327" name="직사각형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2562225" y="68294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4</xdr:col>
      <xdr:colOff>0</xdr:colOff>
      <xdr:row>187</xdr:row>
      <xdr:rowOff>0</xdr:rowOff>
    </xdr:to>
    <xdr:sp macro="[0]!차트4월" textlink="">
      <xdr:nvSpPr>
        <xdr:cNvPr id="328" name="직사각형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562225" y="68675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0</xdr:colOff>
      <xdr:row>188</xdr:row>
      <xdr:rowOff>0</xdr:rowOff>
    </xdr:to>
    <xdr:sp macro="[0]!차트5월" textlink="">
      <xdr:nvSpPr>
        <xdr:cNvPr id="329" name="직사각형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2562225" y="69056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sp macro="[0]!차트6월" textlink="">
      <xdr:nvSpPr>
        <xdr:cNvPr id="330" name="직사각형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62225" y="69437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189</xdr:row>
      <xdr:rowOff>0</xdr:rowOff>
    </xdr:from>
    <xdr:to>
      <xdr:col>4</xdr:col>
      <xdr:colOff>0</xdr:colOff>
      <xdr:row>190</xdr:row>
      <xdr:rowOff>0</xdr:rowOff>
    </xdr:to>
    <xdr:sp macro="[0]!차트7월" textlink="">
      <xdr:nvSpPr>
        <xdr:cNvPr id="331" name="직사각형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562225" y="69818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190</xdr:row>
      <xdr:rowOff>0</xdr:rowOff>
    </xdr:from>
    <xdr:to>
      <xdr:col>4</xdr:col>
      <xdr:colOff>0</xdr:colOff>
      <xdr:row>191</xdr:row>
      <xdr:rowOff>0</xdr:rowOff>
    </xdr:to>
    <xdr:sp macro="[0]!차트8월" textlink="">
      <xdr:nvSpPr>
        <xdr:cNvPr id="332" name="직사각형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2562225" y="70199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0</xdr:colOff>
      <xdr:row>192</xdr:row>
      <xdr:rowOff>0</xdr:rowOff>
    </xdr:to>
    <xdr:sp macro="[0]!차트9월" textlink="">
      <xdr:nvSpPr>
        <xdr:cNvPr id="333" name="직사각형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2562225" y="70580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192</xdr:row>
      <xdr:rowOff>0</xdr:rowOff>
    </xdr:from>
    <xdr:to>
      <xdr:col>4</xdr:col>
      <xdr:colOff>0</xdr:colOff>
      <xdr:row>193</xdr:row>
      <xdr:rowOff>0</xdr:rowOff>
    </xdr:to>
    <xdr:sp macro="[0]!차트10월" textlink="">
      <xdr:nvSpPr>
        <xdr:cNvPr id="334" name="직사각형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562225" y="70961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0</xdr:colOff>
      <xdr:row>194</xdr:row>
      <xdr:rowOff>0</xdr:rowOff>
    </xdr:to>
    <xdr:sp macro="[0]!차트11월" textlink="">
      <xdr:nvSpPr>
        <xdr:cNvPr id="335" name="직사각형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2562225" y="71342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194</xdr:row>
      <xdr:rowOff>0</xdr:rowOff>
    </xdr:from>
    <xdr:to>
      <xdr:col>4</xdr:col>
      <xdr:colOff>0</xdr:colOff>
      <xdr:row>195</xdr:row>
      <xdr:rowOff>0</xdr:rowOff>
    </xdr:to>
    <xdr:sp macro="[0]!차트12월" textlink="">
      <xdr:nvSpPr>
        <xdr:cNvPr id="336" name="직사각형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2562225" y="71723250"/>
          <a:ext cx="8096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95258</xdr:colOff>
      <xdr:row>9</xdr:row>
      <xdr:rowOff>52920</xdr:rowOff>
    </xdr:from>
    <xdr:to>
      <xdr:col>22</xdr:col>
      <xdr:colOff>10582</xdr:colOff>
      <xdr:row>27</xdr:row>
      <xdr:rowOff>179919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179917</xdr:colOff>
      <xdr:row>9</xdr:row>
      <xdr:rowOff>110070</xdr:rowOff>
    </xdr:from>
    <xdr:to>
      <xdr:col>21</xdr:col>
      <xdr:colOff>1627303</xdr:colOff>
      <xdr:row>27</xdr:row>
      <xdr:rowOff>237069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618146</xdr:colOff>
      <xdr:row>1</xdr:row>
      <xdr:rowOff>20052</xdr:rowOff>
    </xdr:from>
    <xdr:to>
      <xdr:col>12</xdr:col>
      <xdr:colOff>787400</xdr:colOff>
      <xdr:row>2</xdr:row>
      <xdr:rowOff>42333</xdr:rowOff>
    </xdr:to>
    <xdr:sp macro="[0]!이동4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796013" y="223252"/>
          <a:ext cx="169254" cy="2254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609599</xdr:colOff>
      <xdr:row>1</xdr:row>
      <xdr:rowOff>35424</xdr:rowOff>
    </xdr:from>
    <xdr:to>
      <xdr:col>9</xdr:col>
      <xdr:colOff>749187</xdr:colOff>
      <xdr:row>2</xdr:row>
      <xdr:rowOff>25399</xdr:rowOff>
    </xdr:to>
    <xdr:sp macro="[0]!이동2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7247466" y="238624"/>
          <a:ext cx="139588" cy="193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143942</xdr:colOff>
      <xdr:row>9</xdr:row>
      <xdr:rowOff>110070</xdr:rowOff>
    </xdr:from>
    <xdr:to>
      <xdr:col>19</xdr:col>
      <xdr:colOff>1610370</xdr:colOff>
      <xdr:row>27</xdr:row>
      <xdr:rowOff>237069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626533</xdr:colOff>
      <xdr:row>1</xdr:row>
      <xdr:rowOff>25400</xdr:rowOff>
    </xdr:from>
    <xdr:to>
      <xdr:col>12</xdr:col>
      <xdr:colOff>795866</xdr:colOff>
      <xdr:row>2</xdr:row>
      <xdr:rowOff>16933</xdr:rowOff>
    </xdr:to>
    <xdr:sp macro="[0]!이동5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804400" y="228600"/>
          <a:ext cx="169333" cy="194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626475</xdr:colOff>
      <xdr:row>1</xdr:row>
      <xdr:rowOff>11870</xdr:rowOff>
    </xdr:from>
    <xdr:to>
      <xdr:col>9</xdr:col>
      <xdr:colOff>753532</xdr:colOff>
      <xdr:row>2</xdr:row>
      <xdr:rowOff>25400</xdr:rowOff>
    </xdr:to>
    <xdr:sp macro="[0]!이동3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H="1">
          <a:off x="7264342" y="215070"/>
          <a:ext cx="127057" cy="2167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143942</xdr:colOff>
      <xdr:row>9</xdr:row>
      <xdr:rowOff>84670</xdr:rowOff>
    </xdr:from>
    <xdr:to>
      <xdr:col>19</xdr:col>
      <xdr:colOff>1610370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626534</xdr:colOff>
      <xdr:row>1</xdr:row>
      <xdr:rowOff>21983</xdr:rowOff>
    </xdr:from>
    <xdr:to>
      <xdr:col>12</xdr:col>
      <xdr:colOff>787400</xdr:colOff>
      <xdr:row>2</xdr:row>
      <xdr:rowOff>33867</xdr:rowOff>
    </xdr:to>
    <xdr:sp macro="[0]!이동6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804401" y="225183"/>
          <a:ext cx="160866" cy="2150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628598</xdr:colOff>
      <xdr:row>1</xdr:row>
      <xdr:rowOff>14817</xdr:rowOff>
    </xdr:from>
    <xdr:to>
      <xdr:col>9</xdr:col>
      <xdr:colOff>770466</xdr:colOff>
      <xdr:row>2</xdr:row>
      <xdr:rowOff>16934</xdr:rowOff>
    </xdr:to>
    <xdr:sp macro="[0]!이동4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flipH="1">
          <a:off x="7266465" y="218017"/>
          <a:ext cx="141868" cy="205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626533</xdr:colOff>
      <xdr:row>1</xdr:row>
      <xdr:rowOff>5049</xdr:rowOff>
    </xdr:from>
    <xdr:to>
      <xdr:col>12</xdr:col>
      <xdr:colOff>770466</xdr:colOff>
      <xdr:row>2</xdr:row>
      <xdr:rowOff>33866</xdr:rowOff>
    </xdr:to>
    <xdr:sp macro="[0]!이동7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9804400" y="208249"/>
          <a:ext cx="143933" cy="2320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607483</xdr:colOff>
      <xdr:row>1</xdr:row>
      <xdr:rowOff>9313</xdr:rowOff>
    </xdr:from>
    <xdr:to>
      <xdr:col>9</xdr:col>
      <xdr:colOff>755647</xdr:colOff>
      <xdr:row>2</xdr:row>
      <xdr:rowOff>8467</xdr:rowOff>
    </xdr:to>
    <xdr:sp macro="[0]!이동5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flipH="1">
          <a:off x="7245350" y="212513"/>
          <a:ext cx="148164" cy="2023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626534</xdr:colOff>
      <xdr:row>1</xdr:row>
      <xdr:rowOff>8467</xdr:rowOff>
    </xdr:from>
    <xdr:to>
      <xdr:col>12</xdr:col>
      <xdr:colOff>804333</xdr:colOff>
      <xdr:row>2</xdr:row>
      <xdr:rowOff>42333</xdr:rowOff>
    </xdr:to>
    <xdr:sp macro="[0]!이동8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9804401" y="211667"/>
          <a:ext cx="177799" cy="2370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613785</xdr:colOff>
      <xdr:row>1</xdr:row>
      <xdr:rowOff>12700</xdr:rowOff>
    </xdr:from>
    <xdr:to>
      <xdr:col>9</xdr:col>
      <xdr:colOff>764116</xdr:colOff>
      <xdr:row>1</xdr:row>
      <xdr:rowOff>200247</xdr:rowOff>
    </xdr:to>
    <xdr:sp macro="[0]!이동6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flipH="1">
          <a:off x="7251652" y="215900"/>
          <a:ext cx="150331" cy="1875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627838</xdr:colOff>
      <xdr:row>1</xdr:row>
      <xdr:rowOff>23284</xdr:rowOff>
    </xdr:from>
    <xdr:to>
      <xdr:col>12</xdr:col>
      <xdr:colOff>764115</xdr:colOff>
      <xdr:row>2</xdr:row>
      <xdr:rowOff>28796</xdr:rowOff>
    </xdr:to>
    <xdr:sp macro="[0]!이동9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805705" y="226484"/>
          <a:ext cx="136277" cy="2087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622248</xdr:colOff>
      <xdr:row>1</xdr:row>
      <xdr:rowOff>6350</xdr:rowOff>
    </xdr:from>
    <xdr:to>
      <xdr:col>9</xdr:col>
      <xdr:colOff>772580</xdr:colOff>
      <xdr:row>2</xdr:row>
      <xdr:rowOff>1279</xdr:rowOff>
    </xdr:to>
    <xdr:sp macro="[0]!이동7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flipH="1">
          <a:off x="7260115" y="209550"/>
          <a:ext cx="150332" cy="1981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661706</xdr:colOff>
      <xdr:row>1</xdr:row>
      <xdr:rowOff>8468</xdr:rowOff>
    </xdr:from>
    <xdr:to>
      <xdr:col>12</xdr:col>
      <xdr:colOff>819149</xdr:colOff>
      <xdr:row>2</xdr:row>
      <xdr:rowOff>19051</xdr:rowOff>
    </xdr:to>
    <xdr:sp macro="[0]!이동10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9839573" y="211668"/>
          <a:ext cx="157443" cy="2137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656107</xdr:colOff>
      <xdr:row>1</xdr:row>
      <xdr:rowOff>9313</xdr:rowOff>
    </xdr:from>
    <xdr:to>
      <xdr:col>9</xdr:col>
      <xdr:colOff>806448</xdr:colOff>
      <xdr:row>2</xdr:row>
      <xdr:rowOff>11862</xdr:rowOff>
    </xdr:to>
    <xdr:sp macro="[0]!이동8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flipH="1">
          <a:off x="7293974" y="212513"/>
          <a:ext cx="150341" cy="205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653239</xdr:colOff>
      <xdr:row>1</xdr:row>
      <xdr:rowOff>6349</xdr:rowOff>
    </xdr:from>
    <xdr:to>
      <xdr:col>12</xdr:col>
      <xdr:colOff>810682</xdr:colOff>
      <xdr:row>2</xdr:row>
      <xdr:rowOff>13979</xdr:rowOff>
    </xdr:to>
    <xdr:sp macro="[0]!이동11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9831106" y="209549"/>
          <a:ext cx="157443" cy="2108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639180</xdr:colOff>
      <xdr:row>1</xdr:row>
      <xdr:rowOff>4234</xdr:rowOff>
    </xdr:from>
    <xdr:to>
      <xdr:col>9</xdr:col>
      <xdr:colOff>800099</xdr:colOff>
      <xdr:row>2</xdr:row>
      <xdr:rowOff>22447</xdr:rowOff>
    </xdr:to>
    <xdr:sp macro="[0]!이동9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flipH="1">
          <a:off x="7277047" y="207434"/>
          <a:ext cx="160919" cy="221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670172</xdr:colOff>
      <xdr:row>0</xdr:row>
      <xdr:rowOff>190500</xdr:rowOff>
    </xdr:from>
    <xdr:to>
      <xdr:col>12</xdr:col>
      <xdr:colOff>817031</xdr:colOff>
      <xdr:row>2</xdr:row>
      <xdr:rowOff>16096</xdr:rowOff>
    </xdr:to>
    <xdr:sp macro="[0]!이동12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848039" y="190500"/>
          <a:ext cx="146859" cy="2319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656110</xdr:colOff>
      <xdr:row>1</xdr:row>
      <xdr:rowOff>8466</xdr:rowOff>
    </xdr:from>
    <xdr:to>
      <xdr:col>9</xdr:col>
      <xdr:colOff>792479</xdr:colOff>
      <xdr:row>2</xdr:row>
      <xdr:rowOff>13979</xdr:rowOff>
    </xdr:to>
    <xdr:sp macro="[0]!이동10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flipH="1">
          <a:off x="7293977" y="211666"/>
          <a:ext cx="136369" cy="208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653238</xdr:colOff>
      <xdr:row>1</xdr:row>
      <xdr:rowOff>26246</xdr:rowOff>
    </xdr:from>
    <xdr:to>
      <xdr:col>12</xdr:col>
      <xdr:colOff>810682</xdr:colOff>
      <xdr:row>2</xdr:row>
      <xdr:rowOff>18212</xdr:rowOff>
    </xdr:to>
    <xdr:sp macro="[0]!이동1월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9831105" y="229446"/>
          <a:ext cx="157444" cy="1951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656113</xdr:colOff>
      <xdr:row>1</xdr:row>
      <xdr:rowOff>10582</xdr:rowOff>
    </xdr:from>
    <xdr:to>
      <xdr:col>9</xdr:col>
      <xdr:colOff>806448</xdr:colOff>
      <xdr:row>2</xdr:row>
      <xdr:rowOff>5512</xdr:rowOff>
    </xdr:to>
    <xdr:sp macro="[0]!이동11월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flipH="1">
          <a:off x="7293980" y="213782"/>
          <a:ext cx="150335" cy="1981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66675</xdr:colOff>
      <xdr:row>1</xdr:row>
      <xdr:rowOff>0</xdr:rowOff>
    </xdr:from>
    <xdr:to>
      <xdr:col>2</xdr:col>
      <xdr:colOff>0</xdr:colOff>
      <xdr:row>2</xdr:row>
      <xdr:rowOff>0</xdr:rowOff>
    </xdr:to>
    <xdr:sp macro="[0]!메인이동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419100" y="209550"/>
          <a:ext cx="619125" cy="209550"/>
        </a:xfrm>
        <a:prstGeom prst="roundRect">
          <a:avLst/>
        </a:prstGeom>
        <a:solidFill>
          <a:sysClr val="window" lastClr="FFFFFF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bg1">
                  <a:lumMod val="50000"/>
                </a:schemeClr>
              </a:solidFill>
            </a:rPr>
            <a:t>MAIN</a:t>
          </a:r>
        </a:p>
      </xdr:txBody>
    </xdr:sp>
    <xdr:clientData/>
  </xdr:twoCellAnchor>
  <xdr:twoCellAnchor>
    <xdr:from>
      <xdr:col>15</xdr:col>
      <xdr:colOff>118541</xdr:colOff>
      <xdr:row>9</xdr:row>
      <xdr:rowOff>84670</xdr:rowOff>
    </xdr:from>
    <xdr:to>
      <xdr:col>19</xdr:col>
      <xdr:colOff>1584969</xdr:colOff>
      <xdr:row>27</xdr:row>
      <xdr:rowOff>211669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12</xdr:row>
      <xdr:rowOff>137160</xdr:rowOff>
    </xdr:from>
    <xdr:to>
      <xdr:col>14</xdr:col>
      <xdr:colOff>579120</xdr:colOff>
      <xdr:row>21</xdr:row>
      <xdr:rowOff>76201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72392</xdr:colOff>
      <xdr:row>12</xdr:row>
      <xdr:rowOff>166624</xdr:rowOff>
    </xdr:from>
    <xdr:to>
      <xdr:col>11</xdr:col>
      <xdr:colOff>198120</xdr:colOff>
      <xdr:row>21</xdr:row>
      <xdr:rowOff>21088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22</xdr:row>
      <xdr:rowOff>15240</xdr:rowOff>
    </xdr:from>
    <xdr:to>
      <xdr:col>11</xdr:col>
      <xdr:colOff>68580</xdr:colOff>
      <xdr:row>30</xdr:row>
      <xdr:rowOff>259080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161925</xdr:rowOff>
    </xdr:from>
    <xdr:to>
      <xdr:col>1</xdr:col>
      <xdr:colOff>194725</xdr:colOff>
      <xdr:row>0</xdr:row>
      <xdr:rowOff>354806</xdr:rowOff>
    </xdr:to>
    <xdr:sp macro="[0]!이동_부채관리" textlink="">
      <xdr:nvSpPr>
        <xdr:cNvPr id="2" name="직사각형 1">
          <a:extLst>
            <a:ext uri="{FF2B5EF4-FFF2-40B4-BE49-F238E27FC236}">
              <a16:creationId xmlns:a16="http://schemas.microsoft.com/office/drawing/2014/main" id="{680382F2-50D5-4899-B7B7-BE8FA0A56524}"/>
            </a:ext>
          </a:extLst>
        </xdr:cNvPr>
        <xdr:cNvSpPr/>
      </xdr:nvSpPr>
      <xdr:spPr>
        <a:xfrm flipH="1">
          <a:off x="38862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161925</xdr:rowOff>
    </xdr:from>
    <xdr:to>
      <xdr:col>1</xdr:col>
      <xdr:colOff>194725</xdr:colOff>
      <xdr:row>0</xdr:row>
      <xdr:rowOff>354806</xdr:rowOff>
    </xdr:to>
    <xdr:sp macro="[0]!이동_부채관리" textlink="">
      <xdr:nvSpPr>
        <xdr:cNvPr id="2" name="직사각형 1">
          <a:extLst>
            <a:ext uri="{FF2B5EF4-FFF2-40B4-BE49-F238E27FC236}">
              <a16:creationId xmlns:a16="http://schemas.microsoft.com/office/drawing/2014/main" id="{830024E6-88A9-4CBC-8436-EC8FBC174A0E}"/>
            </a:ext>
          </a:extLst>
        </xdr:cNvPr>
        <xdr:cNvSpPr/>
      </xdr:nvSpPr>
      <xdr:spPr>
        <a:xfrm flipH="1">
          <a:off x="388620" y="161925"/>
          <a:ext cx="156625" cy="19288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5" name="표5" displayName="표5" ref="B2:B48" totalsRowShown="0">
  <autoFilter ref="B2:B48"/>
  <tableColumns count="1">
    <tableColumn id="1" name="목록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7" name="표7" displayName="표7" ref="B2:B38" totalsRowShown="0">
  <autoFilter ref="B2:B38"/>
  <tableColumns count="1">
    <tableColumn id="1" name="리스트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50000"/>
          </a:schemeClr>
        </a:solidFill>
        <a:ln>
          <a:noFill/>
        </a:ln>
      </a:spPr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blog.naver.com/mkjang0202/22298320962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blog.naver.com/mkjang0202/22298320962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blog.naver.com/mkjang0202/22298320962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blog.naver.com/mkjang0202/222983209628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blog.naver.com/mkjang0202/222983209628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blog.naver.com/mkjang0202/222983209628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blog.naver.com/mkjang0202/222983209628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blog.naver.com/mkjang0202/22298320962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blog.naver.com/mkjang0202/222983209628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blog.naver.com/mkjang0202/222983209628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blog.naver.com/mkjang0202/222983209628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blog.naver.com/mkjang0202/222983209628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1"/>
    <pageSetUpPr autoPageBreaks="0" fitToPage="1"/>
  </sheetPr>
  <dimension ref="A1:U1526"/>
  <sheetViews>
    <sheetView showGridLines="0" zoomScaleNormal="100" workbookViewId="0">
      <selection activeCell="F11" sqref="F11"/>
    </sheetView>
  </sheetViews>
  <sheetFormatPr defaultColWidth="8.875" defaultRowHeight="16.5" x14ac:dyDescent="0.3"/>
  <cols>
    <col min="1" max="1" width="4.625" customWidth="1"/>
    <col min="2" max="2" width="24.375" customWidth="1"/>
    <col min="3" max="3" width="4.625" customWidth="1"/>
    <col min="4" max="18" width="10.625" customWidth="1"/>
    <col min="19" max="19" width="4.625" customWidth="1"/>
  </cols>
  <sheetData>
    <row r="1" spans="1:21" ht="40.5" customHeight="1" x14ac:dyDescent="0.3">
      <c r="A1" s="10"/>
      <c r="B1" s="79" t="str">
        <f>"▶  "&amp;$R$3&amp;"년 가계부"</f>
        <v>▶  2025년 가계부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7"/>
      <c r="S1" s="107"/>
    </row>
    <row r="2" spans="1:21" x14ac:dyDescent="0.3">
      <c r="A2" s="80"/>
      <c r="B2" s="80"/>
    </row>
    <row r="3" spans="1:21" ht="24.95" customHeight="1" x14ac:dyDescent="0.3">
      <c r="A3" s="80"/>
      <c r="B3" s="81"/>
      <c r="D3" s="530" t="str">
        <f>$R$3&amp;"년 재무목표"</f>
        <v>2025년 재무목표</v>
      </c>
      <c r="E3" s="530"/>
      <c r="J3" s="530" t="str">
        <f>$R$3&amp;"년 재무일정"</f>
        <v>2025년 재무일정</v>
      </c>
      <c r="K3" s="530"/>
      <c r="R3" s="131">
        <v>2025</v>
      </c>
    </row>
    <row r="4" spans="1:21" ht="24.95" customHeight="1" x14ac:dyDescent="0.3">
      <c r="A4" s="99"/>
      <c r="B4" s="100" t="s">
        <v>82</v>
      </c>
      <c r="C4" s="1"/>
      <c r="D4" s="327" t="s">
        <v>354</v>
      </c>
      <c r="E4" s="328"/>
      <c r="F4" s="328"/>
      <c r="G4" s="328"/>
      <c r="H4" s="328"/>
      <c r="I4" s="38"/>
      <c r="J4" s="327" t="s">
        <v>320</v>
      </c>
      <c r="K4" s="328"/>
      <c r="L4" s="328"/>
      <c r="M4" s="328"/>
      <c r="N4" s="328"/>
      <c r="O4" s="328"/>
      <c r="Q4" s="1"/>
      <c r="R4" s="1"/>
    </row>
    <row r="5" spans="1:21" ht="24.95" customHeight="1" x14ac:dyDescent="0.3">
      <c r="A5" s="99"/>
      <c r="B5" s="100" t="s">
        <v>68</v>
      </c>
      <c r="C5" s="1"/>
      <c r="D5" s="325" t="s">
        <v>353</v>
      </c>
      <c r="E5" s="328"/>
      <c r="F5" s="328"/>
      <c r="G5" s="328"/>
      <c r="H5" s="328"/>
      <c r="I5" s="38"/>
      <c r="J5" s="325" t="s">
        <v>355</v>
      </c>
      <c r="K5" s="326"/>
      <c r="L5" s="326"/>
      <c r="M5" s="326"/>
      <c r="N5" s="326"/>
      <c r="O5" s="326"/>
      <c r="Q5" s="1"/>
      <c r="R5" s="1"/>
    </row>
    <row r="6" spans="1:21" ht="24.95" customHeight="1" x14ac:dyDescent="0.3">
      <c r="A6" s="99"/>
      <c r="B6" s="101" t="s">
        <v>83</v>
      </c>
      <c r="C6" s="1"/>
      <c r="D6" s="325"/>
      <c r="E6" s="325"/>
      <c r="F6" s="325"/>
      <c r="G6" s="325"/>
      <c r="H6" s="325"/>
      <c r="I6" s="329"/>
      <c r="J6" s="325"/>
      <c r="K6" s="326"/>
      <c r="L6" s="326"/>
      <c r="M6" s="326"/>
      <c r="N6" s="326"/>
      <c r="O6" s="326"/>
      <c r="Q6" s="1"/>
      <c r="R6" s="1"/>
    </row>
    <row r="7" spans="1:21" ht="24.95" customHeight="1" x14ac:dyDescent="0.3">
      <c r="A7" s="99"/>
      <c r="B7" s="100" t="s">
        <v>69</v>
      </c>
      <c r="C7" s="1"/>
      <c r="D7" s="325"/>
      <c r="E7" s="325"/>
      <c r="F7" s="325"/>
      <c r="G7" s="325"/>
      <c r="H7" s="325"/>
      <c r="I7" s="329"/>
      <c r="J7" s="325"/>
      <c r="K7" s="326"/>
      <c r="L7" s="326"/>
      <c r="M7" s="326"/>
      <c r="N7" s="326"/>
      <c r="O7" s="326"/>
      <c r="Q7" s="330" t="s">
        <v>183</v>
      </c>
      <c r="R7" s="331">
        <v>2500000</v>
      </c>
    </row>
    <row r="8" spans="1:21" ht="24.95" customHeight="1" x14ac:dyDescent="0.3">
      <c r="A8" s="99"/>
      <c r="B8" s="101" t="s">
        <v>156</v>
      </c>
      <c r="C8" s="1"/>
      <c r="D8" s="325"/>
      <c r="E8" s="326"/>
      <c r="F8" s="326"/>
      <c r="G8" s="326"/>
      <c r="H8" s="326"/>
      <c r="I8" s="38"/>
      <c r="J8" s="325"/>
      <c r="K8" s="326"/>
      <c r="L8" s="326"/>
      <c r="M8" s="326"/>
      <c r="N8" s="326"/>
      <c r="O8" s="326"/>
      <c r="Q8" s="332" t="s">
        <v>184</v>
      </c>
      <c r="R8" s="333">
        <v>0.6</v>
      </c>
    </row>
    <row r="9" spans="1:21" ht="24.95" customHeight="1" x14ac:dyDescent="0.3">
      <c r="A9" s="99"/>
      <c r="B9" s="10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1" ht="24.95" customHeight="1" thickBot="1" x14ac:dyDescent="0.35">
      <c r="A10" s="80"/>
      <c r="B10" s="101" t="s">
        <v>67</v>
      </c>
      <c r="C10" s="1"/>
      <c r="D10" s="530" t="s">
        <v>185</v>
      </c>
      <c r="E10" s="530"/>
      <c r="U10" s="98"/>
    </row>
    <row r="11" spans="1:21" ht="24.95" customHeight="1" thickBot="1" x14ac:dyDescent="0.35">
      <c r="A11" s="80"/>
      <c r="B11" s="100" t="s">
        <v>176</v>
      </c>
      <c r="C11" s="1"/>
      <c r="D11" s="410"/>
      <c r="E11" s="411">
        <v>1</v>
      </c>
      <c r="F11" s="411">
        <v>2</v>
      </c>
      <c r="G11" s="411">
        <v>3</v>
      </c>
      <c r="H11" s="411">
        <v>4</v>
      </c>
      <c r="I11" s="411">
        <v>5</v>
      </c>
      <c r="J11" s="411">
        <v>6</v>
      </c>
      <c r="K11" s="411">
        <v>7</v>
      </c>
      <c r="L11" s="411">
        <v>8</v>
      </c>
      <c r="M11" s="411">
        <v>9</v>
      </c>
      <c r="N11" s="411">
        <v>10</v>
      </c>
      <c r="O11" s="411">
        <v>11</v>
      </c>
      <c r="P11" s="411">
        <v>12</v>
      </c>
      <c r="Q11" s="36" t="s">
        <v>4</v>
      </c>
      <c r="R11" s="37" t="s">
        <v>42</v>
      </c>
      <c r="S11" s="1"/>
    </row>
    <row r="12" spans="1:21" ht="24.95" customHeight="1" x14ac:dyDescent="0.3">
      <c r="A12" s="80"/>
      <c r="B12" s="100" t="s">
        <v>175</v>
      </c>
      <c r="C12" s="1"/>
      <c r="D12" s="102" t="s">
        <v>58</v>
      </c>
      <c r="E12" s="103">
        <v>1000000</v>
      </c>
      <c r="F12" s="103">
        <f>SUMIF('2월'!$D$33:$D$145,"이월",'2월'!$H$33:$H$145)</f>
        <v>0</v>
      </c>
      <c r="G12" s="103">
        <f>SUMIF('3월'!$D$33:$D$145,"이월",'3월'!$H$33:$H$145)</f>
        <v>0</v>
      </c>
      <c r="H12" s="103">
        <f>SUMIF('4월'!$D$34:$D$145,"이월",'4월'!$H$34:$H$145)</f>
        <v>0</v>
      </c>
      <c r="I12" s="103">
        <f>SUMIF('5월'!$D$33:$D$145,"이월",'5월'!$H$33:$H$145)</f>
        <v>0</v>
      </c>
      <c r="J12" s="103">
        <f>SUMIF('6월'!$D$33:$D$145,"이월",'6월'!$H$33:$H$145)</f>
        <v>0</v>
      </c>
      <c r="K12" s="103">
        <f>SUMIF('7월'!$D$33:$D$145,"이월",'7월'!$H$33:$H$145)</f>
        <v>0</v>
      </c>
      <c r="L12" s="103">
        <f>SUMIF('8월'!$D$33:$D$145,"이월",'8월'!$H$33:$H$145)</f>
        <v>0</v>
      </c>
      <c r="M12" s="103">
        <f>SUMIF('9월'!$D$33:$D$145,"이월",'9월'!$H$33:$H$145)</f>
        <v>0</v>
      </c>
      <c r="N12" s="103">
        <f>SUMIF('10월'!$D$33:$D$145,"이월",'10월'!$H$33:$H$145)</f>
        <v>0</v>
      </c>
      <c r="O12" s="103">
        <f>SUMIF('11월'!$D$33:$D$145,"이월",'11월'!$H$33:$H$145)</f>
        <v>0</v>
      </c>
      <c r="P12" s="103">
        <f>SUMIF('12월'!$D$33:$D$145,"이월",'12월'!$H$33:$H$145)</f>
        <v>0</v>
      </c>
      <c r="Q12" s="274">
        <f>SUM(E12:P12)</f>
        <v>1000000</v>
      </c>
      <c r="R12" s="275">
        <f>SUM(E12:P12)/COUNTIF(E12:P12,"&lt;&gt;0")</f>
        <v>1000000</v>
      </c>
      <c r="S12" s="87"/>
    </row>
    <row r="13" spans="1:21" ht="24.95" customHeight="1" x14ac:dyDescent="0.3">
      <c r="A13" s="80"/>
      <c r="B13" s="100" t="s">
        <v>174</v>
      </c>
      <c r="C13" s="1"/>
      <c r="D13" s="61" t="s">
        <v>59</v>
      </c>
      <c r="E13" s="104">
        <f>연간_항목별수입!C20</f>
        <v>0</v>
      </c>
      <c r="F13" s="104">
        <f>연간_항목별수입!D20</f>
        <v>0</v>
      </c>
      <c r="G13" s="104">
        <f>연간_항목별수입!E20</f>
        <v>0</v>
      </c>
      <c r="H13" s="104">
        <f>연간_항목별수입!F20</f>
        <v>0</v>
      </c>
      <c r="I13" s="104">
        <f>연간_항목별수입!G20</f>
        <v>0</v>
      </c>
      <c r="J13" s="104">
        <f>연간_항목별수입!H20</f>
        <v>0</v>
      </c>
      <c r="K13" s="104">
        <f>연간_항목별수입!I20</f>
        <v>0</v>
      </c>
      <c r="L13" s="104">
        <f>연간_항목별수입!J20</f>
        <v>0</v>
      </c>
      <c r="M13" s="104">
        <f>연간_항목별수입!K20</f>
        <v>0</v>
      </c>
      <c r="N13" s="104">
        <f>연간_항목별수입!L20</f>
        <v>0</v>
      </c>
      <c r="O13" s="104">
        <f>연간_항목별수입!M20</f>
        <v>0</v>
      </c>
      <c r="P13" s="104">
        <f>연간_항목별수입!N20</f>
        <v>0</v>
      </c>
      <c r="Q13" s="104">
        <f t="shared" ref="Q13:Q18" si="0">SUM(E13:P13)</f>
        <v>0</v>
      </c>
      <c r="R13" s="276" t="e">
        <f t="shared" ref="R13:R17" si="1">SUM(E13:P13)/COUNTIF(E13:P13,"&lt;&gt;0")</f>
        <v>#DIV/0!</v>
      </c>
      <c r="S13" s="1"/>
    </row>
    <row r="14" spans="1:21" ht="24.95" customHeight="1" x14ac:dyDescent="0.3">
      <c r="A14" s="80"/>
      <c r="B14" s="100"/>
      <c r="C14" s="1"/>
      <c r="D14" s="61" t="s">
        <v>60</v>
      </c>
      <c r="E14" s="104">
        <f>연간_항목별지출!C19</f>
        <v>0</v>
      </c>
      <c r="F14" s="104">
        <f>연간_항목별지출!D19</f>
        <v>0</v>
      </c>
      <c r="G14" s="104">
        <f>연간_항목별지출!E19</f>
        <v>0</v>
      </c>
      <c r="H14" s="104">
        <f>연간_항목별지출!F19</f>
        <v>0</v>
      </c>
      <c r="I14" s="104">
        <f>연간_항목별지출!G19</f>
        <v>0</v>
      </c>
      <c r="J14" s="104">
        <f>연간_항목별지출!H19</f>
        <v>0</v>
      </c>
      <c r="K14" s="104">
        <f>연간_항목별지출!I19</f>
        <v>0</v>
      </c>
      <c r="L14" s="104">
        <f>연간_항목별지출!J19</f>
        <v>0</v>
      </c>
      <c r="M14" s="104">
        <f>연간_항목별지출!K19</f>
        <v>0</v>
      </c>
      <c r="N14" s="104">
        <f>연간_항목별지출!L19</f>
        <v>0</v>
      </c>
      <c r="O14" s="104">
        <f>연간_항목별지출!M19</f>
        <v>0</v>
      </c>
      <c r="P14" s="104">
        <f>연간_항목별지출!N19</f>
        <v>0</v>
      </c>
      <c r="Q14" s="104">
        <f t="shared" si="0"/>
        <v>0</v>
      </c>
      <c r="R14" s="276" t="e">
        <f t="shared" si="1"/>
        <v>#DIV/0!</v>
      </c>
      <c r="S14" s="1"/>
    </row>
    <row r="15" spans="1:21" ht="24.95" customHeight="1" x14ac:dyDescent="0.3">
      <c r="A15" s="80"/>
      <c r="B15" s="99"/>
      <c r="C15" s="1"/>
      <c r="D15" s="61" t="s">
        <v>10</v>
      </c>
      <c r="E15" s="104">
        <f>연간_항목별지출!C4</f>
        <v>0</v>
      </c>
      <c r="F15" s="104">
        <f>연간_항목별지출!D4</f>
        <v>0</v>
      </c>
      <c r="G15" s="104">
        <f>연간_항목별지출!E4</f>
        <v>0</v>
      </c>
      <c r="H15" s="104">
        <f>연간_항목별지출!F4</f>
        <v>0</v>
      </c>
      <c r="I15" s="104">
        <f>연간_항목별지출!G4</f>
        <v>0</v>
      </c>
      <c r="J15" s="104">
        <f>연간_항목별지출!H4</f>
        <v>0</v>
      </c>
      <c r="K15" s="104">
        <f>연간_항목별지출!I4</f>
        <v>0</v>
      </c>
      <c r="L15" s="104">
        <f>연간_항목별지출!J4</f>
        <v>0</v>
      </c>
      <c r="M15" s="104">
        <f>연간_항목별지출!K4</f>
        <v>0</v>
      </c>
      <c r="N15" s="104">
        <f>연간_항목별지출!L4</f>
        <v>0</v>
      </c>
      <c r="O15" s="104">
        <f>연간_항목별지출!M4</f>
        <v>0</v>
      </c>
      <c r="P15" s="104">
        <f>연간_항목별지출!N4</f>
        <v>0</v>
      </c>
      <c r="Q15" s="104">
        <f t="shared" si="0"/>
        <v>0</v>
      </c>
      <c r="R15" s="276" t="e">
        <f t="shared" si="1"/>
        <v>#DIV/0!</v>
      </c>
      <c r="S15" s="1"/>
    </row>
    <row r="16" spans="1:21" ht="24.95" customHeight="1" x14ac:dyDescent="0.3">
      <c r="A16" s="80"/>
      <c r="B16" s="99"/>
      <c r="C16" s="1"/>
      <c r="D16" s="61" t="s">
        <v>44</v>
      </c>
      <c r="E16" s="454">
        <f>연간_항목별지출!C5</f>
        <v>0</v>
      </c>
      <c r="F16" s="454">
        <f>연간_항목별지출!D5</f>
        <v>0</v>
      </c>
      <c r="G16" s="454">
        <f>연간_항목별지출!E5</f>
        <v>0</v>
      </c>
      <c r="H16" s="454">
        <f>연간_항목별지출!F5</f>
        <v>0</v>
      </c>
      <c r="I16" s="454">
        <f>연간_항목별지출!G5</f>
        <v>0</v>
      </c>
      <c r="J16" s="454">
        <f>연간_항목별지출!H5</f>
        <v>0</v>
      </c>
      <c r="K16" s="454">
        <f>연간_항목별지출!I5</f>
        <v>0</v>
      </c>
      <c r="L16" s="454">
        <f>연간_항목별지출!J5</f>
        <v>0</v>
      </c>
      <c r="M16" s="454">
        <f>연간_항목별지출!K5</f>
        <v>0</v>
      </c>
      <c r="N16" s="454">
        <f>연간_항목별지출!L5</f>
        <v>0</v>
      </c>
      <c r="O16" s="454">
        <f>연간_항목별지출!M5</f>
        <v>0</v>
      </c>
      <c r="P16" s="454">
        <f>연간_항목별지출!N5</f>
        <v>0</v>
      </c>
      <c r="Q16" s="104">
        <f t="shared" si="0"/>
        <v>0</v>
      </c>
      <c r="R16" s="276" t="e">
        <f t="shared" si="1"/>
        <v>#DIV/0!</v>
      </c>
      <c r="S16" s="1"/>
    </row>
    <row r="17" spans="1:19" ht="24.95" customHeight="1" x14ac:dyDescent="0.3">
      <c r="A17" s="80"/>
      <c r="B17" s="99"/>
      <c r="C17" s="1"/>
      <c r="D17" s="61" t="s">
        <v>55</v>
      </c>
      <c r="E17" s="454">
        <f>E12+E13-E14</f>
        <v>1000000</v>
      </c>
      <c r="F17" s="454">
        <f>F12+F13-F14</f>
        <v>0</v>
      </c>
      <c r="G17" s="454">
        <f t="shared" ref="G17:O17" si="2">G12+G13-G14</f>
        <v>0</v>
      </c>
      <c r="H17" s="454">
        <f t="shared" si="2"/>
        <v>0</v>
      </c>
      <c r="I17" s="454">
        <f t="shared" si="2"/>
        <v>0</v>
      </c>
      <c r="J17" s="454">
        <f t="shared" si="2"/>
        <v>0</v>
      </c>
      <c r="K17" s="454">
        <f t="shared" si="2"/>
        <v>0</v>
      </c>
      <c r="L17" s="454">
        <f t="shared" si="2"/>
        <v>0</v>
      </c>
      <c r="M17" s="454">
        <f t="shared" si="2"/>
        <v>0</v>
      </c>
      <c r="N17" s="454">
        <f t="shared" si="2"/>
        <v>0</v>
      </c>
      <c r="O17" s="454">
        <f t="shared" si="2"/>
        <v>0</v>
      </c>
      <c r="P17" s="454">
        <f>P12+P13-P14</f>
        <v>0</v>
      </c>
      <c r="Q17" s="104">
        <f t="shared" si="0"/>
        <v>1000000</v>
      </c>
      <c r="R17" s="276">
        <f t="shared" si="1"/>
        <v>1000000</v>
      </c>
      <c r="S17" s="1"/>
    </row>
    <row r="18" spans="1:19" ht="24.95" customHeight="1" thickBot="1" x14ac:dyDescent="0.35">
      <c r="A18" s="80"/>
      <c r="B18" s="99"/>
      <c r="C18" s="1"/>
      <c r="D18" s="108" t="s">
        <v>62</v>
      </c>
      <c r="E18" s="453">
        <f>E17-F12</f>
        <v>1000000</v>
      </c>
      <c r="F18" s="453">
        <f>F17-G12</f>
        <v>0</v>
      </c>
      <c r="G18" s="453">
        <f t="shared" ref="G18:O18" si="3">G17-H12</f>
        <v>0</v>
      </c>
      <c r="H18" s="453">
        <f t="shared" si="3"/>
        <v>0</v>
      </c>
      <c r="I18" s="453">
        <f t="shared" si="3"/>
        <v>0</v>
      </c>
      <c r="J18" s="453">
        <f t="shared" si="3"/>
        <v>0</v>
      </c>
      <c r="K18" s="453">
        <f t="shared" si="3"/>
        <v>0</v>
      </c>
      <c r="L18" s="453">
        <f t="shared" si="3"/>
        <v>0</v>
      </c>
      <c r="M18" s="453">
        <f t="shared" si="3"/>
        <v>0</v>
      </c>
      <c r="N18" s="453">
        <f t="shared" si="3"/>
        <v>0</v>
      </c>
      <c r="O18" s="453">
        <f t="shared" si="3"/>
        <v>0</v>
      </c>
      <c r="P18" s="453">
        <v>0</v>
      </c>
      <c r="Q18" s="453">
        <f t="shared" si="0"/>
        <v>1000000</v>
      </c>
      <c r="R18" s="457"/>
      <c r="S18" s="1"/>
    </row>
    <row r="19" spans="1:19" ht="24.95" customHeight="1" x14ac:dyDescent="0.3">
      <c r="A19" s="80"/>
      <c r="B19" s="99"/>
      <c r="C19" s="1"/>
      <c r="D19" s="63" t="s">
        <v>113</v>
      </c>
      <c r="E19" s="109" t="str">
        <f t="shared" ref="E19:G19" si="4">IF(E14=0,"",E15/E14)</f>
        <v/>
      </c>
      <c r="F19" s="109" t="str">
        <f t="shared" si="4"/>
        <v/>
      </c>
      <c r="G19" s="109" t="str">
        <f t="shared" si="4"/>
        <v/>
      </c>
      <c r="H19" s="109" t="str">
        <f>IF(H14=0,"",H15/H14)</f>
        <v/>
      </c>
      <c r="I19" s="109" t="str">
        <f t="shared" ref="I19:P19" si="5">IF(I14=0,"",I15/I14)</f>
        <v/>
      </c>
      <c r="J19" s="109" t="str">
        <f t="shared" si="5"/>
        <v/>
      </c>
      <c r="K19" s="109" t="str">
        <f t="shared" si="5"/>
        <v/>
      </c>
      <c r="L19" s="109" t="str">
        <f t="shared" si="5"/>
        <v/>
      </c>
      <c r="M19" s="109" t="str">
        <f t="shared" si="5"/>
        <v/>
      </c>
      <c r="N19" s="109" t="str">
        <f t="shared" si="5"/>
        <v/>
      </c>
      <c r="O19" s="109" t="str">
        <f t="shared" si="5"/>
        <v/>
      </c>
      <c r="P19" s="109" t="str">
        <f t="shared" si="5"/>
        <v/>
      </c>
      <c r="Q19" s="347" t="str">
        <f>IF(Q14=0,"",Q15/Q14)</f>
        <v/>
      </c>
      <c r="R19" s="277"/>
      <c r="S19" s="1"/>
    </row>
    <row r="20" spans="1:19" ht="24.95" customHeight="1" x14ac:dyDescent="0.3">
      <c r="A20" s="80"/>
      <c r="B20" s="99"/>
      <c r="C20" s="1"/>
      <c r="D20" s="61" t="s">
        <v>114</v>
      </c>
      <c r="E20" s="105" t="str">
        <f t="shared" ref="E20:G20" si="6">IF(E14=0,"",E16/E14)</f>
        <v/>
      </c>
      <c r="F20" s="105" t="str">
        <f t="shared" si="6"/>
        <v/>
      </c>
      <c r="G20" s="105" t="str">
        <f t="shared" si="6"/>
        <v/>
      </c>
      <c r="H20" s="105" t="str">
        <f>IF(H14=0,"",H16/H14)</f>
        <v/>
      </c>
      <c r="I20" s="105" t="str">
        <f t="shared" ref="I20:P20" si="7">IF(I14=0,"",I16/I14)</f>
        <v/>
      </c>
      <c r="J20" s="105" t="str">
        <f t="shared" si="7"/>
        <v/>
      </c>
      <c r="K20" s="105" t="str">
        <f t="shared" si="7"/>
        <v/>
      </c>
      <c r="L20" s="105" t="str">
        <f t="shared" si="7"/>
        <v/>
      </c>
      <c r="M20" s="105" t="str">
        <f t="shared" si="7"/>
        <v/>
      </c>
      <c r="N20" s="105" t="str">
        <f t="shared" si="7"/>
        <v/>
      </c>
      <c r="O20" s="105" t="str">
        <f t="shared" si="7"/>
        <v/>
      </c>
      <c r="P20" s="105" t="str">
        <f t="shared" si="7"/>
        <v/>
      </c>
      <c r="Q20" s="348" t="str">
        <f>IF(Q14=0,"",Q16/Q14)</f>
        <v/>
      </c>
      <c r="R20" s="278"/>
      <c r="S20" s="1"/>
    </row>
    <row r="21" spans="1:19" ht="24.95" customHeight="1" x14ac:dyDescent="0.3">
      <c r="A21" s="80"/>
      <c r="B21" s="99"/>
      <c r="C21" s="1"/>
      <c r="D21" s="61" t="s">
        <v>4</v>
      </c>
      <c r="E21" s="106" t="str">
        <f t="shared" ref="E21:G21" si="8">IF(E19="","",SUM(E19:E20))</f>
        <v/>
      </c>
      <c r="F21" s="106" t="str">
        <f t="shared" si="8"/>
        <v/>
      </c>
      <c r="G21" s="106" t="str">
        <f t="shared" si="8"/>
        <v/>
      </c>
      <c r="H21" s="106" t="str">
        <f>IF(H19="","",SUM(H19:H20))</f>
        <v/>
      </c>
      <c r="I21" s="106" t="str">
        <f t="shared" ref="I21:P21" si="9">IF(I19="","",SUM(I19:I20))</f>
        <v/>
      </c>
      <c r="J21" s="106" t="str">
        <f t="shared" si="9"/>
        <v/>
      </c>
      <c r="K21" s="106" t="str">
        <f t="shared" si="9"/>
        <v/>
      </c>
      <c r="L21" s="106" t="str">
        <f t="shared" si="9"/>
        <v/>
      </c>
      <c r="M21" s="106" t="str">
        <f t="shared" si="9"/>
        <v/>
      </c>
      <c r="N21" s="106" t="str">
        <f t="shared" si="9"/>
        <v/>
      </c>
      <c r="O21" s="106" t="str">
        <f t="shared" si="9"/>
        <v/>
      </c>
      <c r="P21" s="106" t="str">
        <f t="shared" si="9"/>
        <v/>
      </c>
      <c r="Q21" s="312" t="str">
        <f>IF(Q19="","",SUM(Q19:Q20))</f>
        <v/>
      </c>
      <c r="R21" s="279"/>
      <c r="S21" s="1"/>
    </row>
    <row r="22" spans="1:19" ht="24.95" customHeight="1" x14ac:dyDescent="0.3">
      <c r="A22" s="80"/>
      <c r="B22" s="80"/>
    </row>
    <row r="23" spans="1:19" ht="24.95" customHeight="1" x14ac:dyDescent="0.3">
      <c r="A23" s="80"/>
      <c r="B23" s="80"/>
      <c r="D23" s="530" t="s">
        <v>53</v>
      </c>
      <c r="E23" s="530"/>
    </row>
    <row r="24" spans="1:19" ht="24.95" customHeight="1" x14ac:dyDescent="0.3">
      <c r="A24" s="80"/>
      <c r="B24" s="80"/>
    </row>
    <row r="25" spans="1:19" ht="24.95" customHeight="1" x14ac:dyDescent="0.3">
      <c r="A25" s="80"/>
      <c r="B25" s="80"/>
    </row>
    <row r="26" spans="1:19" ht="24.95" customHeight="1" x14ac:dyDescent="0.3">
      <c r="A26" s="80"/>
      <c r="B26" s="80"/>
    </row>
    <row r="27" spans="1:19" ht="24.95" customHeight="1" x14ac:dyDescent="0.3">
      <c r="A27" s="80"/>
      <c r="B27" s="80"/>
    </row>
    <row r="28" spans="1:19" ht="24.95" customHeight="1" x14ac:dyDescent="0.3">
      <c r="A28" s="80"/>
      <c r="B28" s="80"/>
    </row>
    <row r="29" spans="1:19" ht="24.95" customHeight="1" x14ac:dyDescent="0.3">
      <c r="A29" s="80"/>
      <c r="B29" s="80"/>
    </row>
    <row r="30" spans="1:19" ht="24.95" customHeight="1" x14ac:dyDescent="0.3">
      <c r="A30" s="80"/>
      <c r="B30" s="80"/>
    </row>
    <row r="31" spans="1:19" ht="24.95" customHeight="1" x14ac:dyDescent="0.3">
      <c r="A31" s="80"/>
      <c r="B31" s="80"/>
    </row>
    <row r="32" spans="1:19" ht="24.95" customHeight="1" x14ac:dyDescent="0.3">
      <c r="A32" s="80"/>
      <c r="B32" s="80"/>
    </row>
    <row r="33" spans="1:15" ht="24.95" customHeight="1" x14ac:dyDescent="0.3">
      <c r="A33" s="80"/>
      <c r="B33" s="80"/>
    </row>
    <row r="34" spans="1:15" ht="24.95" customHeight="1" x14ac:dyDescent="0.3">
      <c r="A34" s="80"/>
      <c r="B34" s="80"/>
      <c r="D34" s="82"/>
    </row>
    <row r="35" spans="1:15" ht="24.95" customHeight="1" x14ac:dyDescent="0.3">
      <c r="A35" s="80"/>
      <c r="B35" s="80"/>
      <c r="D35" s="88"/>
    </row>
    <row r="36" spans="1:15" ht="24.95" customHeight="1" x14ac:dyDescent="0.3">
      <c r="A36" s="80"/>
      <c r="B36" s="80"/>
      <c r="D36" s="82"/>
    </row>
    <row r="37" spans="1:15" ht="24.95" customHeight="1" x14ac:dyDescent="0.3">
      <c r="A37" s="80"/>
      <c r="B37" s="80"/>
      <c r="D37" s="82"/>
    </row>
    <row r="38" spans="1:15" ht="24.95" customHeight="1" x14ac:dyDescent="0.3">
      <c r="A38" s="80"/>
      <c r="B38" s="80"/>
      <c r="D38" s="82"/>
    </row>
    <row r="39" spans="1:15" ht="24.95" customHeight="1" x14ac:dyDescent="0.3">
      <c r="A39" s="80"/>
      <c r="B39" s="80"/>
    </row>
    <row r="40" spans="1:15" ht="24.95" customHeight="1" x14ac:dyDescent="0.3">
      <c r="A40" s="78"/>
      <c r="B40" s="78"/>
      <c r="C40" s="78"/>
      <c r="D40" s="78"/>
      <c r="E40" s="78"/>
      <c r="F40" s="78"/>
    </row>
    <row r="41" spans="1:15" ht="30" customHeight="1" x14ac:dyDescent="0.3">
      <c r="A41" s="78"/>
      <c r="B41" s="78"/>
      <c r="C41" s="78"/>
      <c r="D41" s="78"/>
      <c r="E41" s="78"/>
      <c r="F41" s="78"/>
      <c r="G41" s="345"/>
      <c r="H41" s="345"/>
      <c r="I41" s="345"/>
      <c r="J41" s="345"/>
      <c r="K41" s="345"/>
      <c r="L41" s="345"/>
      <c r="M41" s="345"/>
      <c r="N41" s="345"/>
      <c r="O41" s="345"/>
    </row>
    <row r="42" spans="1:15" ht="30" customHeight="1" x14ac:dyDescent="0.3">
      <c r="A42" s="78"/>
      <c r="B42" s="78"/>
      <c r="C42" s="78"/>
      <c r="D42" s="78"/>
      <c r="E42" s="78"/>
      <c r="F42" s="78"/>
      <c r="G42" s="78"/>
      <c r="H42" s="1"/>
      <c r="I42" s="1"/>
      <c r="J42" s="1"/>
      <c r="K42" s="1"/>
      <c r="L42" s="1"/>
      <c r="M42" s="1"/>
      <c r="N42" s="1"/>
      <c r="O42" s="1"/>
    </row>
    <row r="43" spans="1:15" ht="30" customHeight="1" x14ac:dyDescent="0.3">
      <c r="A43" s="78"/>
      <c r="B43" s="78"/>
      <c r="C43" s="78"/>
      <c r="D43" s="78"/>
      <c r="E43" s="78"/>
      <c r="F43" s="78"/>
      <c r="G43" s="313"/>
      <c r="H43" s="313"/>
      <c r="I43" s="313"/>
      <c r="J43" s="313"/>
      <c r="K43" s="313"/>
      <c r="L43" s="313"/>
      <c r="M43" s="313"/>
      <c r="N43" s="313"/>
      <c r="O43" s="313"/>
    </row>
    <row r="44" spans="1:15" ht="30" customHeight="1" x14ac:dyDescent="0.3">
      <c r="A44" s="78"/>
      <c r="B44" s="78"/>
      <c r="C44" s="78"/>
      <c r="D44" s="78"/>
      <c r="E44" s="78"/>
      <c r="F44" s="78"/>
      <c r="G44" s="1"/>
      <c r="H44" s="1"/>
      <c r="I44" s="1"/>
      <c r="J44" s="1"/>
      <c r="K44" s="1"/>
      <c r="L44" s="1"/>
      <c r="M44" s="1"/>
      <c r="N44" s="1"/>
      <c r="O44" s="1"/>
    </row>
    <row r="45" spans="1:15" ht="30" customHeight="1" x14ac:dyDescent="0.3">
      <c r="A45" s="78"/>
      <c r="B45" s="78"/>
      <c r="C45" s="78"/>
      <c r="D45" s="78"/>
      <c r="E45" s="78"/>
      <c r="F45" s="78"/>
      <c r="G45" s="313"/>
      <c r="H45" s="313"/>
      <c r="I45" s="313"/>
      <c r="J45" s="1"/>
      <c r="K45" s="1"/>
      <c r="L45" s="1"/>
      <c r="M45" s="1"/>
      <c r="N45" s="1"/>
      <c r="O45" s="1"/>
    </row>
    <row r="46" spans="1:15" ht="30" customHeight="1" x14ac:dyDescent="0.3">
      <c r="A46" s="78"/>
      <c r="B46" s="78"/>
      <c r="C46" s="78"/>
      <c r="D46" s="78"/>
      <c r="E46" s="78"/>
      <c r="F46" s="78"/>
      <c r="G46" s="1"/>
      <c r="H46" s="1"/>
      <c r="I46" s="1"/>
      <c r="J46" s="1"/>
      <c r="K46" s="1"/>
      <c r="L46" s="1"/>
      <c r="M46" s="1"/>
      <c r="N46" s="1"/>
      <c r="O46" s="1"/>
    </row>
    <row r="47" spans="1:15" ht="30" customHeight="1" x14ac:dyDescent="0.3">
      <c r="A47" s="78"/>
      <c r="B47" s="78"/>
      <c r="C47" s="78"/>
      <c r="D47" s="78"/>
      <c r="E47" s="78"/>
      <c r="F47" s="78"/>
      <c r="G47" s="1"/>
      <c r="H47" s="1"/>
      <c r="I47" s="1"/>
      <c r="J47" s="1"/>
      <c r="K47" s="1"/>
      <c r="L47" s="1"/>
      <c r="M47" s="1"/>
      <c r="N47" s="1"/>
      <c r="O47" s="1"/>
    </row>
    <row r="48" spans="1:15" ht="30" customHeight="1" x14ac:dyDescent="0.3">
      <c r="A48" s="78"/>
      <c r="B48" s="78"/>
      <c r="C48" s="78"/>
      <c r="D48" s="78"/>
      <c r="E48" s="78"/>
      <c r="F48" s="78"/>
      <c r="G48" s="1"/>
      <c r="H48" s="1"/>
      <c r="I48" s="1"/>
      <c r="J48" s="1"/>
      <c r="K48" s="1"/>
      <c r="L48" s="1"/>
      <c r="M48" s="1"/>
      <c r="N48" s="1"/>
      <c r="O48" s="1"/>
    </row>
    <row r="49" spans="1:15" ht="30" customHeight="1" x14ac:dyDescent="0.3">
      <c r="A49" s="78"/>
      <c r="B49" s="78"/>
      <c r="C49" s="78"/>
      <c r="D49" s="78"/>
      <c r="E49" s="78"/>
      <c r="F49" s="78"/>
      <c r="G49" s="1"/>
      <c r="H49" s="1"/>
      <c r="I49" s="1"/>
      <c r="J49" s="1"/>
      <c r="K49" s="1"/>
      <c r="L49" s="1"/>
      <c r="M49" s="1"/>
      <c r="N49" s="1"/>
      <c r="O49" s="1"/>
    </row>
    <row r="50" spans="1:15" ht="30" customHeight="1" x14ac:dyDescent="0.3">
      <c r="A50" s="78"/>
      <c r="B50" s="78"/>
      <c r="C50" s="78"/>
      <c r="D50" s="78"/>
      <c r="E50" s="78"/>
      <c r="F50" s="78"/>
      <c r="G50" s="1"/>
      <c r="H50" s="1"/>
      <c r="I50" s="1"/>
      <c r="J50" s="1"/>
      <c r="K50" s="1"/>
      <c r="L50" s="1"/>
      <c r="M50" s="1"/>
      <c r="N50" s="1"/>
      <c r="O50" s="1"/>
    </row>
    <row r="51" spans="1:15" ht="30" customHeight="1" x14ac:dyDescent="0.3">
      <c r="A51" s="78"/>
      <c r="B51" s="78"/>
      <c r="C51" s="78"/>
      <c r="D51" s="78"/>
      <c r="E51" s="78"/>
      <c r="F51" s="78"/>
      <c r="G51" s="1"/>
      <c r="H51" s="1"/>
      <c r="I51" s="1"/>
      <c r="J51" s="1"/>
      <c r="K51" s="1"/>
      <c r="L51" s="1"/>
      <c r="M51" s="1"/>
      <c r="N51" s="1"/>
      <c r="O51" s="1"/>
    </row>
    <row r="52" spans="1:15" ht="30" customHeight="1" x14ac:dyDescent="0.3">
      <c r="A52" s="78"/>
      <c r="B52" s="78"/>
      <c r="C52" s="78"/>
      <c r="D52" s="78"/>
      <c r="E52" s="78"/>
      <c r="F52" s="78"/>
      <c r="G52" s="1"/>
      <c r="H52" s="1"/>
      <c r="I52" s="1"/>
      <c r="J52" s="1"/>
      <c r="K52" s="1"/>
      <c r="L52" s="1"/>
      <c r="M52" s="1"/>
      <c r="N52" s="1"/>
      <c r="O52" s="1"/>
    </row>
    <row r="53" spans="1:15" ht="30" hidden="1" customHeight="1" x14ac:dyDescent="0.3">
      <c r="A53" s="78"/>
      <c r="B53" s="78"/>
      <c r="C53" s="78"/>
      <c r="D53" s="78"/>
      <c r="E53" s="78"/>
      <c r="F53" s="78"/>
      <c r="G53" s="1"/>
      <c r="H53" s="1"/>
      <c r="I53" s="1"/>
      <c r="J53" s="1"/>
      <c r="K53" s="1"/>
      <c r="L53" s="1"/>
      <c r="M53" s="1"/>
      <c r="N53" s="1"/>
      <c r="O53" s="1"/>
    </row>
    <row r="54" spans="1:15" ht="30" hidden="1" customHeight="1" x14ac:dyDescent="0.3">
      <c r="A54" s="78"/>
      <c r="B54" s="78"/>
      <c r="C54" s="78"/>
      <c r="D54" s="78"/>
      <c r="E54" s="78"/>
      <c r="F54" s="78"/>
      <c r="G54" s="345"/>
      <c r="H54" s="345"/>
      <c r="I54" s="345"/>
      <c r="J54" s="345"/>
      <c r="K54" s="345"/>
      <c r="L54" s="345"/>
      <c r="M54" s="345"/>
      <c r="N54" s="345"/>
      <c r="O54" s="345"/>
    </row>
    <row r="55" spans="1:15" ht="30" hidden="1" customHeight="1" x14ac:dyDescent="0.3">
      <c r="A55" s="78"/>
      <c r="B55" s="78"/>
      <c r="C55" s="78"/>
      <c r="D55" s="78"/>
      <c r="E55" s="78"/>
      <c r="F55" s="78"/>
      <c r="G55" s="78"/>
      <c r="H55" s="1"/>
      <c r="I55" s="1"/>
      <c r="J55" s="1"/>
      <c r="K55" s="1"/>
      <c r="L55" s="1"/>
      <c r="M55" s="1"/>
      <c r="N55" s="1"/>
      <c r="O55" s="1"/>
    </row>
    <row r="56" spans="1:15" ht="30" hidden="1" customHeight="1" x14ac:dyDescent="0.3">
      <c r="A56" s="78"/>
      <c r="B56" s="78"/>
      <c r="C56" s="78"/>
      <c r="D56" s="78"/>
      <c r="E56" s="78"/>
      <c r="F56" s="78"/>
      <c r="G56" s="313"/>
      <c r="H56" s="313"/>
      <c r="I56" s="313"/>
      <c r="J56" s="313"/>
      <c r="K56" s="313"/>
      <c r="L56" s="313"/>
      <c r="M56" s="313"/>
      <c r="N56" s="313"/>
      <c r="O56" s="313"/>
    </row>
    <row r="57" spans="1:15" ht="30" hidden="1" customHeight="1" x14ac:dyDescent="0.3">
      <c r="A57" s="78"/>
      <c r="B57" s="78"/>
      <c r="C57" s="78"/>
      <c r="D57" s="78"/>
      <c r="E57" s="78"/>
      <c r="F57" s="78"/>
      <c r="G57" s="1"/>
      <c r="H57" s="1"/>
      <c r="I57" s="1"/>
      <c r="J57" s="1"/>
      <c r="K57" s="1"/>
      <c r="L57" s="1"/>
      <c r="M57" s="1"/>
      <c r="N57" s="1"/>
      <c r="O57" s="1"/>
    </row>
    <row r="58" spans="1:15" ht="30" hidden="1" customHeight="1" x14ac:dyDescent="0.3">
      <c r="A58" s="78"/>
      <c r="B58" s="78"/>
      <c r="C58" s="78"/>
      <c r="D58" s="78"/>
      <c r="E58" s="78"/>
      <c r="F58" s="78"/>
      <c r="G58" s="313"/>
      <c r="H58" s="313"/>
      <c r="I58" s="313"/>
      <c r="J58" s="1"/>
      <c r="K58" s="1"/>
      <c r="L58" s="1"/>
      <c r="M58" s="1"/>
      <c r="N58" s="1"/>
      <c r="O58" s="1"/>
    </row>
    <row r="59" spans="1:15" ht="30" hidden="1" customHeight="1" x14ac:dyDescent="0.3">
      <c r="A59" s="78"/>
      <c r="B59" s="78"/>
      <c r="C59" s="78"/>
      <c r="D59" s="78"/>
      <c r="E59" s="78"/>
      <c r="F59" s="78"/>
      <c r="G59" s="1"/>
      <c r="H59" s="1"/>
      <c r="I59" s="1"/>
      <c r="J59" s="1"/>
      <c r="K59" s="1"/>
      <c r="L59" s="1"/>
      <c r="M59" s="1"/>
      <c r="N59" s="1"/>
      <c r="O59" s="1"/>
    </row>
    <row r="60" spans="1:15" ht="30" hidden="1" customHeight="1" x14ac:dyDescent="0.3">
      <c r="A60" s="78"/>
      <c r="B60" s="78"/>
      <c r="C60" s="78"/>
      <c r="D60" s="78"/>
      <c r="E60" s="78"/>
      <c r="F60" s="78"/>
      <c r="G60" s="1"/>
      <c r="H60" s="1"/>
      <c r="I60" s="1"/>
      <c r="J60" s="1"/>
      <c r="K60" s="1"/>
      <c r="L60" s="1"/>
      <c r="M60" s="1"/>
      <c r="N60" s="1"/>
      <c r="O60" s="1"/>
    </row>
    <row r="61" spans="1:15" ht="30" hidden="1" customHeight="1" x14ac:dyDescent="0.3">
      <c r="A61" s="78"/>
      <c r="B61" s="78"/>
      <c r="C61" s="78"/>
      <c r="D61" s="78"/>
      <c r="E61" s="78"/>
      <c r="F61" s="78"/>
      <c r="G61" s="1"/>
      <c r="H61" s="1"/>
      <c r="I61" s="1"/>
      <c r="J61" s="1"/>
      <c r="K61" s="1"/>
      <c r="L61" s="1"/>
      <c r="M61" s="1"/>
      <c r="N61" s="1"/>
      <c r="O61" s="1"/>
    </row>
    <row r="62" spans="1:15" ht="30" hidden="1" customHeight="1" x14ac:dyDescent="0.3">
      <c r="A62" s="78"/>
      <c r="B62" s="78"/>
      <c r="C62" s="78"/>
      <c r="D62" s="78"/>
      <c r="E62" s="78"/>
      <c r="F62" s="78"/>
      <c r="G62" s="1"/>
      <c r="H62" s="1"/>
      <c r="I62" s="1"/>
      <c r="J62" s="1"/>
      <c r="K62" s="1"/>
      <c r="L62" s="1"/>
      <c r="M62" s="1"/>
      <c r="N62" s="1"/>
      <c r="O62" s="1"/>
    </row>
    <row r="63" spans="1:15" ht="30" hidden="1" customHeight="1" x14ac:dyDescent="0.3">
      <c r="A63" s="78"/>
      <c r="B63" s="78"/>
      <c r="C63" s="78"/>
      <c r="D63" s="78"/>
      <c r="E63" s="78"/>
      <c r="F63" s="78"/>
      <c r="G63" s="1"/>
      <c r="H63" s="1"/>
      <c r="I63" s="1"/>
      <c r="J63" s="1"/>
      <c r="K63" s="1"/>
      <c r="L63" s="1"/>
      <c r="M63" s="1"/>
      <c r="N63" s="1"/>
      <c r="O63" s="1"/>
    </row>
    <row r="64" spans="1:15" ht="30" hidden="1" customHeight="1" x14ac:dyDescent="0.3">
      <c r="A64" s="78"/>
      <c r="B64" s="78"/>
      <c r="C64" s="78"/>
      <c r="D64" s="78"/>
      <c r="E64" s="78"/>
      <c r="F64" s="78"/>
      <c r="G64" s="1"/>
      <c r="H64" s="1"/>
      <c r="I64" s="1"/>
      <c r="J64" s="1"/>
      <c r="K64" s="1"/>
      <c r="L64" s="1"/>
      <c r="M64" s="1"/>
      <c r="N64" s="1"/>
      <c r="O64" s="1"/>
    </row>
    <row r="65" spans="1:15" ht="30" hidden="1" customHeight="1" x14ac:dyDescent="0.3">
      <c r="A65" s="78"/>
      <c r="B65" s="78"/>
      <c r="C65" s="78"/>
      <c r="D65" s="78"/>
      <c r="E65" s="78"/>
      <c r="F65" s="78"/>
      <c r="G65" s="1"/>
      <c r="H65" s="1"/>
      <c r="I65" s="1"/>
      <c r="J65" s="1"/>
      <c r="K65" s="1"/>
      <c r="L65" s="1"/>
      <c r="M65" s="1"/>
      <c r="N65" s="1"/>
      <c r="O65" s="1"/>
    </row>
    <row r="66" spans="1:15" ht="30" hidden="1" customHeight="1" x14ac:dyDescent="0.3">
      <c r="A66" s="78"/>
      <c r="B66" s="78"/>
      <c r="C66" s="78"/>
      <c r="D66" s="78"/>
      <c r="E66" s="78"/>
      <c r="F66" s="78"/>
      <c r="G66" s="1"/>
      <c r="H66" s="1"/>
      <c r="I66" s="1"/>
      <c r="J66" s="1"/>
      <c r="K66" s="1"/>
      <c r="L66" s="1"/>
      <c r="M66" s="1"/>
      <c r="N66" s="1"/>
      <c r="O66" s="1"/>
    </row>
    <row r="67" spans="1:15" ht="30" hidden="1" customHeight="1" x14ac:dyDescent="0.3">
      <c r="A67" s="78"/>
      <c r="B67" s="78"/>
      <c r="C67" s="78"/>
      <c r="D67" s="78"/>
      <c r="E67" s="78"/>
      <c r="F67" s="78"/>
      <c r="G67" s="78"/>
      <c r="H67" s="1"/>
      <c r="I67" s="1"/>
      <c r="J67" s="1"/>
      <c r="K67" s="1"/>
      <c r="L67" s="1"/>
      <c r="M67" s="1"/>
      <c r="N67" s="1"/>
      <c r="O67" s="1"/>
    </row>
    <row r="68" spans="1:15" ht="30" hidden="1" customHeight="1" x14ac:dyDescent="0.3">
      <c r="A68" s="78"/>
      <c r="B68" s="78"/>
      <c r="C68" s="78"/>
      <c r="D68" s="78"/>
      <c r="E68" s="78"/>
      <c r="F68" s="78"/>
      <c r="G68" s="313"/>
      <c r="H68" s="313"/>
      <c r="I68" s="313"/>
      <c r="J68" s="313"/>
      <c r="K68" s="313"/>
      <c r="L68" s="313"/>
      <c r="M68" s="313"/>
      <c r="N68" s="313"/>
      <c r="O68" s="313"/>
    </row>
    <row r="69" spans="1:15" ht="30" hidden="1" customHeight="1" x14ac:dyDescent="0.3">
      <c r="A69" s="78"/>
      <c r="B69" s="78"/>
      <c r="C69" s="78"/>
      <c r="D69" s="78"/>
      <c r="E69" s="78"/>
      <c r="F69" s="78"/>
      <c r="G69" s="1"/>
      <c r="H69" s="1"/>
      <c r="I69" s="1"/>
      <c r="J69" s="1"/>
      <c r="K69" s="1"/>
      <c r="L69" s="1"/>
      <c r="M69" s="1"/>
      <c r="N69" s="1"/>
      <c r="O69" s="1"/>
    </row>
    <row r="70" spans="1:15" ht="30" hidden="1" customHeight="1" x14ac:dyDescent="0.3">
      <c r="A70" s="78"/>
      <c r="B70" s="78"/>
      <c r="C70" s="78"/>
      <c r="D70" s="78"/>
      <c r="E70" s="78"/>
      <c r="F70" s="78"/>
      <c r="G70" s="313"/>
      <c r="H70" s="313"/>
      <c r="I70" s="313"/>
      <c r="J70" s="1"/>
      <c r="K70" s="1"/>
      <c r="L70" s="1"/>
      <c r="M70" s="1"/>
      <c r="N70" s="1"/>
      <c r="O70" s="1"/>
    </row>
    <row r="71" spans="1:15" ht="30" hidden="1" customHeight="1" x14ac:dyDescent="0.3">
      <c r="A71" s="78"/>
      <c r="B71" s="78"/>
      <c r="C71" s="78"/>
      <c r="D71" s="78"/>
      <c r="E71" s="78"/>
      <c r="F71" s="78"/>
      <c r="G71" s="1"/>
      <c r="H71" s="1"/>
      <c r="I71" s="1"/>
      <c r="J71" s="1"/>
      <c r="K71" s="1"/>
      <c r="L71" s="1"/>
      <c r="M71" s="1"/>
      <c r="N71" s="1"/>
      <c r="O71" s="1"/>
    </row>
    <row r="72" spans="1:15" ht="30" hidden="1" customHeight="1" x14ac:dyDescent="0.3">
      <c r="A72" s="78"/>
      <c r="B72" s="78"/>
      <c r="C72" s="78"/>
      <c r="D72" s="78"/>
      <c r="E72" s="78"/>
      <c r="F72" s="78"/>
      <c r="G72" s="1"/>
      <c r="H72" s="1"/>
      <c r="I72" s="1"/>
      <c r="J72" s="1"/>
      <c r="K72" s="1"/>
      <c r="L72" s="1"/>
      <c r="M72" s="1"/>
      <c r="N72" s="1"/>
      <c r="O72" s="1"/>
    </row>
    <row r="73" spans="1:15" ht="30" hidden="1" customHeight="1" x14ac:dyDescent="0.3">
      <c r="A73" s="78"/>
      <c r="B73" s="78"/>
      <c r="C73" s="78"/>
      <c r="D73" s="78"/>
      <c r="E73" s="78"/>
      <c r="F73" s="78"/>
      <c r="G73" s="1"/>
      <c r="H73" s="1"/>
      <c r="I73" s="1"/>
      <c r="J73" s="1"/>
      <c r="K73" s="1"/>
      <c r="L73" s="1"/>
      <c r="M73" s="1"/>
      <c r="N73" s="1"/>
      <c r="O73" s="1"/>
    </row>
    <row r="74" spans="1:15" ht="30" hidden="1" customHeight="1" x14ac:dyDescent="0.3">
      <c r="A74" s="78"/>
      <c r="B74" s="78"/>
      <c r="C74" s="78"/>
      <c r="D74" s="78"/>
      <c r="E74" s="78"/>
      <c r="F74" s="78"/>
      <c r="G74" s="1"/>
      <c r="H74" s="1"/>
      <c r="I74" s="1"/>
      <c r="J74" s="1"/>
      <c r="K74" s="1"/>
      <c r="L74" s="1"/>
      <c r="M74" s="1"/>
      <c r="N74" s="1"/>
      <c r="O74" s="1"/>
    </row>
    <row r="75" spans="1:15" ht="30" hidden="1" customHeight="1" x14ac:dyDescent="0.3">
      <c r="A75" s="78"/>
      <c r="B75" s="78"/>
      <c r="C75" s="78"/>
      <c r="D75" s="78"/>
      <c r="E75" s="78"/>
      <c r="F75" s="78"/>
      <c r="G75" s="1"/>
      <c r="H75" s="1"/>
      <c r="I75" s="1"/>
      <c r="J75" s="1"/>
      <c r="K75" s="1"/>
      <c r="L75" s="1"/>
      <c r="M75" s="1"/>
      <c r="N75" s="1"/>
      <c r="O75" s="1"/>
    </row>
    <row r="76" spans="1:15" ht="30" hidden="1" customHeight="1" x14ac:dyDescent="0.3">
      <c r="A76" s="78"/>
      <c r="B76" s="78"/>
      <c r="C76" s="78"/>
      <c r="D76" s="78"/>
      <c r="E76" s="78"/>
      <c r="F76" s="78"/>
      <c r="G76" s="1"/>
      <c r="H76" s="1"/>
      <c r="I76" s="1"/>
      <c r="J76" s="1"/>
      <c r="K76" s="1"/>
      <c r="L76" s="1"/>
      <c r="M76" s="1"/>
      <c r="N76" s="1"/>
      <c r="O76" s="1"/>
    </row>
    <row r="77" spans="1:15" ht="30" hidden="1" customHeight="1" x14ac:dyDescent="0.3">
      <c r="A77" s="78"/>
      <c r="B77" s="78"/>
      <c r="C77" s="78"/>
      <c r="D77" s="78"/>
      <c r="E77" s="78"/>
      <c r="F77" s="78"/>
      <c r="G77" s="1"/>
      <c r="H77" s="1"/>
      <c r="I77" s="1"/>
      <c r="J77" s="1"/>
      <c r="K77" s="1"/>
      <c r="L77" s="1"/>
      <c r="M77" s="1"/>
      <c r="N77" s="1"/>
      <c r="O77" s="1"/>
    </row>
    <row r="78" spans="1:15" ht="30" hidden="1" customHeight="1" x14ac:dyDescent="0.3">
      <c r="A78" s="78"/>
      <c r="B78" s="78"/>
      <c r="C78" s="78"/>
      <c r="D78" s="78"/>
      <c r="E78" s="78"/>
      <c r="F78" s="78"/>
      <c r="G78" s="1"/>
      <c r="H78" s="1"/>
      <c r="I78" s="1"/>
      <c r="J78" s="1"/>
      <c r="K78" s="1"/>
      <c r="L78" s="1"/>
      <c r="M78" s="1"/>
      <c r="N78" s="1"/>
      <c r="O78" s="1"/>
    </row>
    <row r="79" spans="1:15" ht="30" hidden="1" customHeight="1" x14ac:dyDescent="0.3">
      <c r="A79" s="78"/>
      <c r="B79" s="78"/>
      <c r="C79" s="78"/>
      <c r="D79" s="78"/>
      <c r="E79" s="78"/>
      <c r="F79" s="78"/>
    </row>
    <row r="80" spans="1:15" ht="30" hidden="1" customHeight="1" x14ac:dyDescent="0.3">
      <c r="A80" s="78"/>
      <c r="B80" s="78"/>
      <c r="C80" s="78"/>
      <c r="D80" s="78"/>
      <c r="E80" s="78"/>
      <c r="F80" s="78"/>
      <c r="G80" s="78"/>
      <c r="H80" s="1"/>
      <c r="I80" s="1"/>
      <c r="J80" s="1"/>
      <c r="K80" s="1"/>
      <c r="L80" s="1"/>
      <c r="M80" s="1"/>
      <c r="N80" s="1"/>
      <c r="O80" s="1"/>
    </row>
    <row r="81" spans="1:15" ht="30" hidden="1" customHeight="1" x14ac:dyDescent="0.3">
      <c r="A81" s="78"/>
      <c r="B81" s="78"/>
      <c r="C81" s="78"/>
      <c r="D81" s="78"/>
      <c r="E81" s="78"/>
      <c r="F81" s="78"/>
      <c r="G81" s="313"/>
      <c r="H81" s="313"/>
      <c r="I81" s="313"/>
      <c r="J81" s="313"/>
      <c r="K81" s="313"/>
      <c r="L81" s="313"/>
      <c r="M81" s="313"/>
      <c r="N81" s="313"/>
      <c r="O81" s="313"/>
    </row>
    <row r="82" spans="1:15" ht="30" hidden="1" customHeight="1" x14ac:dyDescent="0.3">
      <c r="A82" s="78"/>
      <c r="B82" s="78"/>
      <c r="C82" s="78"/>
      <c r="D82" s="78"/>
      <c r="E82" s="78"/>
      <c r="F82" s="78"/>
      <c r="G82" s="1"/>
      <c r="H82" s="1"/>
      <c r="I82" s="1"/>
      <c r="J82" s="1"/>
      <c r="K82" s="1"/>
      <c r="L82" s="1"/>
      <c r="M82" s="1"/>
      <c r="N82" s="1"/>
      <c r="O82" s="1"/>
    </row>
    <row r="83" spans="1:15" ht="30" hidden="1" customHeight="1" x14ac:dyDescent="0.3">
      <c r="A83" s="78"/>
      <c r="B83" s="78"/>
      <c r="C83" s="78"/>
      <c r="D83" s="78"/>
      <c r="E83" s="78"/>
      <c r="F83" s="78"/>
      <c r="G83" s="313"/>
      <c r="H83" s="313"/>
      <c r="I83" s="313"/>
      <c r="J83" s="1"/>
      <c r="K83" s="1"/>
      <c r="L83" s="1"/>
      <c r="M83" s="1"/>
      <c r="N83" s="1"/>
      <c r="O83" s="1"/>
    </row>
    <row r="84" spans="1:15" ht="30" hidden="1" customHeight="1" x14ac:dyDescent="0.3">
      <c r="A84" s="78"/>
      <c r="B84" s="78"/>
      <c r="C84" s="78"/>
      <c r="D84" s="78"/>
      <c r="E84" s="78"/>
      <c r="F84" s="78"/>
      <c r="G84" s="1"/>
      <c r="H84" s="1"/>
      <c r="I84" s="1"/>
      <c r="J84" s="1"/>
      <c r="K84" s="1"/>
      <c r="L84" s="1"/>
      <c r="M84" s="1"/>
      <c r="N84" s="1"/>
      <c r="O84" s="1"/>
    </row>
    <row r="85" spans="1:15" ht="30" hidden="1" customHeight="1" x14ac:dyDescent="0.3">
      <c r="A85" s="78"/>
      <c r="B85" s="78"/>
      <c r="C85" s="78"/>
      <c r="D85" s="78"/>
      <c r="E85" s="78"/>
      <c r="F85" s="78"/>
      <c r="G85" s="1"/>
      <c r="H85" s="1"/>
      <c r="I85" s="1"/>
      <c r="J85" s="1"/>
      <c r="K85" s="1"/>
      <c r="L85" s="1"/>
      <c r="M85" s="1"/>
      <c r="N85" s="1"/>
      <c r="O85" s="1"/>
    </row>
    <row r="86" spans="1:15" ht="30" hidden="1" customHeight="1" x14ac:dyDescent="0.3">
      <c r="A86" s="78"/>
      <c r="B86" s="78"/>
      <c r="C86" s="78"/>
      <c r="D86" s="78"/>
      <c r="E86" s="78"/>
      <c r="F86" s="78"/>
      <c r="G86" s="1"/>
      <c r="H86" s="1"/>
      <c r="I86" s="1"/>
      <c r="J86" s="1"/>
      <c r="K86" s="1"/>
      <c r="L86" s="1"/>
      <c r="M86" s="1"/>
      <c r="N86" s="1"/>
      <c r="O86" s="1"/>
    </row>
    <row r="87" spans="1:15" ht="30" hidden="1" customHeight="1" x14ac:dyDescent="0.3">
      <c r="A87" s="78"/>
      <c r="B87" s="78"/>
      <c r="C87" s="78"/>
      <c r="D87" s="78"/>
      <c r="E87" s="78"/>
      <c r="F87" s="78"/>
      <c r="G87" s="1"/>
      <c r="H87" s="1"/>
      <c r="I87" s="1"/>
      <c r="J87" s="1"/>
      <c r="K87" s="1"/>
      <c r="L87" s="1"/>
      <c r="M87" s="1"/>
      <c r="N87" s="1"/>
      <c r="O87" s="1"/>
    </row>
    <row r="88" spans="1:15" ht="30" hidden="1" customHeight="1" x14ac:dyDescent="0.3">
      <c r="A88" s="78"/>
      <c r="B88" s="78"/>
      <c r="C88" s="78"/>
      <c r="D88" s="78"/>
      <c r="E88" s="78"/>
      <c r="F88" s="78"/>
      <c r="G88" s="1"/>
      <c r="H88" s="1"/>
      <c r="I88" s="1"/>
      <c r="J88" s="1"/>
      <c r="K88" s="1"/>
      <c r="L88" s="1"/>
      <c r="M88" s="1"/>
      <c r="N88" s="1"/>
      <c r="O88" s="1"/>
    </row>
    <row r="89" spans="1:15" ht="30" hidden="1" customHeight="1" x14ac:dyDescent="0.3">
      <c r="A89" s="78"/>
      <c r="B89" s="78"/>
      <c r="C89" s="78"/>
      <c r="D89" s="78"/>
      <c r="E89" s="78"/>
      <c r="F89" s="78"/>
      <c r="G89" s="1"/>
      <c r="H89" s="1"/>
      <c r="I89" s="1"/>
      <c r="J89" s="1"/>
      <c r="K89" s="1"/>
      <c r="L89" s="1"/>
      <c r="M89" s="1"/>
      <c r="N89" s="1"/>
      <c r="O89" s="1"/>
    </row>
    <row r="90" spans="1:15" ht="30" hidden="1" customHeight="1" x14ac:dyDescent="0.3">
      <c r="A90" s="78"/>
      <c r="B90" s="78"/>
      <c r="C90" s="78"/>
      <c r="D90" s="78"/>
      <c r="E90" s="78"/>
      <c r="F90" s="78"/>
      <c r="G90" s="1"/>
      <c r="H90" s="1"/>
      <c r="I90" s="1"/>
      <c r="J90" s="1"/>
      <c r="K90" s="1"/>
      <c r="L90" s="1"/>
      <c r="M90" s="1"/>
      <c r="N90" s="1"/>
      <c r="O90" s="1"/>
    </row>
    <row r="91" spans="1:15" ht="30" hidden="1" customHeight="1" x14ac:dyDescent="0.3">
      <c r="A91" s="78"/>
      <c r="B91" s="78"/>
      <c r="C91" s="78"/>
      <c r="D91" s="78"/>
      <c r="E91" s="78"/>
      <c r="F91" s="78"/>
      <c r="G91" s="1"/>
      <c r="H91" s="1"/>
      <c r="I91" s="1"/>
      <c r="J91" s="1"/>
      <c r="K91" s="1"/>
      <c r="L91" s="1"/>
      <c r="M91" s="1"/>
      <c r="N91" s="1"/>
      <c r="O91" s="1"/>
    </row>
    <row r="92" spans="1:15" ht="30" hidden="1" customHeight="1" x14ac:dyDescent="0.3">
      <c r="A92" s="78"/>
      <c r="B92" s="78"/>
      <c r="C92" s="78"/>
      <c r="D92" s="78"/>
      <c r="E92" s="78"/>
      <c r="F92" s="78"/>
    </row>
    <row r="93" spans="1:15" ht="30" hidden="1" customHeight="1" x14ac:dyDescent="0.3">
      <c r="A93" s="78"/>
      <c r="B93" s="78"/>
      <c r="C93" s="78"/>
      <c r="D93" s="78"/>
      <c r="E93" s="78"/>
      <c r="F93" s="78"/>
      <c r="G93" s="78"/>
      <c r="H93" s="1"/>
      <c r="I93" s="1"/>
      <c r="J93" s="1"/>
      <c r="K93" s="1"/>
      <c r="L93" s="1"/>
      <c r="M93" s="1"/>
      <c r="N93" s="1"/>
      <c r="O93" s="1"/>
    </row>
    <row r="94" spans="1:15" ht="30" hidden="1" customHeight="1" x14ac:dyDescent="0.3">
      <c r="A94" s="78"/>
      <c r="B94" s="78"/>
      <c r="C94" s="78"/>
      <c r="D94" s="78"/>
      <c r="E94" s="78"/>
      <c r="F94" s="78"/>
      <c r="G94" s="313"/>
      <c r="H94" s="313"/>
      <c r="I94" s="313"/>
      <c r="J94" s="313"/>
      <c r="K94" s="313"/>
      <c r="L94" s="313"/>
      <c r="M94" s="313"/>
      <c r="N94" s="313"/>
      <c r="O94" s="313"/>
    </row>
    <row r="95" spans="1:15" ht="30" hidden="1" customHeight="1" x14ac:dyDescent="0.3">
      <c r="A95" s="78"/>
      <c r="B95" s="78"/>
      <c r="C95" s="78"/>
      <c r="D95" s="78"/>
      <c r="E95" s="78"/>
      <c r="F95" s="78"/>
      <c r="G95" s="1"/>
      <c r="H95" s="1"/>
      <c r="I95" s="1"/>
      <c r="J95" s="1"/>
      <c r="K95" s="1"/>
      <c r="L95" s="1"/>
      <c r="M95" s="1"/>
      <c r="N95" s="1"/>
      <c r="O95" s="1"/>
    </row>
    <row r="96" spans="1:15" ht="30" hidden="1" customHeight="1" x14ac:dyDescent="0.3">
      <c r="A96" s="78"/>
      <c r="B96" s="78"/>
      <c r="C96" s="78"/>
      <c r="D96" s="78"/>
      <c r="E96" s="78"/>
      <c r="F96" s="78"/>
      <c r="G96" s="313"/>
      <c r="H96" s="313"/>
      <c r="I96" s="313"/>
      <c r="J96" s="1"/>
      <c r="K96" s="1"/>
      <c r="L96" s="1"/>
      <c r="M96" s="1"/>
      <c r="N96" s="1"/>
      <c r="O96" s="1"/>
    </row>
    <row r="97" spans="1:15" ht="30" hidden="1" customHeight="1" x14ac:dyDescent="0.3">
      <c r="A97" s="78"/>
      <c r="B97" s="78"/>
      <c r="C97" s="78"/>
      <c r="D97" s="78"/>
      <c r="E97" s="78"/>
      <c r="F97" s="78"/>
      <c r="G97" s="1"/>
      <c r="H97" s="1"/>
      <c r="I97" s="1"/>
      <c r="J97" s="1"/>
      <c r="K97" s="1"/>
      <c r="L97" s="1"/>
      <c r="M97" s="1"/>
      <c r="N97" s="1"/>
      <c r="O97" s="1"/>
    </row>
    <row r="98" spans="1:15" ht="30" hidden="1" customHeight="1" x14ac:dyDescent="0.3">
      <c r="A98" s="78"/>
      <c r="B98" s="78"/>
      <c r="C98" s="78"/>
      <c r="D98" s="78"/>
      <c r="E98" s="78"/>
      <c r="F98" s="78"/>
      <c r="G98" s="1"/>
      <c r="H98" s="1"/>
      <c r="I98" s="1"/>
      <c r="J98" s="1"/>
      <c r="K98" s="1"/>
      <c r="L98" s="1"/>
      <c r="M98" s="1"/>
      <c r="N98" s="1"/>
      <c r="O98" s="1"/>
    </row>
    <row r="99" spans="1:15" ht="30" hidden="1" customHeight="1" x14ac:dyDescent="0.3">
      <c r="A99" s="78"/>
      <c r="B99" s="78"/>
      <c r="C99" s="78"/>
      <c r="D99" s="78"/>
      <c r="E99" s="78"/>
      <c r="F99" s="78"/>
      <c r="G99" s="1"/>
      <c r="H99" s="1"/>
      <c r="I99" s="1"/>
      <c r="J99" s="1"/>
      <c r="K99" s="1"/>
      <c r="L99" s="1"/>
      <c r="M99" s="1"/>
      <c r="N99" s="1"/>
      <c r="O99" s="1"/>
    </row>
    <row r="100" spans="1:15" ht="30" hidden="1" customHeight="1" x14ac:dyDescent="0.3">
      <c r="A100" s="78"/>
      <c r="B100" s="78"/>
      <c r="C100" s="78"/>
      <c r="D100" s="78"/>
      <c r="E100" s="78"/>
      <c r="F100" s="78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30" hidden="1" customHeight="1" x14ac:dyDescent="0.3">
      <c r="A101" s="78"/>
      <c r="B101" s="78"/>
      <c r="C101" s="78"/>
      <c r="D101" s="78"/>
      <c r="E101" s="78"/>
      <c r="F101" s="78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30" hidden="1" customHeight="1" x14ac:dyDescent="0.3">
      <c r="A102" s="78"/>
      <c r="B102" s="78"/>
      <c r="C102" s="78"/>
      <c r="D102" s="78"/>
      <c r="E102" s="78"/>
      <c r="F102" s="78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30" hidden="1" customHeight="1" x14ac:dyDescent="0.3">
      <c r="A103" s="78"/>
      <c r="B103" s="78"/>
      <c r="C103" s="78"/>
      <c r="D103" s="78"/>
      <c r="E103" s="78"/>
      <c r="F103" s="78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30" hidden="1" customHeight="1" x14ac:dyDescent="0.3">
      <c r="A104" s="78"/>
      <c r="B104" s="78"/>
      <c r="C104" s="78"/>
      <c r="D104" s="78"/>
      <c r="E104" s="78"/>
      <c r="F104" s="78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30" hidden="1" customHeight="1" x14ac:dyDescent="0.3">
      <c r="A105" s="78"/>
      <c r="B105" s="78"/>
      <c r="C105" s="78"/>
      <c r="D105" s="78"/>
      <c r="E105" s="78"/>
      <c r="F105" s="78"/>
    </row>
    <row r="106" spans="1:15" ht="30" hidden="1" customHeight="1" x14ac:dyDescent="0.3">
      <c r="A106" s="78"/>
      <c r="B106" s="78"/>
      <c r="C106" s="78"/>
      <c r="D106" s="78"/>
      <c r="E106" s="78"/>
      <c r="F106" s="78"/>
      <c r="G106" s="78"/>
      <c r="H106" s="1"/>
      <c r="I106" s="1"/>
      <c r="J106" s="1"/>
      <c r="K106" s="1"/>
      <c r="L106" s="1"/>
      <c r="M106" s="1"/>
      <c r="N106" s="1"/>
      <c r="O106" s="1"/>
    </row>
    <row r="107" spans="1:15" ht="30" hidden="1" customHeight="1" x14ac:dyDescent="0.3">
      <c r="A107" s="78"/>
      <c r="B107" s="78"/>
      <c r="C107" s="78"/>
      <c r="D107" s="78"/>
      <c r="E107" s="78"/>
      <c r="F107" s="78"/>
      <c r="G107" s="313"/>
      <c r="H107" s="313"/>
      <c r="I107" s="313"/>
      <c r="J107" s="313"/>
      <c r="K107" s="313"/>
      <c r="L107" s="313"/>
      <c r="M107" s="313"/>
      <c r="N107" s="313"/>
      <c r="O107" s="313"/>
    </row>
    <row r="108" spans="1:15" ht="30" hidden="1" customHeight="1" x14ac:dyDescent="0.3">
      <c r="A108" s="78"/>
      <c r="B108" s="78"/>
      <c r="C108" s="78"/>
      <c r="D108" s="78"/>
      <c r="E108" s="78"/>
      <c r="F108" s="78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30" hidden="1" customHeight="1" x14ac:dyDescent="0.3">
      <c r="A109" s="78"/>
      <c r="B109" s="78"/>
      <c r="C109" s="78"/>
      <c r="D109" s="78"/>
      <c r="E109" s="78"/>
      <c r="F109" s="78"/>
      <c r="G109" s="313"/>
      <c r="H109" s="313"/>
      <c r="I109" s="313"/>
      <c r="J109" s="1"/>
      <c r="K109" s="1"/>
      <c r="L109" s="1"/>
      <c r="M109" s="1"/>
      <c r="N109" s="1"/>
      <c r="O109" s="1"/>
    </row>
    <row r="110" spans="1:15" ht="30" hidden="1" customHeight="1" x14ac:dyDescent="0.3">
      <c r="A110" s="78"/>
      <c r="B110" s="78"/>
      <c r="C110" s="78"/>
      <c r="D110" s="78"/>
      <c r="E110" s="78"/>
      <c r="F110" s="78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30" hidden="1" customHeight="1" x14ac:dyDescent="0.3">
      <c r="A111" s="78"/>
      <c r="B111" s="78"/>
      <c r="C111" s="78"/>
      <c r="D111" s="78"/>
      <c r="E111" s="78"/>
      <c r="F111" s="78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30" hidden="1" customHeight="1" x14ac:dyDescent="0.3">
      <c r="A112" s="78"/>
      <c r="B112" s="78"/>
      <c r="C112" s="78"/>
      <c r="D112" s="78"/>
      <c r="E112" s="78"/>
      <c r="F112" s="78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30" hidden="1" customHeight="1" x14ac:dyDescent="0.3">
      <c r="A113" s="78"/>
      <c r="B113" s="78"/>
      <c r="C113" s="78"/>
      <c r="D113" s="78"/>
      <c r="E113" s="78"/>
      <c r="F113" s="78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30" hidden="1" customHeight="1" x14ac:dyDescent="0.3">
      <c r="A114" s="78"/>
      <c r="B114" s="78"/>
      <c r="C114" s="78"/>
      <c r="D114" s="78"/>
      <c r="E114" s="78"/>
      <c r="F114" s="78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30" hidden="1" customHeight="1" x14ac:dyDescent="0.3">
      <c r="A115" s="78"/>
      <c r="B115" s="78"/>
      <c r="C115" s="78"/>
      <c r="D115" s="78"/>
      <c r="E115" s="78"/>
      <c r="F115" s="78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30" hidden="1" customHeight="1" x14ac:dyDescent="0.3">
      <c r="A116" s="78"/>
      <c r="B116" s="78"/>
      <c r="C116" s="78"/>
      <c r="D116" s="78"/>
      <c r="E116" s="78"/>
      <c r="F116" s="78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30" hidden="1" customHeight="1" x14ac:dyDescent="0.3">
      <c r="A117" s="78"/>
      <c r="B117" s="78"/>
      <c r="C117" s="78"/>
      <c r="D117" s="78"/>
      <c r="E117" s="78"/>
      <c r="F117" s="78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30" hidden="1" customHeight="1" x14ac:dyDescent="0.3">
      <c r="A118" s="78"/>
      <c r="B118" s="78"/>
      <c r="C118" s="78"/>
      <c r="D118" s="78"/>
      <c r="E118" s="78"/>
      <c r="F118" s="78"/>
    </row>
    <row r="119" spans="1:15" ht="30" hidden="1" customHeight="1" x14ac:dyDescent="0.3">
      <c r="A119" s="78"/>
      <c r="B119" s="78"/>
      <c r="C119" s="78"/>
      <c r="D119" s="78"/>
      <c r="E119" s="78"/>
      <c r="F119" s="78"/>
      <c r="G119" s="78"/>
      <c r="H119" s="1"/>
      <c r="I119" s="1"/>
      <c r="J119" s="1"/>
      <c r="K119" s="1"/>
      <c r="L119" s="1"/>
      <c r="M119" s="1"/>
      <c r="N119" s="1"/>
      <c r="O119" s="1"/>
    </row>
    <row r="120" spans="1:15" ht="30" hidden="1" customHeight="1" x14ac:dyDescent="0.3">
      <c r="A120" s="78"/>
      <c r="B120" s="78"/>
      <c r="C120" s="78"/>
      <c r="D120" s="78"/>
      <c r="E120" s="78"/>
      <c r="F120" s="78"/>
      <c r="G120" s="313"/>
      <c r="H120" s="313"/>
      <c r="I120" s="313"/>
      <c r="J120" s="313"/>
      <c r="K120" s="313"/>
      <c r="L120" s="313"/>
      <c r="M120" s="313"/>
      <c r="N120" s="313"/>
      <c r="O120" s="313"/>
    </row>
    <row r="121" spans="1:15" ht="30" hidden="1" customHeight="1" x14ac:dyDescent="0.3">
      <c r="A121" s="78"/>
      <c r="B121" s="78"/>
      <c r="C121" s="78"/>
      <c r="D121" s="78"/>
      <c r="E121" s="78"/>
      <c r="F121" s="78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30" hidden="1" customHeight="1" x14ac:dyDescent="0.3">
      <c r="A122" s="78"/>
      <c r="B122" s="78"/>
      <c r="C122" s="78"/>
      <c r="D122" s="78"/>
      <c r="E122" s="78"/>
      <c r="F122" s="78"/>
      <c r="G122" s="313"/>
      <c r="H122" s="313"/>
      <c r="I122" s="313"/>
      <c r="J122" s="1"/>
      <c r="K122" s="1"/>
      <c r="L122" s="1"/>
      <c r="M122" s="1"/>
      <c r="N122" s="1"/>
      <c r="O122" s="1"/>
    </row>
    <row r="123" spans="1:15" ht="30" hidden="1" customHeight="1" x14ac:dyDescent="0.3">
      <c r="A123" s="78"/>
      <c r="B123" s="78"/>
      <c r="C123" s="78"/>
      <c r="D123" s="78"/>
      <c r="E123" s="78"/>
      <c r="F123" s="78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30" hidden="1" customHeight="1" x14ac:dyDescent="0.3">
      <c r="A124" s="78"/>
      <c r="B124" s="78"/>
      <c r="C124" s="78"/>
      <c r="D124" s="78"/>
      <c r="E124" s="78"/>
      <c r="F124" s="78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30" hidden="1" customHeight="1" x14ac:dyDescent="0.3">
      <c r="A125" s="78"/>
      <c r="B125" s="78"/>
      <c r="C125" s="78"/>
      <c r="D125" s="78"/>
      <c r="E125" s="78"/>
      <c r="F125" s="78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30" hidden="1" customHeight="1" x14ac:dyDescent="0.3">
      <c r="A126" s="78"/>
      <c r="B126" s="78"/>
      <c r="C126" s="78"/>
      <c r="D126" s="78"/>
      <c r="E126" s="78"/>
      <c r="F126" s="78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30" hidden="1" customHeight="1" x14ac:dyDescent="0.3">
      <c r="A127" s="78"/>
      <c r="B127" s="78"/>
      <c r="C127" s="78"/>
      <c r="D127" s="78"/>
      <c r="E127" s="78"/>
      <c r="F127" s="78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30" hidden="1" customHeight="1" x14ac:dyDescent="0.3">
      <c r="A128" s="78"/>
      <c r="B128" s="78"/>
      <c r="C128" s="78"/>
      <c r="D128" s="78"/>
      <c r="E128" s="78"/>
      <c r="F128" s="78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30" hidden="1" customHeight="1" x14ac:dyDescent="0.3">
      <c r="A129" s="78"/>
      <c r="B129" s="78"/>
      <c r="C129" s="78"/>
      <c r="D129" s="78"/>
      <c r="E129" s="78"/>
      <c r="F129" s="78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30" hidden="1" customHeight="1" x14ac:dyDescent="0.3">
      <c r="A130" s="78"/>
      <c r="B130" s="78"/>
      <c r="C130" s="78"/>
      <c r="D130" s="78"/>
      <c r="E130" s="78"/>
      <c r="F130" s="78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30" hidden="1" customHeight="1" x14ac:dyDescent="0.3">
      <c r="A131" s="78"/>
      <c r="B131" s="78"/>
      <c r="C131" s="78"/>
      <c r="D131" s="78"/>
      <c r="E131" s="78"/>
      <c r="F131" s="78"/>
    </row>
    <row r="132" spans="1:15" ht="30" hidden="1" customHeight="1" x14ac:dyDescent="0.3">
      <c r="A132" s="78"/>
      <c r="B132" s="78"/>
      <c r="C132" s="78"/>
      <c r="D132" s="78"/>
      <c r="E132" s="78"/>
      <c r="F132" s="78"/>
      <c r="G132" s="78"/>
      <c r="H132" s="1"/>
      <c r="I132" s="1"/>
      <c r="J132" s="1"/>
      <c r="K132" s="1"/>
      <c r="L132" s="1"/>
      <c r="M132" s="1"/>
      <c r="N132" s="1"/>
      <c r="O132" s="1"/>
    </row>
    <row r="133" spans="1:15" ht="30" hidden="1" customHeight="1" x14ac:dyDescent="0.3">
      <c r="A133" s="78"/>
      <c r="B133" s="78"/>
      <c r="C133" s="78"/>
      <c r="D133" s="78"/>
      <c r="E133" s="78"/>
      <c r="F133" s="78"/>
      <c r="G133" s="313"/>
      <c r="H133" s="313"/>
      <c r="I133" s="313"/>
      <c r="J133" s="313"/>
      <c r="K133" s="313"/>
      <c r="L133" s="313"/>
      <c r="M133" s="313"/>
      <c r="N133" s="313"/>
      <c r="O133" s="313"/>
    </row>
    <row r="134" spans="1:15" ht="30" hidden="1" customHeight="1" x14ac:dyDescent="0.3">
      <c r="A134" s="78"/>
      <c r="B134" s="78"/>
      <c r="C134" s="78"/>
      <c r="D134" s="78"/>
      <c r="E134" s="78"/>
      <c r="F134" s="78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30" hidden="1" customHeight="1" x14ac:dyDescent="0.3">
      <c r="A135" s="78"/>
      <c r="B135" s="78"/>
      <c r="C135" s="78"/>
      <c r="D135" s="78"/>
      <c r="E135" s="78"/>
      <c r="F135" s="78"/>
      <c r="G135" s="313"/>
      <c r="H135" s="313"/>
      <c r="I135" s="313"/>
      <c r="J135" s="1"/>
      <c r="K135" s="1"/>
      <c r="L135" s="1"/>
      <c r="M135" s="1"/>
      <c r="N135" s="1"/>
      <c r="O135" s="1"/>
    </row>
    <row r="136" spans="1:15" ht="30" hidden="1" customHeight="1" x14ac:dyDescent="0.3">
      <c r="A136" s="78"/>
      <c r="B136" s="78"/>
      <c r="C136" s="78"/>
      <c r="D136" s="78"/>
      <c r="E136" s="78"/>
      <c r="F136" s="78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30" hidden="1" customHeight="1" x14ac:dyDescent="0.3">
      <c r="A137" s="78"/>
      <c r="B137" s="78"/>
      <c r="C137" s="78"/>
      <c r="D137" s="78"/>
      <c r="E137" s="78"/>
      <c r="F137" s="78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30" hidden="1" customHeight="1" x14ac:dyDescent="0.3">
      <c r="A138" s="78"/>
      <c r="B138" s="78"/>
      <c r="C138" s="78"/>
      <c r="D138" s="78"/>
      <c r="E138" s="78"/>
      <c r="F138" s="78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30" hidden="1" customHeight="1" x14ac:dyDescent="0.3">
      <c r="A139" s="78"/>
      <c r="B139" s="78"/>
      <c r="C139" s="78"/>
      <c r="D139" s="78"/>
      <c r="E139" s="78"/>
      <c r="F139" s="78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30" hidden="1" customHeight="1" x14ac:dyDescent="0.3">
      <c r="A140" s="78"/>
      <c r="B140" s="78"/>
      <c r="C140" s="78"/>
      <c r="D140" s="78"/>
      <c r="E140" s="78"/>
      <c r="F140" s="78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30" hidden="1" customHeight="1" x14ac:dyDescent="0.3">
      <c r="A141" s="78"/>
      <c r="B141" s="78"/>
      <c r="C141" s="78"/>
      <c r="D141" s="78"/>
      <c r="E141" s="78"/>
      <c r="F141" s="78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30" hidden="1" customHeight="1" x14ac:dyDescent="0.3">
      <c r="A142" s="78"/>
      <c r="B142" s="78"/>
      <c r="C142" s="78"/>
      <c r="D142" s="78"/>
      <c r="E142" s="78"/>
      <c r="F142" s="78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30" hidden="1" customHeight="1" x14ac:dyDescent="0.3">
      <c r="A143" s="78"/>
      <c r="B143" s="78"/>
      <c r="C143" s="78"/>
      <c r="D143" s="78"/>
      <c r="E143" s="78"/>
      <c r="F143" s="78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30" hidden="1" customHeight="1" x14ac:dyDescent="0.3">
      <c r="A144" s="78"/>
      <c r="B144" s="78"/>
      <c r="C144" s="78"/>
      <c r="D144" s="78"/>
      <c r="E144" s="78"/>
      <c r="F144" s="78"/>
    </row>
    <row r="145" spans="1:15" ht="30" hidden="1" customHeight="1" x14ac:dyDescent="0.3">
      <c r="A145" s="78"/>
      <c r="B145" s="78"/>
      <c r="C145" s="78"/>
      <c r="D145" s="78"/>
      <c r="E145" s="78"/>
      <c r="F145" s="78"/>
      <c r="G145" s="78"/>
      <c r="H145" s="1"/>
      <c r="I145" s="1"/>
      <c r="J145" s="1"/>
      <c r="K145" s="1"/>
      <c r="L145" s="1"/>
      <c r="M145" s="1"/>
      <c r="N145" s="1"/>
      <c r="O145" s="1"/>
    </row>
    <row r="146" spans="1:15" ht="30" hidden="1" customHeight="1" x14ac:dyDescent="0.3">
      <c r="A146" s="78"/>
      <c r="B146" s="78"/>
      <c r="C146" s="78"/>
      <c r="D146" s="78"/>
      <c r="E146" s="78"/>
      <c r="F146" s="78"/>
      <c r="G146" s="313"/>
      <c r="H146" s="313"/>
      <c r="I146" s="313"/>
      <c r="J146" s="313"/>
      <c r="K146" s="313"/>
      <c r="L146" s="313"/>
      <c r="M146" s="313"/>
      <c r="N146" s="313"/>
      <c r="O146" s="313"/>
    </row>
    <row r="147" spans="1:15" ht="30" hidden="1" customHeight="1" x14ac:dyDescent="0.3">
      <c r="A147" s="78"/>
      <c r="B147" s="78"/>
      <c r="C147" s="78"/>
      <c r="D147" s="78"/>
      <c r="E147" s="78"/>
      <c r="F147" s="78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30" hidden="1" customHeight="1" x14ac:dyDescent="0.3">
      <c r="A148" s="78"/>
      <c r="B148" s="78"/>
      <c r="C148" s="78"/>
      <c r="D148" s="78"/>
      <c r="E148" s="78"/>
      <c r="F148" s="78"/>
      <c r="G148" s="313"/>
      <c r="H148" s="313"/>
      <c r="I148" s="313"/>
      <c r="J148" s="1"/>
      <c r="K148" s="1"/>
      <c r="L148" s="1"/>
      <c r="M148" s="1"/>
      <c r="N148" s="1"/>
      <c r="O148" s="1"/>
    </row>
    <row r="149" spans="1:15" ht="30" hidden="1" customHeight="1" x14ac:dyDescent="0.3">
      <c r="A149" s="78"/>
      <c r="B149" s="78"/>
      <c r="C149" s="78"/>
      <c r="D149" s="78"/>
      <c r="E149" s="78"/>
      <c r="F149" s="78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30" hidden="1" customHeight="1" x14ac:dyDescent="0.3">
      <c r="A150" s="78"/>
      <c r="B150" s="78"/>
      <c r="C150" s="78"/>
      <c r="D150" s="78"/>
      <c r="E150" s="78"/>
      <c r="F150" s="78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30" hidden="1" customHeight="1" x14ac:dyDescent="0.3">
      <c r="A151" s="78"/>
      <c r="B151" s="78"/>
      <c r="C151" s="78"/>
      <c r="D151" s="78"/>
      <c r="E151" s="78"/>
      <c r="F151" s="78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30" hidden="1" customHeight="1" x14ac:dyDescent="0.3">
      <c r="A152" s="78"/>
      <c r="B152" s="78"/>
      <c r="C152" s="78"/>
      <c r="D152" s="78"/>
      <c r="E152" s="78"/>
      <c r="F152" s="78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30" hidden="1" customHeight="1" x14ac:dyDescent="0.3">
      <c r="A153" s="78"/>
      <c r="B153" s="78"/>
      <c r="C153" s="78"/>
      <c r="D153" s="78"/>
      <c r="E153" s="78"/>
      <c r="F153" s="78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30" hidden="1" customHeight="1" x14ac:dyDescent="0.3">
      <c r="A154" s="78"/>
      <c r="B154" s="78"/>
      <c r="C154" s="78"/>
      <c r="D154" s="78"/>
      <c r="E154" s="78"/>
      <c r="F154" s="78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30" hidden="1" customHeight="1" x14ac:dyDescent="0.3">
      <c r="A155" s="78"/>
      <c r="B155" s="78"/>
      <c r="C155" s="78"/>
      <c r="D155" s="78"/>
      <c r="E155" s="78"/>
      <c r="F155" s="78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30" hidden="1" customHeight="1" x14ac:dyDescent="0.3">
      <c r="A156" s="78"/>
      <c r="B156" s="78"/>
      <c r="C156" s="78"/>
      <c r="D156" s="78"/>
      <c r="E156" s="78"/>
      <c r="F156" s="78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30" hidden="1" customHeight="1" x14ac:dyDescent="0.3">
      <c r="A157" s="78"/>
      <c r="B157" s="78"/>
      <c r="C157" s="78"/>
      <c r="D157" s="78"/>
      <c r="E157" s="78"/>
      <c r="F157" s="78"/>
    </row>
    <row r="158" spans="1:15" ht="30" hidden="1" customHeight="1" x14ac:dyDescent="0.3">
      <c r="A158" s="78"/>
      <c r="B158" s="78"/>
      <c r="C158" s="78"/>
      <c r="D158" s="78"/>
      <c r="E158" s="78"/>
      <c r="F158" s="78"/>
      <c r="G158" s="78"/>
      <c r="H158" s="1"/>
      <c r="I158" s="1"/>
      <c r="J158" s="1"/>
      <c r="K158" s="1"/>
      <c r="L158" s="1"/>
      <c r="M158" s="1"/>
      <c r="N158" s="1"/>
      <c r="O158" s="1"/>
    </row>
    <row r="159" spans="1:15" ht="30" hidden="1" customHeight="1" x14ac:dyDescent="0.3">
      <c r="A159" s="78"/>
      <c r="B159" s="78"/>
      <c r="C159" s="78"/>
      <c r="D159" s="78"/>
      <c r="E159" s="78"/>
      <c r="F159" s="78"/>
      <c r="G159" s="313"/>
      <c r="H159" s="313"/>
      <c r="I159" s="313"/>
      <c r="J159" s="313"/>
      <c r="K159" s="313"/>
      <c r="L159" s="313"/>
      <c r="M159" s="313"/>
      <c r="N159" s="313"/>
      <c r="O159" s="313"/>
    </row>
    <row r="160" spans="1:15" ht="30" hidden="1" customHeight="1" x14ac:dyDescent="0.3">
      <c r="A160" s="78"/>
      <c r="B160" s="78"/>
      <c r="C160" s="78"/>
      <c r="D160" s="78"/>
      <c r="E160" s="78"/>
      <c r="F160" s="78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30" hidden="1" customHeight="1" x14ac:dyDescent="0.3">
      <c r="A161" s="78"/>
      <c r="B161" s="78"/>
      <c r="C161" s="78"/>
      <c r="D161" s="78"/>
      <c r="E161" s="78"/>
      <c r="F161" s="78"/>
      <c r="G161" s="313"/>
      <c r="H161" s="313"/>
      <c r="I161" s="313"/>
      <c r="J161" s="1"/>
      <c r="K161" s="1"/>
      <c r="L161" s="1"/>
      <c r="M161" s="1"/>
      <c r="N161" s="1"/>
      <c r="O161" s="1"/>
    </row>
    <row r="162" spans="1:15" ht="30" hidden="1" customHeight="1" x14ac:dyDescent="0.3">
      <c r="A162" s="78"/>
      <c r="B162" s="78"/>
      <c r="C162" s="78"/>
      <c r="D162" s="78"/>
      <c r="E162" s="78"/>
      <c r="F162" s="78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30" hidden="1" customHeight="1" x14ac:dyDescent="0.3">
      <c r="A163" s="78"/>
      <c r="B163" s="78"/>
      <c r="C163" s="78"/>
      <c r="D163" s="78"/>
      <c r="E163" s="78"/>
      <c r="F163" s="78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30" hidden="1" customHeight="1" x14ac:dyDescent="0.3">
      <c r="A164" s="78"/>
      <c r="B164" s="78"/>
      <c r="C164" s="78"/>
      <c r="D164" s="78"/>
      <c r="E164" s="78"/>
      <c r="F164" s="78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30" hidden="1" customHeight="1" x14ac:dyDescent="0.3">
      <c r="A165" s="78"/>
      <c r="B165" s="78"/>
      <c r="C165" s="78"/>
      <c r="D165" s="78"/>
      <c r="E165" s="78"/>
      <c r="F165" s="78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30" hidden="1" customHeight="1" x14ac:dyDescent="0.3">
      <c r="A166" s="78"/>
      <c r="B166" s="78"/>
      <c r="C166" s="78"/>
      <c r="D166" s="78"/>
      <c r="E166" s="78"/>
      <c r="F166" s="78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30" hidden="1" customHeight="1" x14ac:dyDescent="0.3">
      <c r="A167" s="78"/>
      <c r="B167" s="78"/>
      <c r="C167" s="78"/>
      <c r="D167" s="78"/>
      <c r="E167" s="78"/>
      <c r="F167" s="78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30" hidden="1" customHeight="1" x14ac:dyDescent="0.3">
      <c r="A168" s="78"/>
      <c r="B168" s="78"/>
      <c r="C168" s="78"/>
      <c r="D168" s="78"/>
      <c r="E168" s="78"/>
      <c r="F168" s="78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30" hidden="1" customHeight="1" x14ac:dyDescent="0.3">
      <c r="A169" s="78"/>
      <c r="B169" s="78"/>
      <c r="C169" s="78"/>
      <c r="D169" s="78"/>
      <c r="E169" s="78"/>
      <c r="F169" s="78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30" hidden="1" customHeight="1" x14ac:dyDescent="0.3">
      <c r="A170" s="78"/>
      <c r="B170" s="78"/>
      <c r="C170" s="78"/>
      <c r="D170" s="78"/>
      <c r="E170" s="78"/>
      <c r="F170" s="78"/>
    </row>
    <row r="171" spans="1:15" ht="30" hidden="1" customHeight="1" x14ac:dyDescent="0.3">
      <c r="A171" s="78"/>
      <c r="B171" s="78"/>
      <c r="C171" s="78"/>
      <c r="D171" s="78"/>
      <c r="E171" s="78"/>
      <c r="F171" s="78"/>
      <c r="G171" s="78"/>
      <c r="H171" s="1"/>
      <c r="I171" s="1"/>
      <c r="J171" s="1"/>
      <c r="K171" s="1"/>
      <c r="L171" s="1"/>
      <c r="M171" s="1"/>
      <c r="N171" s="1"/>
      <c r="O171" s="1"/>
    </row>
    <row r="172" spans="1:15" ht="30" hidden="1" customHeight="1" x14ac:dyDescent="0.3">
      <c r="A172" s="78"/>
      <c r="B172" s="78"/>
      <c r="C172" s="78"/>
      <c r="D172" s="78"/>
      <c r="E172" s="78"/>
      <c r="F172" s="78"/>
      <c r="G172" s="313"/>
      <c r="H172" s="313"/>
      <c r="I172" s="313"/>
      <c r="J172" s="313"/>
      <c r="K172" s="313"/>
      <c r="L172" s="313"/>
      <c r="M172" s="313"/>
      <c r="N172" s="313"/>
      <c r="O172" s="313"/>
    </row>
    <row r="173" spans="1:15" ht="30" hidden="1" customHeight="1" x14ac:dyDescent="0.3">
      <c r="A173" s="78"/>
      <c r="B173" s="78"/>
      <c r="C173" s="78"/>
      <c r="D173" s="78"/>
      <c r="E173" s="78"/>
      <c r="F173" s="78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30" hidden="1" customHeight="1" x14ac:dyDescent="0.3">
      <c r="A174" s="78"/>
      <c r="B174" s="78"/>
      <c r="C174" s="78"/>
      <c r="D174" s="78"/>
      <c r="E174" s="78"/>
      <c r="F174" s="78"/>
      <c r="G174" s="313"/>
      <c r="H174" s="313"/>
      <c r="I174" s="313"/>
      <c r="J174" s="1"/>
      <c r="K174" s="1"/>
      <c r="L174" s="1"/>
      <c r="M174" s="1"/>
      <c r="N174" s="1"/>
      <c r="O174" s="1"/>
    </row>
    <row r="175" spans="1:15" ht="30" hidden="1" customHeight="1" x14ac:dyDescent="0.3">
      <c r="A175" s="78"/>
      <c r="B175" s="78"/>
      <c r="C175" s="78"/>
      <c r="D175" s="78"/>
      <c r="E175" s="78"/>
      <c r="F175" s="78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30" hidden="1" customHeight="1" x14ac:dyDescent="0.3">
      <c r="A176" s="78"/>
      <c r="B176" s="78"/>
      <c r="C176" s="78"/>
      <c r="D176" s="78"/>
      <c r="E176" s="78"/>
      <c r="F176" s="78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30" hidden="1" customHeight="1" x14ac:dyDescent="0.3">
      <c r="A177" s="78"/>
      <c r="B177" s="78"/>
      <c r="C177" s="78"/>
      <c r="D177" s="78"/>
      <c r="E177" s="78"/>
      <c r="F177" s="78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30" hidden="1" customHeight="1" x14ac:dyDescent="0.3">
      <c r="A178" s="78"/>
      <c r="B178" s="78"/>
      <c r="C178" s="78"/>
      <c r="D178" s="78"/>
      <c r="E178" s="78"/>
      <c r="F178" s="78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30" hidden="1" customHeight="1" x14ac:dyDescent="0.3">
      <c r="A179" s="78"/>
      <c r="B179" s="78"/>
      <c r="C179" s="78"/>
      <c r="D179" s="78"/>
      <c r="E179" s="78"/>
      <c r="F179" s="78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30" hidden="1" customHeight="1" x14ac:dyDescent="0.3">
      <c r="A180" s="78"/>
      <c r="B180" s="78"/>
      <c r="C180" s="78"/>
      <c r="D180" s="78"/>
      <c r="E180" s="78"/>
      <c r="F180" s="78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30" hidden="1" customHeight="1" x14ac:dyDescent="0.3">
      <c r="A181" s="78"/>
      <c r="B181" s="78"/>
      <c r="C181" s="78"/>
      <c r="D181" s="78"/>
      <c r="E181" s="78"/>
      <c r="F181" s="78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30" hidden="1" customHeight="1" x14ac:dyDescent="0.3">
      <c r="A182" s="78"/>
      <c r="B182" s="78"/>
      <c r="C182" s="78"/>
      <c r="D182" s="78"/>
      <c r="E182" s="78"/>
      <c r="F182" s="78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30" hidden="1" customHeight="1" x14ac:dyDescent="0.3">
      <c r="A183" s="78"/>
      <c r="B183" s="78"/>
      <c r="C183" s="78"/>
      <c r="D183" s="78"/>
      <c r="E183" s="78"/>
      <c r="F183" s="78"/>
    </row>
    <row r="184" spans="1:15" ht="30" hidden="1" customHeight="1" x14ac:dyDescent="0.3">
      <c r="A184" s="78"/>
      <c r="B184" s="78"/>
      <c r="C184" s="78"/>
      <c r="D184" s="78"/>
      <c r="E184" s="78"/>
      <c r="F184" s="78"/>
      <c r="G184" s="78"/>
      <c r="H184" s="1"/>
      <c r="I184" s="1"/>
      <c r="J184" s="1"/>
      <c r="K184" s="1"/>
      <c r="L184" s="1"/>
      <c r="M184" s="1"/>
      <c r="N184" s="1"/>
      <c r="O184" s="1"/>
    </row>
    <row r="185" spans="1:15" ht="30" hidden="1" customHeight="1" x14ac:dyDescent="0.3">
      <c r="A185" s="78"/>
      <c r="B185" s="78"/>
      <c r="C185" s="78"/>
      <c r="D185" s="78"/>
      <c r="E185" s="78"/>
      <c r="F185" s="78"/>
      <c r="G185" s="313"/>
      <c r="H185" s="313"/>
      <c r="I185" s="313"/>
      <c r="J185" s="313"/>
      <c r="K185" s="313"/>
      <c r="L185" s="313"/>
      <c r="M185" s="313"/>
      <c r="N185" s="313"/>
      <c r="O185" s="313"/>
    </row>
    <row r="186" spans="1:15" ht="30" hidden="1" customHeight="1" x14ac:dyDescent="0.3">
      <c r="A186" s="78"/>
      <c r="B186" s="78"/>
      <c r="C186" s="78"/>
      <c r="D186" s="78"/>
      <c r="E186" s="78"/>
      <c r="F186" s="78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30" hidden="1" customHeight="1" x14ac:dyDescent="0.3">
      <c r="A187" s="78"/>
      <c r="B187" s="78"/>
      <c r="C187" s="78"/>
      <c r="D187" s="78"/>
      <c r="E187" s="78"/>
      <c r="F187" s="78"/>
      <c r="G187" s="313"/>
      <c r="H187" s="313"/>
      <c r="I187" s="313"/>
      <c r="J187" s="1"/>
      <c r="K187" s="1"/>
      <c r="L187" s="1"/>
      <c r="M187" s="1"/>
      <c r="N187" s="1"/>
      <c r="O187" s="1"/>
    </row>
    <row r="188" spans="1:15" ht="30" hidden="1" customHeight="1" x14ac:dyDescent="0.3">
      <c r="A188" s="78"/>
      <c r="B188" s="78"/>
      <c r="C188" s="78"/>
      <c r="D188" s="78"/>
      <c r="E188" s="78"/>
      <c r="F188" s="78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30" hidden="1" customHeight="1" x14ac:dyDescent="0.3">
      <c r="A189" s="78"/>
      <c r="B189" s="78"/>
      <c r="C189" s="78"/>
      <c r="D189" s="78"/>
      <c r="E189" s="78"/>
      <c r="F189" s="78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30" hidden="1" customHeight="1" x14ac:dyDescent="0.3">
      <c r="A190" s="78"/>
      <c r="B190" s="78"/>
      <c r="C190" s="78"/>
      <c r="D190" s="78"/>
      <c r="E190" s="78"/>
      <c r="F190" s="78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30" hidden="1" customHeight="1" x14ac:dyDescent="0.3">
      <c r="A191" s="78"/>
      <c r="B191" s="78"/>
      <c r="C191" s="78"/>
      <c r="D191" s="78"/>
      <c r="E191" s="78"/>
      <c r="F191" s="78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30" hidden="1" customHeight="1" x14ac:dyDescent="0.3">
      <c r="A192" s="78"/>
      <c r="B192" s="78"/>
      <c r="C192" s="78"/>
      <c r="D192" s="78"/>
      <c r="E192" s="78"/>
      <c r="F192" s="78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30" hidden="1" customHeight="1" x14ac:dyDescent="0.3">
      <c r="A193" s="78"/>
      <c r="B193" s="78"/>
      <c r="C193" s="78"/>
      <c r="D193" s="78"/>
      <c r="E193" s="78"/>
      <c r="F193" s="78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30" hidden="1" customHeight="1" x14ac:dyDescent="0.3">
      <c r="A194" s="78"/>
      <c r="B194" s="78"/>
      <c r="C194" s="78"/>
      <c r="D194" s="78"/>
      <c r="E194" s="78"/>
      <c r="F194" s="78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30" hidden="1" customHeight="1" x14ac:dyDescent="0.3">
      <c r="A195" s="78"/>
      <c r="B195" s="78"/>
      <c r="C195" s="78"/>
      <c r="D195" s="78"/>
      <c r="E195" s="78"/>
      <c r="F195" s="78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24.95" customHeight="1" x14ac:dyDescent="0.3">
      <c r="A196" s="78"/>
      <c r="B196" s="78"/>
      <c r="C196" s="78"/>
      <c r="D196" s="78"/>
      <c r="E196" s="78"/>
      <c r="F196" s="78"/>
    </row>
    <row r="197" spans="1:15" ht="16.5" customHeight="1" x14ac:dyDescent="0.3">
      <c r="A197" s="78"/>
      <c r="B197" s="78"/>
      <c r="C197" s="78"/>
      <c r="D197" s="78"/>
      <c r="E197" s="78"/>
      <c r="F197" s="78"/>
    </row>
    <row r="198" spans="1:15" ht="16.5" customHeight="1" x14ac:dyDescent="0.3">
      <c r="A198" s="78"/>
      <c r="B198" s="78"/>
      <c r="C198" s="78"/>
      <c r="D198" s="78"/>
      <c r="E198" s="78"/>
      <c r="F198" s="78"/>
    </row>
    <row r="199" spans="1:15" ht="16.5" customHeight="1" x14ac:dyDescent="0.3"/>
    <row r="200" spans="1:15" ht="16.5" customHeight="1" x14ac:dyDescent="0.3"/>
    <row r="201" spans="1:15" ht="16.5" customHeight="1" x14ac:dyDescent="0.3"/>
    <row r="202" spans="1:15" ht="16.5" customHeight="1" x14ac:dyDescent="0.3"/>
    <row r="203" spans="1:15" ht="16.5" customHeight="1" x14ac:dyDescent="0.3"/>
    <row r="204" spans="1:15" ht="16.5" customHeight="1" x14ac:dyDescent="0.3"/>
    <row r="205" spans="1:15" ht="16.5" customHeight="1" x14ac:dyDescent="0.3"/>
    <row r="206" spans="1:15" ht="16.5" customHeight="1" x14ac:dyDescent="0.3"/>
    <row r="207" spans="1:15" ht="16.5" customHeight="1" x14ac:dyDescent="0.3"/>
    <row r="208" spans="1:15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  <row r="1041" ht="16.5" customHeight="1" x14ac:dyDescent="0.3"/>
    <row r="1042" ht="16.5" customHeight="1" x14ac:dyDescent="0.3"/>
    <row r="1043" ht="16.5" customHeight="1" x14ac:dyDescent="0.3"/>
    <row r="1044" ht="16.5" customHeight="1" x14ac:dyDescent="0.3"/>
    <row r="1045" ht="16.5" customHeight="1" x14ac:dyDescent="0.3"/>
    <row r="1046" ht="16.5" customHeight="1" x14ac:dyDescent="0.3"/>
    <row r="1047" ht="16.5" customHeight="1" x14ac:dyDescent="0.3"/>
    <row r="1048" ht="16.5" customHeight="1" x14ac:dyDescent="0.3"/>
    <row r="1049" ht="16.5" customHeight="1" x14ac:dyDescent="0.3"/>
    <row r="1050" ht="16.5" customHeight="1" x14ac:dyDescent="0.3"/>
    <row r="1051" ht="16.5" customHeight="1" x14ac:dyDescent="0.3"/>
    <row r="1052" ht="16.5" customHeight="1" x14ac:dyDescent="0.3"/>
    <row r="1053" ht="16.5" customHeight="1" x14ac:dyDescent="0.3"/>
    <row r="1054" ht="16.5" customHeight="1" x14ac:dyDescent="0.3"/>
    <row r="1055" ht="16.5" customHeight="1" x14ac:dyDescent="0.3"/>
    <row r="1056" ht="16.5" customHeight="1" x14ac:dyDescent="0.3"/>
    <row r="1057" ht="16.5" customHeight="1" x14ac:dyDescent="0.3"/>
    <row r="1058" ht="16.5" customHeight="1" x14ac:dyDescent="0.3"/>
    <row r="1059" ht="16.5" customHeight="1" x14ac:dyDescent="0.3"/>
    <row r="1060" ht="16.5" customHeight="1" x14ac:dyDescent="0.3"/>
    <row r="1061" ht="16.5" customHeight="1" x14ac:dyDescent="0.3"/>
    <row r="1062" ht="16.5" customHeight="1" x14ac:dyDescent="0.3"/>
    <row r="1063" ht="16.5" customHeight="1" x14ac:dyDescent="0.3"/>
    <row r="1064" ht="16.5" customHeight="1" x14ac:dyDescent="0.3"/>
    <row r="1065" ht="16.5" customHeight="1" x14ac:dyDescent="0.3"/>
    <row r="1066" ht="16.5" customHeight="1" x14ac:dyDescent="0.3"/>
    <row r="1067" ht="16.5" customHeight="1" x14ac:dyDescent="0.3"/>
    <row r="1068" ht="16.5" customHeight="1" x14ac:dyDescent="0.3"/>
    <row r="1069" ht="16.5" customHeight="1" x14ac:dyDescent="0.3"/>
    <row r="1070" ht="16.5" customHeight="1" x14ac:dyDescent="0.3"/>
    <row r="1071" ht="16.5" customHeight="1" x14ac:dyDescent="0.3"/>
    <row r="1072" ht="16.5" customHeight="1" x14ac:dyDescent="0.3"/>
    <row r="1073" ht="16.5" customHeight="1" x14ac:dyDescent="0.3"/>
    <row r="1074" ht="16.5" customHeight="1" x14ac:dyDescent="0.3"/>
    <row r="1075" ht="16.5" customHeight="1" x14ac:dyDescent="0.3"/>
    <row r="1076" ht="16.5" customHeight="1" x14ac:dyDescent="0.3"/>
    <row r="1077" ht="16.5" customHeight="1" x14ac:dyDescent="0.3"/>
    <row r="1078" ht="16.5" customHeight="1" x14ac:dyDescent="0.3"/>
    <row r="1079" ht="16.5" customHeight="1" x14ac:dyDescent="0.3"/>
    <row r="1080" ht="16.5" customHeight="1" x14ac:dyDescent="0.3"/>
    <row r="1081" ht="16.5" customHeight="1" x14ac:dyDescent="0.3"/>
    <row r="1082" ht="16.5" customHeight="1" x14ac:dyDescent="0.3"/>
    <row r="1083" ht="16.5" customHeight="1" x14ac:dyDescent="0.3"/>
    <row r="1084" ht="16.5" customHeight="1" x14ac:dyDescent="0.3"/>
    <row r="1085" ht="16.5" customHeight="1" x14ac:dyDescent="0.3"/>
    <row r="1086" ht="16.5" customHeight="1" x14ac:dyDescent="0.3"/>
    <row r="1087" ht="16.5" customHeight="1" x14ac:dyDescent="0.3"/>
    <row r="1088" ht="16.5" customHeight="1" x14ac:dyDescent="0.3"/>
    <row r="1089" ht="16.5" customHeight="1" x14ac:dyDescent="0.3"/>
    <row r="1090" ht="16.5" customHeight="1" x14ac:dyDescent="0.3"/>
    <row r="1091" ht="16.5" customHeight="1" x14ac:dyDescent="0.3"/>
    <row r="1092" ht="16.5" customHeight="1" x14ac:dyDescent="0.3"/>
    <row r="1093" ht="16.5" customHeight="1" x14ac:dyDescent="0.3"/>
    <row r="1094" ht="16.5" customHeight="1" x14ac:dyDescent="0.3"/>
    <row r="1095" ht="16.5" customHeight="1" x14ac:dyDescent="0.3"/>
    <row r="1096" ht="16.5" customHeight="1" x14ac:dyDescent="0.3"/>
    <row r="1097" ht="16.5" customHeight="1" x14ac:dyDescent="0.3"/>
    <row r="1098" ht="16.5" customHeight="1" x14ac:dyDescent="0.3"/>
    <row r="1099" ht="16.5" customHeight="1" x14ac:dyDescent="0.3"/>
    <row r="1100" ht="16.5" customHeight="1" x14ac:dyDescent="0.3"/>
    <row r="1101" ht="16.5" customHeight="1" x14ac:dyDescent="0.3"/>
    <row r="1102" ht="16.5" customHeight="1" x14ac:dyDescent="0.3"/>
    <row r="1103" ht="16.5" customHeight="1" x14ac:dyDescent="0.3"/>
    <row r="1104" ht="16.5" customHeight="1" x14ac:dyDescent="0.3"/>
    <row r="1105" ht="16.5" customHeight="1" x14ac:dyDescent="0.3"/>
    <row r="1106" ht="16.5" customHeight="1" x14ac:dyDescent="0.3"/>
    <row r="1107" ht="16.5" customHeight="1" x14ac:dyDescent="0.3"/>
    <row r="1108" ht="16.5" customHeight="1" x14ac:dyDescent="0.3"/>
    <row r="1109" ht="16.5" customHeight="1" x14ac:dyDescent="0.3"/>
    <row r="1110" ht="16.5" customHeight="1" x14ac:dyDescent="0.3"/>
    <row r="1111" ht="16.5" customHeight="1" x14ac:dyDescent="0.3"/>
    <row r="1112" ht="16.5" customHeight="1" x14ac:dyDescent="0.3"/>
    <row r="1113" ht="16.5" customHeight="1" x14ac:dyDescent="0.3"/>
    <row r="1114" ht="16.5" customHeight="1" x14ac:dyDescent="0.3"/>
    <row r="1115" ht="16.5" customHeight="1" x14ac:dyDescent="0.3"/>
    <row r="1116" ht="16.5" customHeight="1" x14ac:dyDescent="0.3"/>
    <row r="1117" ht="16.5" customHeight="1" x14ac:dyDescent="0.3"/>
    <row r="1118" ht="16.5" customHeight="1" x14ac:dyDescent="0.3"/>
    <row r="1119" ht="16.5" customHeight="1" x14ac:dyDescent="0.3"/>
    <row r="1120" ht="16.5" customHeight="1" x14ac:dyDescent="0.3"/>
    <row r="1121" ht="16.5" customHeight="1" x14ac:dyDescent="0.3"/>
    <row r="1122" ht="16.5" customHeight="1" x14ac:dyDescent="0.3"/>
    <row r="1123" ht="16.5" customHeight="1" x14ac:dyDescent="0.3"/>
    <row r="1124" ht="16.5" customHeight="1" x14ac:dyDescent="0.3"/>
    <row r="1125" ht="16.5" customHeight="1" x14ac:dyDescent="0.3"/>
    <row r="1126" ht="16.5" customHeight="1" x14ac:dyDescent="0.3"/>
    <row r="1127" ht="16.5" customHeight="1" x14ac:dyDescent="0.3"/>
    <row r="1128" ht="16.5" customHeight="1" x14ac:dyDescent="0.3"/>
    <row r="1129" ht="16.5" customHeight="1" x14ac:dyDescent="0.3"/>
    <row r="1130" ht="16.5" customHeight="1" x14ac:dyDescent="0.3"/>
    <row r="1131" ht="16.5" customHeight="1" x14ac:dyDescent="0.3"/>
    <row r="1132" ht="16.5" customHeight="1" x14ac:dyDescent="0.3"/>
    <row r="1133" ht="16.5" customHeight="1" x14ac:dyDescent="0.3"/>
    <row r="1134" ht="16.5" customHeight="1" x14ac:dyDescent="0.3"/>
    <row r="1135" ht="16.5" customHeight="1" x14ac:dyDescent="0.3"/>
    <row r="1136" ht="16.5" customHeight="1" x14ac:dyDescent="0.3"/>
    <row r="1137" ht="16.5" customHeight="1" x14ac:dyDescent="0.3"/>
    <row r="1138" ht="16.5" customHeight="1" x14ac:dyDescent="0.3"/>
    <row r="1139" ht="16.5" customHeight="1" x14ac:dyDescent="0.3"/>
    <row r="1140" ht="16.5" customHeight="1" x14ac:dyDescent="0.3"/>
    <row r="1141" ht="16.5" customHeight="1" x14ac:dyDescent="0.3"/>
    <row r="1142" ht="16.5" customHeight="1" x14ac:dyDescent="0.3"/>
    <row r="1143" ht="16.5" customHeight="1" x14ac:dyDescent="0.3"/>
    <row r="1144" ht="16.5" customHeight="1" x14ac:dyDescent="0.3"/>
    <row r="1145" ht="16.5" customHeight="1" x14ac:dyDescent="0.3"/>
    <row r="1146" ht="16.5" customHeight="1" x14ac:dyDescent="0.3"/>
    <row r="1147" ht="16.5" customHeight="1" x14ac:dyDescent="0.3"/>
    <row r="1148" ht="16.5" customHeight="1" x14ac:dyDescent="0.3"/>
    <row r="1149" ht="16.5" customHeight="1" x14ac:dyDescent="0.3"/>
    <row r="1150" ht="16.5" customHeight="1" x14ac:dyDescent="0.3"/>
    <row r="1151" ht="16.5" customHeight="1" x14ac:dyDescent="0.3"/>
    <row r="1152" ht="16.5" customHeight="1" x14ac:dyDescent="0.3"/>
    <row r="1153" ht="16.5" customHeight="1" x14ac:dyDescent="0.3"/>
    <row r="1154" ht="16.5" customHeight="1" x14ac:dyDescent="0.3"/>
    <row r="1155" ht="16.5" customHeight="1" x14ac:dyDescent="0.3"/>
    <row r="1156" ht="16.5" customHeight="1" x14ac:dyDescent="0.3"/>
    <row r="1157" ht="16.5" customHeight="1" x14ac:dyDescent="0.3"/>
    <row r="1158" ht="16.5" customHeight="1" x14ac:dyDescent="0.3"/>
    <row r="1159" ht="16.5" customHeight="1" x14ac:dyDescent="0.3"/>
    <row r="1160" ht="16.5" customHeight="1" x14ac:dyDescent="0.3"/>
    <row r="1161" ht="16.5" customHeight="1" x14ac:dyDescent="0.3"/>
    <row r="1162" ht="16.5" customHeight="1" x14ac:dyDescent="0.3"/>
    <row r="1163" ht="16.5" customHeight="1" x14ac:dyDescent="0.3"/>
    <row r="1164" ht="16.5" customHeight="1" x14ac:dyDescent="0.3"/>
    <row r="1165" ht="16.5" customHeight="1" x14ac:dyDescent="0.3"/>
    <row r="1166" ht="16.5" customHeight="1" x14ac:dyDescent="0.3"/>
    <row r="1167" ht="16.5" customHeight="1" x14ac:dyDescent="0.3"/>
    <row r="1168" ht="16.5" customHeight="1" x14ac:dyDescent="0.3"/>
    <row r="1169" ht="16.5" customHeight="1" x14ac:dyDescent="0.3"/>
    <row r="1170" ht="16.5" customHeight="1" x14ac:dyDescent="0.3"/>
    <row r="1171" ht="16.5" customHeight="1" x14ac:dyDescent="0.3"/>
    <row r="1172" ht="16.5" customHeight="1" x14ac:dyDescent="0.3"/>
    <row r="1173" ht="16.5" customHeight="1" x14ac:dyDescent="0.3"/>
    <row r="1174" ht="16.5" customHeight="1" x14ac:dyDescent="0.3"/>
    <row r="1175" ht="16.5" customHeight="1" x14ac:dyDescent="0.3"/>
    <row r="1176" ht="16.5" customHeight="1" x14ac:dyDescent="0.3"/>
    <row r="1177" ht="16.5" customHeight="1" x14ac:dyDescent="0.3"/>
    <row r="1178" ht="16.5" customHeight="1" x14ac:dyDescent="0.3"/>
    <row r="1179" ht="16.5" customHeight="1" x14ac:dyDescent="0.3"/>
    <row r="1180" ht="16.5" customHeight="1" x14ac:dyDescent="0.3"/>
    <row r="1181" ht="16.5" customHeight="1" x14ac:dyDescent="0.3"/>
    <row r="1182" ht="16.5" customHeight="1" x14ac:dyDescent="0.3"/>
    <row r="1183" ht="16.5" customHeight="1" x14ac:dyDescent="0.3"/>
    <row r="1184" ht="16.5" customHeight="1" x14ac:dyDescent="0.3"/>
    <row r="1185" ht="16.5" customHeight="1" x14ac:dyDescent="0.3"/>
    <row r="1186" ht="16.5" customHeight="1" x14ac:dyDescent="0.3"/>
    <row r="1187" ht="16.5" customHeight="1" x14ac:dyDescent="0.3"/>
    <row r="1188" ht="16.5" customHeight="1" x14ac:dyDescent="0.3"/>
    <row r="1189" ht="16.5" customHeight="1" x14ac:dyDescent="0.3"/>
    <row r="1190" ht="16.5" customHeight="1" x14ac:dyDescent="0.3"/>
    <row r="1191" ht="16.5" customHeight="1" x14ac:dyDescent="0.3"/>
    <row r="1192" ht="16.5" customHeight="1" x14ac:dyDescent="0.3"/>
    <row r="1193" ht="16.5" customHeight="1" x14ac:dyDescent="0.3"/>
    <row r="1194" ht="16.5" customHeight="1" x14ac:dyDescent="0.3"/>
    <row r="1195" ht="16.5" customHeight="1" x14ac:dyDescent="0.3"/>
    <row r="1196" ht="16.5" customHeight="1" x14ac:dyDescent="0.3"/>
    <row r="1197" ht="16.5" customHeight="1" x14ac:dyDescent="0.3"/>
    <row r="1198" ht="16.5" customHeight="1" x14ac:dyDescent="0.3"/>
    <row r="1199" ht="16.5" customHeight="1" x14ac:dyDescent="0.3"/>
    <row r="1200" ht="16.5" customHeight="1" x14ac:dyDescent="0.3"/>
    <row r="1201" ht="16.5" customHeight="1" x14ac:dyDescent="0.3"/>
    <row r="1202" ht="16.5" customHeight="1" x14ac:dyDescent="0.3"/>
    <row r="1203" ht="16.5" customHeight="1" x14ac:dyDescent="0.3"/>
    <row r="1204" ht="16.5" customHeight="1" x14ac:dyDescent="0.3"/>
    <row r="1205" ht="16.5" customHeight="1" x14ac:dyDescent="0.3"/>
    <row r="1206" ht="16.5" customHeight="1" x14ac:dyDescent="0.3"/>
    <row r="1207" ht="16.5" customHeight="1" x14ac:dyDescent="0.3"/>
    <row r="1208" ht="16.5" customHeight="1" x14ac:dyDescent="0.3"/>
    <row r="1209" ht="16.5" customHeight="1" x14ac:dyDescent="0.3"/>
    <row r="1210" ht="16.5" customHeight="1" x14ac:dyDescent="0.3"/>
    <row r="1211" ht="16.5" customHeight="1" x14ac:dyDescent="0.3"/>
    <row r="1212" ht="16.5" customHeight="1" x14ac:dyDescent="0.3"/>
    <row r="1213" ht="16.5" customHeight="1" x14ac:dyDescent="0.3"/>
    <row r="1214" ht="16.5" customHeight="1" x14ac:dyDescent="0.3"/>
    <row r="1215" ht="16.5" customHeight="1" x14ac:dyDescent="0.3"/>
    <row r="1216" ht="16.5" customHeight="1" x14ac:dyDescent="0.3"/>
    <row r="1217" ht="16.5" customHeight="1" x14ac:dyDescent="0.3"/>
    <row r="1218" ht="16.5" customHeight="1" x14ac:dyDescent="0.3"/>
    <row r="1219" ht="16.5" customHeight="1" x14ac:dyDescent="0.3"/>
    <row r="1220" ht="16.5" customHeight="1" x14ac:dyDescent="0.3"/>
    <row r="1221" ht="16.5" customHeight="1" x14ac:dyDescent="0.3"/>
    <row r="1222" ht="16.5" customHeight="1" x14ac:dyDescent="0.3"/>
    <row r="1223" ht="16.5" customHeight="1" x14ac:dyDescent="0.3"/>
    <row r="1224" ht="16.5" customHeight="1" x14ac:dyDescent="0.3"/>
    <row r="1225" ht="16.5" customHeight="1" x14ac:dyDescent="0.3"/>
    <row r="1226" ht="16.5" customHeight="1" x14ac:dyDescent="0.3"/>
    <row r="1227" ht="16.5" customHeight="1" x14ac:dyDescent="0.3"/>
    <row r="1228" ht="16.5" customHeight="1" x14ac:dyDescent="0.3"/>
    <row r="1229" ht="16.5" customHeight="1" x14ac:dyDescent="0.3"/>
    <row r="1230" ht="16.5" customHeight="1" x14ac:dyDescent="0.3"/>
    <row r="1231" ht="16.5" customHeight="1" x14ac:dyDescent="0.3"/>
    <row r="1232" ht="16.5" customHeight="1" x14ac:dyDescent="0.3"/>
    <row r="1233" ht="16.5" customHeight="1" x14ac:dyDescent="0.3"/>
    <row r="1234" ht="16.5" customHeight="1" x14ac:dyDescent="0.3"/>
    <row r="1235" ht="16.5" customHeight="1" x14ac:dyDescent="0.3"/>
    <row r="1236" ht="16.5" customHeight="1" x14ac:dyDescent="0.3"/>
    <row r="1237" ht="16.5" customHeight="1" x14ac:dyDescent="0.3"/>
    <row r="1238" ht="16.5" customHeight="1" x14ac:dyDescent="0.3"/>
    <row r="1239" ht="16.5" customHeight="1" x14ac:dyDescent="0.3"/>
    <row r="1240" ht="16.5" customHeight="1" x14ac:dyDescent="0.3"/>
    <row r="1241" ht="16.5" customHeight="1" x14ac:dyDescent="0.3"/>
    <row r="1242" ht="16.5" customHeight="1" x14ac:dyDescent="0.3"/>
    <row r="1243" ht="16.5" customHeight="1" x14ac:dyDescent="0.3"/>
    <row r="1244" ht="16.5" customHeight="1" x14ac:dyDescent="0.3"/>
    <row r="1245" ht="16.5" customHeight="1" x14ac:dyDescent="0.3"/>
    <row r="1246" ht="16.5" customHeight="1" x14ac:dyDescent="0.3"/>
    <row r="1247" ht="16.5" customHeight="1" x14ac:dyDescent="0.3"/>
    <row r="1248" ht="16.5" customHeight="1" x14ac:dyDescent="0.3"/>
    <row r="1249" ht="16.5" customHeight="1" x14ac:dyDescent="0.3"/>
    <row r="1250" ht="16.5" customHeight="1" x14ac:dyDescent="0.3"/>
    <row r="1251" ht="16.5" customHeight="1" x14ac:dyDescent="0.3"/>
    <row r="1252" ht="16.5" customHeight="1" x14ac:dyDescent="0.3"/>
    <row r="1253" ht="16.5" customHeight="1" x14ac:dyDescent="0.3"/>
    <row r="1254" ht="16.5" customHeight="1" x14ac:dyDescent="0.3"/>
    <row r="1255" ht="16.5" customHeight="1" x14ac:dyDescent="0.3"/>
    <row r="1256" ht="16.5" customHeight="1" x14ac:dyDescent="0.3"/>
    <row r="1257" ht="16.5" customHeight="1" x14ac:dyDescent="0.3"/>
    <row r="1258" ht="16.5" customHeight="1" x14ac:dyDescent="0.3"/>
    <row r="1259" ht="16.5" customHeight="1" x14ac:dyDescent="0.3"/>
    <row r="1260" ht="16.5" customHeight="1" x14ac:dyDescent="0.3"/>
    <row r="1261" ht="16.5" customHeight="1" x14ac:dyDescent="0.3"/>
    <row r="1262" ht="16.5" customHeight="1" x14ac:dyDescent="0.3"/>
    <row r="1263" ht="16.5" customHeight="1" x14ac:dyDescent="0.3"/>
    <row r="1264" ht="16.5" customHeight="1" x14ac:dyDescent="0.3"/>
    <row r="1265" ht="16.5" customHeight="1" x14ac:dyDescent="0.3"/>
    <row r="1266" ht="16.5" customHeight="1" x14ac:dyDescent="0.3"/>
    <row r="1267" ht="16.5" customHeight="1" x14ac:dyDescent="0.3"/>
    <row r="1268" ht="16.5" customHeight="1" x14ac:dyDescent="0.3"/>
    <row r="1269" ht="16.5" customHeight="1" x14ac:dyDescent="0.3"/>
    <row r="1270" ht="16.5" customHeight="1" x14ac:dyDescent="0.3"/>
    <row r="1271" ht="16.5" customHeight="1" x14ac:dyDescent="0.3"/>
    <row r="1272" ht="16.5" customHeight="1" x14ac:dyDescent="0.3"/>
    <row r="1273" ht="16.5" customHeight="1" x14ac:dyDescent="0.3"/>
    <row r="1274" ht="16.5" customHeight="1" x14ac:dyDescent="0.3"/>
    <row r="1275" ht="16.5" customHeight="1" x14ac:dyDescent="0.3"/>
    <row r="1276" ht="16.5" customHeight="1" x14ac:dyDescent="0.3"/>
    <row r="1277" ht="16.5" customHeight="1" x14ac:dyDescent="0.3"/>
    <row r="1278" ht="16.5" customHeight="1" x14ac:dyDescent="0.3"/>
    <row r="1279" ht="16.5" customHeight="1" x14ac:dyDescent="0.3"/>
    <row r="1280" ht="16.5" customHeight="1" x14ac:dyDescent="0.3"/>
    <row r="1281" ht="16.5" customHeight="1" x14ac:dyDescent="0.3"/>
    <row r="1282" ht="16.5" customHeight="1" x14ac:dyDescent="0.3"/>
    <row r="1283" ht="16.5" customHeight="1" x14ac:dyDescent="0.3"/>
    <row r="1284" ht="16.5" customHeight="1" x14ac:dyDescent="0.3"/>
    <row r="1285" ht="16.5" customHeight="1" x14ac:dyDescent="0.3"/>
    <row r="1286" ht="16.5" customHeight="1" x14ac:dyDescent="0.3"/>
    <row r="1287" ht="16.5" customHeight="1" x14ac:dyDescent="0.3"/>
    <row r="1288" ht="16.5" customHeight="1" x14ac:dyDescent="0.3"/>
    <row r="1289" ht="16.5" customHeight="1" x14ac:dyDescent="0.3"/>
    <row r="1290" ht="16.5" customHeight="1" x14ac:dyDescent="0.3"/>
    <row r="1291" ht="16.5" customHeight="1" x14ac:dyDescent="0.3"/>
    <row r="1292" ht="16.5" customHeight="1" x14ac:dyDescent="0.3"/>
    <row r="1293" ht="16.5" customHeight="1" x14ac:dyDescent="0.3"/>
    <row r="1294" ht="16.5" customHeight="1" x14ac:dyDescent="0.3"/>
    <row r="1295" ht="16.5" customHeight="1" x14ac:dyDescent="0.3"/>
    <row r="1296" ht="16.5" customHeight="1" x14ac:dyDescent="0.3"/>
    <row r="1297" ht="16.5" customHeight="1" x14ac:dyDescent="0.3"/>
    <row r="1298" ht="16.5" customHeight="1" x14ac:dyDescent="0.3"/>
    <row r="1299" ht="16.5" customHeight="1" x14ac:dyDescent="0.3"/>
    <row r="1300" ht="16.5" customHeight="1" x14ac:dyDescent="0.3"/>
    <row r="1301" ht="16.5" customHeight="1" x14ac:dyDescent="0.3"/>
    <row r="1302" ht="16.5" customHeight="1" x14ac:dyDescent="0.3"/>
    <row r="1303" ht="16.5" customHeight="1" x14ac:dyDescent="0.3"/>
    <row r="1304" ht="16.5" customHeight="1" x14ac:dyDescent="0.3"/>
    <row r="1305" ht="16.5" customHeight="1" x14ac:dyDescent="0.3"/>
    <row r="1306" ht="16.5" customHeight="1" x14ac:dyDescent="0.3"/>
    <row r="1307" ht="16.5" customHeight="1" x14ac:dyDescent="0.3"/>
    <row r="1308" ht="16.5" customHeight="1" x14ac:dyDescent="0.3"/>
    <row r="1309" ht="16.5" customHeight="1" x14ac:dyDescent="0.3"/>
    <row r="1310" ht="16.5" customHeight="1" x14ac:dyDescent="0.3"/>
    <row r="1311" ht="16.5" customHeight="1" x14ac:dyDescent="0.3"/>
    <row r="1312" ht="16.5" customHeight="1" x14ac:dyDescent="0.3"/>
    <row r="1313" ht="16.5" customHeight="1" x14ac:dyDescent="0.3"/>
    <row r="1314" ht="16.5" customHeight="1" x14ac:dyDescent="0.3"/>
    <row r="1315" ht="16.5" customHeight="1" x14ac:dyDescent="0.3"/>
    <row r="1316" ht="16.5" customHeight="1" x14ac:dyDescent="0.3"/>
    <row r="1317" ht="16.5" customHeight="1" x14ac:dyDescent="0.3"/>
    <row r="1318" ht="16.5" customHeight="1" x14ac:dyDescent="0.3"/>
    <row r="1319" ht="16.5" customHeight="1" x14ac:dyDescent="0.3"/>
    <row r="1320" ht="16.5" customHeight="1" x14ac:dyDescent="0.3"/>
    <row r="1321" ht="16.5" customHeight="1" x14ac:dyDescent="0.3"/>
    <row r="1322" ht="16.5" customHeight="1" x14ac:dyDescent="0.3"/>
    <row r="1323" ht="16.5" customHeight="1" x14ac:dyDescent="0.3"/>
    <row r="1324" ht="16.5" customHeight="1" x14ac:dyDescent="0.3"/>
    <row r="1325" ht="16.5" customHeight="1" x14ac:dyDescent="0.3"/>
    <row r="1326" ht="16.5" customHeight="1" x14ac:dyDescent="0.3"/>
    <row r="1327" ht="16.5" customHeight="1" x14ac:dyDescent="0.3"/>
    <row r="1328" ht="16.5" customHeight="1" x14ac:dyDescent="0.3"/>
    <row r="1329" ht="16.5" customHeight="1" x14ac:dyDescent="0.3"/>
    <row r="1330" ht="16.5" customHeight="1" x14ac:dyDescent="0.3"/>
    <row r="1331" ht="16.5" customHeight="1" x14ac:dyDescent="0.3"/>
    <row r="1332" ht="16.5" customHeight="1" x14ac:dyDescent="0.3"/>
    <row r="1333" ht="16.5" customHeight="1" x14ac:dyDescent="0.3"/>
    <row r="1334" ht="16.5" customHeight="1" x14ac:dyDescent="0.3"/>
    <row r="1335" ht="16.5" customHeight="1" x14ac:dyDescent="0.3"/>
    <row r="1336" ht="16.5" customHeight="1" x14ac:dyDescent="0.3"/>
    <row r="1337" ht="16.5" customHeight="1" x14ac:dyDescent="0.3"/>
    <row r="1338" ht="16.5" customHeight="1" x14ac:dyDescent="0.3"/>
    <row r="1339" ht="16.5" customHeight="1" x14ac:dyDescent="0.3"/>
    <row r="1340" ht="16.5" customHeight="1" x14ac:dyDescent="0.3"/>
    <row r="1341" ht="16.5" customHeight="1" x14ac:dyDescent="0.3"/>
    <row r="1342" ht="16.5" customHeight="1" x14ac:dyDescent="0.3"/>
    <row r="1343" ht="16.5" customHeight="1" x14ac:dyDescent="0.3"/>
    <row r="1344" ht="16.5" customHeight="1" x14ac:dyDescent="0.3"/>
    <row r="1345" ht="16.5" customHeight="1" x14ac:dyDescent="0.3"/>
    <row r="1346" ht="16.5" customHeight="1" x14ac:dyDescent="0.3"/>
    <row r="1347" ht="16.5" customHeight="1" x14ac:dyDescent="0.3"/>
    <row r="1348" ht="16.5" customHeight="1" x14ac:dyDescent="0.3"/>
    <row r="1349" ht="16.5" customHeight="1" x14ac:dyDescent="0.3"/>
    <row r="1350" ht="16.5" customHeight="1" x14ac:dyDescent="0.3"/>
    <row r="1351" ht="16.5" customHeight="1" x14ac:dyDescent="0.3"/>
    <row r="1352" ht="16.5" customHeight="1" x14ac:dyDescent="0.3"/>
    <row r="1353" ht="16.5" customHeight="1" x14ac:dyDescent="0.3"/>
    <row r="1354" ht="16.5" customHeight="1" x14ac:dyDescent="0.3"/>
    <row r="1355" ht="16.5" customHeight="1" x14ac:dyDescent="0.3"/>
    <row r="1356" ht="16.5" customHeight="1" x14ac:dyDescent="0.3"/>
    <row r="1357" ht="16.5" customHeight="1" x14ac:dyDescent="0.3"/>
    <row r="1358" ht="16.5" customHeight="1" x14ac:dyDescent="0.3"/>
    <row r="1359" ht="16.5" customHeight="1" x14ac:dyDescent="0.3"/>
    <row r="1360" ht="16.5" customHeight="1" x14ac:dyDescent="0.3"/>
    <row r="1361" ht="16.5" customHeight="1" x14ac:dyDescent="0.3"/>
    <row r="1362" ht="16.5" customHeight="1" x14ac:dyDescent="0.3"/>
    <row r="1363" ht="16.5" customHeight="1" x14ac:dyDescent="0.3"/>
    <row r="1364" ht="16.5" customHeight="1" x14ac:dyDescent="0.3"/>
    <row r="1365" ht="16.5" customHeight="1" x14ac:dyDescent="0.3"/>
    <row r="1366" ht="16.5" customHeight="1" x14ac:dyDescent="0.3"/>
    <row r="1367" ht="16.5" customHeight="1" x14ac:dyDescent="0.3"/>
    <row r="1368" ht="16.5" customHeight="1" x14ac:dyDescent="0.3"/>
    <row r="1369" ht="16.5" customHeight="1" x14ac:dyDescent="0.3"/>
    <row r="1370" ht="16.5" customHeight="1" x14ac:dyDescent="0.3"/>
    <row r="1371" ht="16.5" customHeight="1" x14ac:dyDescent="0.3"/>
    <row r="1372" ht="16.5" customHeight="1" x14ac:dyDescent="0.3"/>
    <row r="1373" ht="16.5" customHeight="1" x14ac:dyDescent="0.3"/>
    <row r="1374" ht="16.5" customHeight="1" x14ac:dyDescent="0.3"/>
    <row r="1375" ht="16.5" customHeight="1" x14ac:dyDescent="0.3"/>
    <row r="1376" ht="16.5" customHeight="1" x14ac:dyDescent="0.3"/>
    <row r="1377" ht="16.5" customHeight="1" x14ac:dyDescent="0.3"/>
    <row r="1378" ht="16.5" customHeight="1" x14ac:dyDescent="0.3"/>
    <row r="1379" ht="16.5" customHeight="1" x14ac:dyDescent="0.3"/>
    <row r="1380" ht="16.5" customHeight="1" x14ac:dyDescent="0.3"/>
    <row r="1381" ht="16.5" customHeight="1" x14ac:dyDescent="0.3"/>
    <row r="1382" ht="16.5" customHeight="1" x14ac:dyDescent="0.3"/>
    <row r="1383" ht="16.5" customHeight="1" x14ac:dyDescent="0.3"/>
    <row r="1384" ht="16.5" customHeight="1" x14ac:dyDescent="0.3"/>
    <row r="1385" ht="16.5" customHeight="1" x14ac:dyDescent="0.3"/>
    <row r="1386" ht="16.5" customHeight="1" x14ac:dyDescent="0.3"/>
    <row r="1387" ht="16.5" customHeight="1" x14ac:dyDescent="0.3"/>
    <row r="1388" ht="16.5" customHeight="1" x14ac:dyDescent="0.3"/>
    <row r="1389" ht="16.5" customHeight="1" x14ac:dyDescent="0.3"/>
    <row r="1390" ht="16.5" customHeight="1" x14ac:dyDescent="0.3"/>
    <row r="1391" ht="16.5" customHeight="1" x14ac:dyDescent="0.3"/>
    <row r="1392" ht="16.5" customHeight="1" x14ac:dyDescent="0.3"/>
    <row r="1393" ht="16.5" customHeight="1" x14ac:dyDescent="0.3"/>
    <row r="1394" ht="16.5" customHeight="1" x14ac:dyDescent="0.3"/>
    <row r="1395" ht="16.5" customHeight="1" x14ac:dyDescent="0.3"/>
    <row r="1396" ht="16.5" customHeight="1" x14ac:dyDescent="0.3"/>
    <row r="1397" ht="16.5" customHeight="1" x14ac:dyDescent="0.3"/>
    <row r="1398" ht="16.5" customHeight="1" x14ac:dyDescent="0.3"/>
    <row r="1399" ht="16.5" customHeight="1" x14ac:dyDescent="0.3"/>
    <row r="1400" ht="16.5" customHeight="1" x14ac:dyDescent="0.3"/>
    <row r="1401" ht="16.5" customHeight="1" x14ac:dyDescent="0.3"/>
    <row r="1402" ht="16.5" customHeight="1" x14ac:dyDescent="0.3"/>
    <row r="1403" ht="16.5" customHeight="1" x14ac:dyDescent="0.3"/>
    <row r="1404" ht="16.5" customHeight="1" x14ac:dyDescent="0.3"/>
    <row r="1405" ht="16.5" customHeight="1" x14ac:dyDescent="0.3"/>
    <row r="1406" ht="16.5" customHeight="1" x14ac:dyDescent="0.3"/>
    <row r="1407" ht="16.5" customHeight="1" x14ac:dyDescent="0.3"/>
    <row r="1408" ht="16.5" customHeight="1" x14ac:dyDescent="0.3"/>
    <row r="1409" ht="16.5" customHeight="1" x14ac:dyDescent="0.3"/>
    <row r="1410" ht="16.5" customHeight="1" x14ac:dyDescent="0.3"/>
    <row r="1411" ht="16.5" customHeight="1" x14ac:dyDescent="0.3"/>
    <row r="1412" ht="16.5" customHeight="1" x14ac:dyDescent="0.3"/>
    <row r="1413" ht="16.5" customHeight="1" x14ac:dyDescent="0.3"/>
    <row r="1414" ht="16.5" customHeight="1" x14ac:dyDescent="0.3"/>
    <row r="1415" ht="16.5" customHeight="1" x14ac:dyDescent="0.3"/>
    <row r="1416" ht="16.5" customHeight="1" x14ac:dyDescent="0.3"/>
    <row r="1417" ht="16.5" customHeight="1" x14ac:dyDescent="0.3"/>
    <row r="1418" ht="16.5" customHeight="1" x14ac:dyDescent="0.3"/>
    <row r="1419" ht="16.5" customHeight="1" x14ac:dyDescent="0.3"/>
    <row r="1420" ht="16.5" customHeight="1" x14ac:dyDescent="0.3"/>
    <row r="1421" ht="16.5" customHeight="1" x14ac:dyDescent="0.3"/>
    <row r="1422" ht="16.5" customHeight="1" x14ac:dyDescent="0.3"/>
    <row r="1423" ht="16.5" customHeight="1" x14ac:dyDescent="0.3"/>
    <row r="1424" ht="16.5" customHeight="1" x14ac:dyDescent="0.3"/>
    <row r="1425" ht="16.5" customHeight="1" x14ac:dyDescent="0.3"/>
    <row r="1426" ht="16.5" customHeight="1" x14ac:dyDescent="0.3"/>
    <row r="1427" ht="16.5" customHeight="1" x14ac:dyDescent="0.3"/>
    <row r="1428" ht="16.5" customHeight="1" x14ac:dyDescent="0.3"/>
    <row r="1429" ht="16.5" customHeight="1" x14ac:dyDescent="0.3"/>
    <row r="1430" ht="16.5" customHeight="1" x14ac:dyDescent="0.3"/>
    <row r="1431" ht="16.5" customHeight="1" x14ac:dyDescent="0.3"/>
    <row r="1432" ht="16.5" customHeight="1" x14ac:dyDescent="0.3"/>
    <row r="1433" ht="16.5" customHeight="1" x14ac:dyDescent="0.3"/>
    <row r="1434" ht="16.5" customHeight="1" x14ac:dyDescent="0.3"/>
    <row r="1435" ht="16.5" customHeight="1" x14ac:dyDescent="0.3"/>
    <row r="1436" ht="16.5" customHeight="1" x14ac:dyDescent="0.3"/>
    <row r="1437" ht="16.5" customHeight="1" x14ac:dyDescent="0.3"/>
    <row r="1438" ht="16.5" customHeight="1" x14ac:dyDescent="0.3"/>
    <row r="1439" ht="16.5" customHeight="1" x14ac:dyDescent="0.3"/>
    <row r="1440" ht="16.5" customHeight="1" x14ac:dyDescent="0.3"/>
    <row r="1441" ht="16.5" customHeight="1" x14ac:dyDescent="0.3"/>
    <row r="1442" ht="16.5" customHeight="1" x14ac:dyDescent="0.3"/>
    <row r="1443" ht="16.5" customHeight="1" x14ac:dyDescent="0.3"/>
    <row r="1444" ht="16.5" customHeight="1" x14ac:dyDescent="0.3"/>
    <row r="1445" ht="16.5" customHeight="1" x14ac:dyDescent="0.3"/>
    <row r="1446" ht="16.5" customHeight="1" x14ac:dyDescent="0.3"/>
    <row r="1447" ht="16.5" customHeight="1" x14ac:dyDescent="0.3"/>
    <row r="1448" ht="16.5" customHeight="1" x14ac:dyDescent="0.3"/>
    <row r="1449" ht="16.5" customHeight="1" x14ac:dyDescent="0.3"/>
    <row r="1450" ht="16.5" customHeight="1" x14ac:dyDescent="0.3"/>
    <row r="1451" ht="16.5" customHeight="1" x14ac:dyDescent="0.3"/>
    <row r="1452" ht="16.5" customHeight="1" x14ac:dyDescent="0.3"/>
    <row r="1453" ht="16.5" customHeight="1" x14ac:dyDescent="0.3"/>
    <row r="1454" ht="16.5" customHeight="1" x14ac:dyDescent="0.3"/>
    <row r="1455" ht="16.5" customHeight="1" x14ac:dyDescent="0.3"/>
    <row r="1456" ht="16.5" customHeight="1" x14ac:dyDescent="0.3"/>
    <row r="1457" ht="16.5" customHeight="1" x14ac:dyDescent="0.3"/>
    <row r="1458" ht="16.5" customHeight="1" x14ac:dyDescent="0.3"/>
    <row r="1459" ht="16.5" customHeight="1" x14ac:dyDescent="0.3"/>
    <row r="1460" ht="16.5" customHeight="1" x14ac:dyDescent="0.3"/>
    <row r="1461" ht="16.5" customHeight="1" x14ac:dyDescent="0.3"/>
    <row r="1462" ht="16.5" customHeight="1" x14ac:dyDescent="0.3"/>
    <row r="1463" ht="16.5" customHeight="1" x14ac:dyDescent="0.3"/>
    <row r="1464" ht="16.5" customHeight="1" x14ac:dyDescent="0.3"/>
    <row r="1465" ht="16.5" customHeight="1" x14ac:dyDescent="0.3"/>
    <row r="1466" ht="16.5" customHeight="1" x14ac:dyDescent="0.3"/>
    <row r="1467" ht="16.5" customHeight="1" x14ac:dyDescent="0.3"/>
    <row r="1468" ht="16.5" customHeight="1" x14ac:dyDescent="0.3"/>
    <row r="1469" ht="16.5" customHeight="1" x14ac:dyDescent="0.3"/>
    <row r="1470" ht="16.5" customHeight="1" x14ac:dyDescent="0.3"/>
    <row r="1471" ht="16.5" customHeight="1" x14ac:dyDescent="0.3"/>
    <row r="1472" ht="16.5" customHeight="1" x14ac:dyDescent="0.3"/>
    <row r="1473" ht="16.5" customHeight="1" x14ac:dyDescent="0.3"/>
    <row r="1474" ht="16.5" customHeight="1" x14ac:dyDescent="0.3"/>
    <row r="1475" ht="16.5" customHeight="1" x14ac:dyDescent="0.3"/>
    <row r="1476" ht="16.5" customHeight="1" x14ac:dyDescent="0.3"/>
    <row r="1477" ht="16.5" customHeight="1" x14ac:dyDescent="0.3"/>
    <row r="1478" ht="16.5" customHeight="1" x14ac:dyDescent="0.3"/>
    <row r="1479" ht="16.5" customHeight="1" x14ac:dyDescent="0.3"/>
    <row r="1480" ht="16.5" customHeight="1" x14ac:dyDescent="0.3"/>
    <row r="1481" ht="16.5" customHeight="1" x14ac:dyDescent="0.3"/>
    <row r="1482" ht="16.5" customHeight="1" x14ac:dyDescent="0.3"/>
    <row r="1483" ht="16.5" customHeight="1" x14ac:dyDescent="0.3"/>
    <row r="1484" ht="16.5" customHeight="1" x14ac:dyDescent="0.3"/>
    <row r="1485" ht="16.5" customHeight="1" x14ac:dyDescent="0.3"/>
    <row r="1486" ht="16.5" customHeight="1" x14ac:dyDescent="0.3"/>
    <row r="1487" ht="16.5" customHeight="1" x14ac:dyDescent="0.3"/>
    <row r="1488" ht="16.5" customHeight="1" x14ac:dyDescent="0.3"/>
    <row r="1489" ht="16.5" customHeight="1" x14ac:dyDescent="0.3"/>
    <row r="1490" ht="16.5" customHeight="1" x14ac:dyDescent="0.3"/>
    <row r="1491" ht="16.5" customHeight="1" x14ac:dyDescent="0.3"/>
    <row r="1492" ht="16.5" customHeight="1" x14ac:dyDescent="0.3"/>
    <row r="1493" ht="16.5" customHeight="1" x14ac:dyDescent="0.3"/>
    <row r="1494" ht="16.5" customHeight="1" x14ac:dyDescent="0.3"/>
    <row r="1495" ht="16.5" customHeight="1" x14ac:dyDescent="0.3"/>
    <row r="1496" ht="16.5" customHeight="1" x14ac:dyDescent="0.3"/>
    <row r="1497" ht="16.5" customHeight="1" x14ac:dyDescent="0.3"/>
    <row r="1498" ht="16.5" customHeight="1" x14ac:dyDescent="0.3"/>
    <row r="1499" ht="16.5" customHeight="1" x14ac:dyDescent="0.3"/>
    <row r="1500" ht="16.5" customHeight="1" x14ac:dyDescent="0.3"/>
    <row r="1501" ht="16.5" customHeight="1" x14ac:dyDescent="0.3"/>
    <row r="1502" ht="16.5" customHeight="1" x14ac:dyDescent="0.3"/>
    <row r="1503" ht="16.5" customHeight="1" x14ac:dyDescent="0.3"/>
    <row r="1504" ht="16.5" customHeight="1" x14ac:dyDescent="0.3"/>
    <row r="1505" ht="16.5" customHeight="1" x14ac:dyDescent="0.3"/>
    <row r="1506" ht="16.5" customHeight="1" x14ac:dyDescent="0.3"/>
    <row r="1507" ht="16.5" customHeight="1" x14ac:dyDescent="0.3"/>
    <row r="1508" ht="16.5" customHeight="1" x14ac:dyDescent="0.3"/>
    <row r="1509" ht="16.5" customHeight="1" x14ac:dyDescent="0.3"/>
    <row r="1510" ht="16.5" customHeight="1" x14ac:dyDescent="0.3"/>
    <row r="1511" ht="16.5" customHeight="1" x14ac:dyDescent="0.3"/>
    <row r="1512" ht="16.5" customHeight="1" x14ac:dyDescent="0.3"/>
    <row r="1513" ht="16.5" customHeight="1" x14ac:dyDescent="0.3"/>
    <row r="1514" ht="16.5" customHeight="1" x14ac:dyDescent="0.3"/>
    <row r="1515" ht="16.5" customHeight="1" x14ac:dyDescent="0.3"/>
    <row r="1516" ht="16.5" customHeight="1" x14ac:dyDescent="0.3"/>
    <row r="1517" ht="16.5" customHeight="1" x14ac:dyDescent="0.3"/>
    <row r="1518" ht="16.5" customHeight="1" x14ac:dyDescent="0.3"/>
    <row r="1519" ht="16.5" customHeight="1" x14ac:dyDescent="0.3"/>
    <row r="1520" ht="16.5" customHeight="1" x14ac:dyDescent="0.3"/>
    <row r="1521" ht="16.5" customHeight="1" x14ac:dyDescent="0.3"/>
    <row r="1522" ht="16.5" customHeight="1" x14ac:dyDescent="0.3"/>
    <row r="1523" ht="16.5" customHeight="1" x14ac:dyDescent="0.3"/>
    <row r="1524" ht="16.5" customHeight="1" x14ac:dyDescent="0.3"/>
    <row r="1525" ht="16.5" customHeight="1" x14ac:dyDescent="0.3"/>
    <row r="1526" ht="16.5" customHeight="1" x14ac:dyDescent="0.3"/>
  </sheetData>
  <sheetProtection formatCells="0" formatColumns="0" formatRows="0" insertColumns="0" insertRows="0" insertHyperlinks="0" deleteColumns="0" deleteRows="0" selectLockedCells="1" sort="0" autoFilter="0" pivotTables="0"/>
  <mergeCells count="4">
    <mergeCell ref="D10:E10"/>
    <mergeCell ref="D23:E23"/>
    <mergeCell ref="J3:K3"/>
    <mergeCell ref="D3:E3"/>
  </mergeCells>
  <phoneticPr fontId="3" type="noConversion"/>
  <conditionalFormatting sqref="E15:P15">
    <cfRule type="cellIs" dxfId="92" priority="4" operator="lessThan">
      <formula>$R$7</formula>
    </cfRule>
    <cfRule type="cellIs" dxfId="91" priority="6" operator="greaterThanOrEqual">
      <formula>$R$7</formula>
    </cfRule>
  </conditionalFormatting>
  <conditionalFormatting sqref="E19:P19">
    <cfRule type="cellIs" dxfId="90" priority="3" operator="lessThan">
      <formula>$R$8</formula>
    </cfRule>
    <cfRule type="cellIs" dxfId="89" priority="5" operator="greaterThanOrEqual">
      <formula>$R$8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  <pageSetUpPr autoPageBreaks="0" fitToPage="1"/>
  </sheetPr>
  <dimension ref="A1:R36"/>
  <sheetViews>
    <sheetView showGridLines="0" zoomScaleNormal="100" workbookViewId="0">
      <selection activeCell="E3" sqref="E3"/>
    </sheetView>
  </sheetViews>
  <sheetFormatPr defaultRowHeight="16.5" x14ac:dyDescent="0.3"/>
  <cols>
    <col min="1" max="1" width="4.625" customWidth="1"/>
    <col min="2" max="17" width="10.625" customWidth="1"/>
    <col min="18" max="18" width="4.625" customWidth="1"/>
  </cols>
  <sheetData>
    <row r="1" spans="1:18" ht="40.5" customHeight="1" x14ac:dyDescent="0.3">
      <c r="A1" s="10"/>
      <c r="B1" s="141" t="s">
        <v>120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7.25" thickBot="1" x14ac:dyDescent="0.35"/>
    <row r="3" spans="1:18" ht="30" customHeight="1" thickBot="1" x14ac:dyDescent="0.35">
      <c r="B3" s="338" t="s">
        <v>464</v>
      </c>
      <c r="C3" s="321" t="s">
        <v>1</v>
      </c>
      <c r="D3" s="341" t="s">
        <v>10</v>
      </c>
      <c r="E3" s="341" t="s">
        <v>6</v>
      </c>
      <c r="F3" s="341" t="s">
        <v>11</v>
      </c>
      <c r="G3" s="338" t="s">
        <v>12</v>
      </c>
      <c r="H3" s="335" t="s">
        <v>177</v>
      </c>
      <c r="I3" s="335" t="s">
        <v>222</v>
      </c>
      <c r="J3" s="335" t="s">
        <v>279</v>
      </c>
      <c r="K3" s="335" t="s">
        <v>13</v>
      </c>
      <c r="L3" s="335" t="s">
        <v>29</v>
      </c>
      <c r="M3" s="335" t="s">
        <v>168</v>
      </c>
      <c r="N3" s="335" t="s">
        <v>14</v>
      </c>
      <c r="O3" s="335" t="s">
        <v>30</v>
      </c>
      <c r="P3" s="335" t="s">
        <v>299</v>
      </c>
      <c r="Q3" s="335" t="s">
        <v>304</v>
      </c>
    </row>
    <row r="4" spans="1:18" ht="18" customHeight="1" x14ac:dyDescent="0.3">
      <c r="B4" s="334" t="s">
        <v>85</v>
      </c>
      <c r="C4" s="322" t="s">
        <v>3</v>
      </c>
      <c r="D4" s="342" t="s">
        <v>15</v>
      </c>
      <c r="E4" s="342" t="s">
        <v>215</v>
      </c>
      <c r="F4" s="342" t="s">
        <v>110</v>
      </c>
      <c r="G4" s="339" t="s">
        <v>16</v>
      </c>
      <c r="H4" s="336" t="s">
        <v>178</v>
      </c>
      <c r="I4" s="336" t="s">
        <v>5</v>
      </c>
      <c r="J4" s="336" t="s">
        <v>280</v>
      </c>
      <c r="K4" s="336" t="s">
        <v>475</v>
      </c>
      <c r="L4" s="336" t="s">
        <v>226</v>
      </c>
      <c r="M4" s="336" t="s">
        <v>284</v>
      </c>
      <c r="N4" s="336" t="s">
        <v>288</v>
      </c>
      <c r="O4" s="336" t="s">
        <v>292</v>
      </c>
      <c r="P4" s="336" t="s">
        <v>300</v>
      </c>
      <c r="Q4" s="336" t="s">
        <v>302</v>
      </c>
    </row>
    <row r="5" spans="1:18" ht="18" customHeight="1" x14ac:dyDescent="0.3">
      <c r="B5" s="334" t="s">
        <v>465</v>
      </c>
      <c r="C5" s="323" t="s">
        <v>275</v>
      </c>
      <c r="D5" s="304" t="s">
        <v>17</v>
      </c>
      <c r="E5" s="304" t="s">
        <v>246</v>
      </c>
      <c r="F5" s="304" t="s">
        <v>102</v>
      </c>
      <c r="G5" s="334" t="s">
        <v>18</v>
      </c>
      <c r="H5" s="337" t="s">
        <v>179</v>
      </c>
      <c r="I5" s="337" t="s">
        <v>19</v>
      </c>
      <c r="J5" s="337" t="s">
        <v>281</v>
      </c>
      <c r="K5" s="337" t="s">
        <v>86</v>
      </c>
      <c r="L5" s="337" t="s">
        <v>227</v>
      </c>
      <c r="M5" s="337" t="s">
        <v>285</v>
      </c>
      <c r="N5" s="337" t="s">
        <v>289</v>
      </c>
      <c r="O5" s="337" t="s">
        <v>293</v>
      </c>
      <c r="P5" s="337" t="s">
        <v>301</v>
      </c>
      <c r="Q5" s="337" t="s">
        <v>303</v>
      </c>
    </row>
    <row r="6" spans="1:18" ht="18" customHeight="1" x14ac:dyDescent="0.3">
      <c r="B6" s="334" t="s">
        <v>446</v>
      </c>
      <c r="C6" s="323" t="s">
        <v>276</v>
      </c>
      <c r="D6" s="304" t="s">
        <v>218</v>
      </c>
      <c r="E6" s="304" t="s">
        <v>20</v>
      </c>
      <c r="F6" s="304" t="s">
        <v>191</v>
      </c>
      <c r="G6" s="334" t="s">
        <v>173</v>
      </c>
      <c r="H6" s="337" t="s">
        <v>181</v>
      </c>
      <c r="I6" s="337" t="s">
        <v>21</v>
      </c>
      <c r="J6" s="337" t="s">
        <v>107</v>
      </c>
      <c r="K6" s="337" t="s">
        <v>87</v>
      </c>
      <c r="L6" s="337" t="s">
        <v>228</v>
      </c>
      <c r="M6" s="337" t="s">
        <v>286</v>
      </c>
      <c r="N6" s="337" t="s">
        <v>99</v>
      </c>
      <c r="O6" s="337" t="s">
        <v>294</v>
      </c>
      <c r="P6" s="337" t="s">
        <v>84</v>
      </c>
      <c r="Q6" s="337"/>
    </row>
    <row r="7" spans="1:18" ht="18" customHeight="1" x14ac:dyDescent="0.3">
      <c r="B7" s="334" t="s">
        <v>447</v>
      </c>
      <c r="C7" s="323" t="s">
        <v>277</v>
      </c>
      <c r="D7" s="304" t="s">
        <v>219</v>
      </c>
      <c r="E7" s="304" t="s">
        <v>70</v>
      </c>
      <c r="F7" s="304" t="s">
        <v>192</v>
      </c>
      <c r="G7" s="334" t="s">
        <v>213</v>
      </c>
      <c r="H7" s="337" t="s">
        <v>180</v>
      </c>
      <c r="I7" s="337" t="s">
        <v>23</v>
      </c>
      <c r="J7" s="337" t="s">
        <v>108</v>
      </c>
      <c r="K7" s="337" t="s">
        <v>188</v>
      </c>
      <c r="L7" s="337" t="s">
        <v>283</v>
      </c>
      <c r="M7" s="337" t="s">
        <v>298</v>
      </c>
      <c r="N7" s="337" t="s">
        <v>100</v>
      </c>
      <c r="O7" s="337" t="s">
        <v>295</v>
      </c>
      <c r="P7" s="337"/>
      <c r="Q7" s="337"/>
    </row>
    <row r="8" spans="1:18" ht="18" customHeight="1" x14ac:dyDescent="0.3">
      <c r="B8" s="334"/>
      <c r="C8" s="323" t="s">
        <v>81</v>
      </c>
      <c r="D8" s="304" t="s">
        <v>220</v>
      </c>
      <c r="E8" s="304" t="s">
        <v>24</v>
      </c>
      <c r="F8" s="304" t="s">
        <v>103</v>
      </c>
      <c r="G8" s="334" t="s">
        <v>119</v>
      </c>
      <c r="H8" s="337" t="s">
        <v>182</v>
      </c>
      <c r="I8" s="337" t="s">
        <v>223</v>
      </c>
      <c r="J8" s="337" t="s">
        <v>282</v>
      </c>
      <c r="K8" s="337" t="s">
        <v>189</v>
      </c>
      <c r="L8" s="337" t="s">
        <v>190</v>
      </c>
      <c r="M8" s="337" t="s">
        <v>290</v>
      </c>
      <c r="N8" s="337" t="s">
        <v>101</v>
      </c>
      <c r="O8" s="337" t="s">
        <v>296</v>
      </c>
      <c r="P8" s="337"/>
      <c r="Q8" s="337"/>
    </row>
    <row r="9" spans="1:18" ht="18" customHeight="1" x14ac:dyDescent="0.3">
      <c r="B9" s="334"/>
      <c r="C9" s="323" t="s">
        <v>216</v>
      </c>
      <c r="D9" s="304" t="s">
        <v>221</v>
      </c>
      <c r="E9" s="5" t="s">
        <v>25</v>
      </c>
      <c r="F9" s="304" t="s">
        <v>104</v>
      </c>
      <c r="G9" s="334" t="s">
        <v>212</v>
      </c>
      <c r="H9" s="337"/>
      <c r="I9" s="337" t="s">
        <v>224</v>
      </c>
      <c r="J9" s="337"/>
      <c r="K9" s="337"/>
      <c r="L9" s="337"/>
      <c r="M9" s="337" t="s">
        <v>291</v>
      </c>
      <c r="N9" s="337"/>
      <c r="O9" s="337" t="s">
        <v>297</v>
      </c>
      <c r="P9" s="337"/>
      <c r="Q9" s="337"/>
    </row>
    <row r="10" spans="1:18" ht="18" customHeight="1" x14ac:dyDescent="0.3">
      <c r="B10" s="334"/>
      <c r="C10" s="323" t="s">
        <v>61</v>
      </c>
      <c r="D10" s="5"/>
      <c r="E10" s="343"/>
      <c r="F10" s="304" t="s">
        <v>105</v>
      </c>
      <c r="G10" s="334"/>
      <c r="H10" s="337"/>
      <c r="I10" s="337" t="s">
        <v>225</v>
      </c>
      <c r="J10" s="337"/>
      <c r="K10" s="337"/>
      <c r="L10" s="337"/>
      <c r="M10" s="337" t="s">
        <v>272</v>
      </c>
      <c r="N10" s="337"/>
      <c r="O10" s="337"/>
      <c r="P10" s="337"/>
      <c r="Q10" s="337"/>
    </row>
    <row r="11" spans="1:18" ht="18" customHeight="1" x14ac:dyDescent="0.3">
      <c r="B11" s="334"/>
      <c r="C11" s="323" t="s">
        <v>217</v>
      </c>
      <c r="D11" s="343"/>
      <c r="E11" s="304"/>
      <c r="F11" s="304" t="s">
        <v>109</v>
      </c>
      <c r="G11" s="334"/>
      <c r="H11" s="337"/>
      <c r="I11" s="337"/>
      <c r="J11" s="337"/>
      <c r="K11" s="337"/>
      <c r="L11" s="337"/>
      <c r="M11" s="337" t="s">
        <v>287</v>
      </c>
      <c r="N11" s="337"/>
      <c r="O11" s="337"/>
      <c r="P11" s="337"/>
      <c r="Q11" s="337"/>
    </row>
    <row r="12" spans="1:18" ht="18" customHeight="1" x14ac:dyDescent="0.3">
      <c r="B12" s="334"/>
      <c r="C12" s="340" t="s">
        <v>169</v>
      </c>
      <c r="D12" s="304"/>
      <c r="E12" s="304"/>
      <c r="F12" s="5" t="s">
        <v>106</v>
      </c>
      <c r="G12" s="334"/>
      <c r="H12" s="337"/>
      <c r="I12" s="337"/>
      <c r="J12" s="337"/>
      <c r="K12" s="337"/>
      <c r="L12" s="337"/>
      <c r="M12" s="337" t="s">
        <v>95</v>
      </c>
      <c r="N12" s="337"/>
      <c r="O12" s="337"/>
      <c r="P12" s="337"/>
      <c r="Q12" s="337"/>
    </row>
    <row r="13" spans="1:18" ht="18" customHeight="1" x14ac:dyDescent="0.3">
      <c r="B13" s="255"/>
      <c r="C13" s="344"/>
      <c r="D13" s="304"/>
      <c r="E13" s="304"/>
      <c r="F13" s="343"/>
      <c r="G13" s="334"/>
      <c r="H13" s="337"/>
      <c r="I13" s="337"/>
      <c r="J13" s="337"/>
      <c r="K13" s="337"/>
      <c r="L13" s="337"/>
      <c r="M13" s="337" t="s">
        <v>96</v>
      </c>
      <c r="N13" s="337"/>
      <c r="O13" s="337"/>
      <c r="P13" s="337"/>
      <c r="Q13" s="337"/>
    </row>
    <row r="14" spans="1:18" ht="18" customHeight="1" x14ac:dyDescent="0.3">
      <c r="B14" s="255"/>
      <c r="C14" s="323"/>
      <c r="D14" s="304"/>
      <c r="E14" s="304"/>
      <c r="F14" s="304"/>
      <c r="G14" s="334"/>
      <c r="H14" s="337"/>
      <c r="I14" s="337"/>
      <c r="J14" s="337"/>
      <c r="K14" s="337"/>
      <c r="L14" s="337"/>
      <c r="M14" s="337" t="s">
        <v>97</v>
      </c>
      <c r="N14" s="337"/>
      <c r="O14" s="337"/>
      <c r="P14" s="337"/>
      <c r="Q14" s="337"/>
    </row>
    <row r="15" spans="1:18" ht="18" customHeight="1" x14ac:dyDescent="0.3">
      <c r="B15" s="255"/>
      <c r="C15" s="323"/>
      <c r="D15" s="304"/>
      <c r="E15" s="304"/>
      <c r="F15" s="304"/>
      <c r="G15" s="334"/>
      <c r="H15" s="337"/>
      <c r="I15" s="337"/>
      <c r="J15" s="337"/>
      <c r="K15" s="337"/>
      <c r="L15" s="337"/>
      <c r="M15" s="337" t="s">
        <v>98</v>
      </c>
      <c r="N15" s="337"/>
      <c r="O15" s="337"/>
      <c r="P15" s="337"/>
      <c r="Q15" s="337"/>
    </row>
    <row r="16" spans="1:18" ht="18" customHeight="1" x14ac:dyDescent="0.3">
      <c r="B16" s="255"/>
      <c r="C16" s="323"/>
      <c r="D16" s="304"/>
      <c r="E16" s="304"/>
      <c r="F16" s="304"/>
      <c r="G16" s="334"/>
      <c r="H16" s="337"/>
      <c r="I16" s="337"/>
      <c r="J16" s="337"/>
      <c r="K16" s="337"/>
      <c r="L16" s="337"/>
      <c r="M16" s="337"/>
      <c r="N16" s="337"/>
      <c r="O16" s="337"/>
      <c r="P16" s="337"/>
      <c r="Q16" s="337"/>
    </row>
    <row r="17" spans="2:17" ht="18" customHeight="1" x14ac:dyDescent="0.3">
      <c r="B17" s="255"/>
      <c r="C17" s="323"/>
      <c r="D17" s="304"/>
      <c r="E17" s="304"/>
      <c r="F17" s="304"/>
      <c r="G17" s="334"/>
      <c r="H17" s="337"/>
      <c r="I17" s="337"/>
      <c r="J17" s="337"/>
      <c r="K17" s="337"/>
      <c r="L17" s="337"/>
      <c r="M17" s="337"/>
      <c r="N17" s="337"/>
      <c r="O17" s="337"/>
      <c r="P17" s="337"/>
      <c r="Q17" s="337"/>
    </row>
    <row r="18" spans="2:17" ht="18" customHeight="1" x14ac:dyDescent="0.3">
      <c r="B18" s="255"/>
      <c r="C18" s="323"/>
      <c r="D18" s="304"/>
      <c r="E18" s="304"/>
      <c r="F18" s="304"/>
      <c r="G18" s="334"/>
      <c r="H18" s="337"/>
      <c r="I18" s="337"/>
      <c r="J18" s="337"/>
      <c r="K18" s="337"/>
      <c r="L18" s="337"/>
      <c r="M18" s="337"/>
      <c r="N18" s="337"/>
      <c r="O18" s="337"/>
      <c r="P18" s="337"/>
      <c r="Q18" s="337"/>
    </row>
    <row r="20" spans="2:17" ht="17.25" thickBot="1" x14ac:dyDescent="0.35"/>
    <row r="21" spans="2:17" ht="17.25" thickBot="1" x14ac:dyDescent="0.35">
      <c r="B21" s="321" t="s">
        <v>448</v>
      </c>
      <c r="C21" s="321" t="s">
        <v>471</v>
      </c>
      <c r="D21" s="321" t="s">
        <v>458</v>
      </c>
      <c r="H21" s="335" t="str">
        <f>B4</f>
        <v>현금</v>
      </c>
      <c r="I21" s="335" t="str">
        <f>B5</f>
        <v>계좌이체</v>
      </c>
      <c r="J21" s="335" t="str">
        <f>B6</f>
        <v>신용카드</v>
      </c>
      <c r="K21" s="335" t="str">
        <f>B7</f>
        <v>체크카드</v>
      </c>
    </row>
    <row r="22" spans="2:17" x14ac:dyDescent="0.3">
      <c r="B22" s="255" t="s">
        <v>449</v>
      </c>
      <c r="C22" s="255" t="s">
        <v>453</v>
      </c>
      <c r="D22" s="255" t="s">
        <v>459</v>
      </c>
      <c r="H22" s="336"/>
      <c r="I22" s="336"/>
      <c r="J22" s="336" t="s">
        <v>467</v>
      </c>
      <c r="K22" s="336"/>
    </row>
    <row r="23" spans="2:17" x14ac:dyDescent="0.3">
      <c r="B23" s="255" t="s">
        <v>450</v>
      </c>
      <c r="C23" s="255" t="s">
        <v>454</v>
      </c>
      <c r="D23" s="255" t="s">
        <v>460</v>
      </c>
      <c r="H23" s="337"/>
      <c r="I23" s="337"/>
      <c r="J23" s="337" t="s">
        <v>468</v>
      </c>
      <c r="K23" s="337"/>
    </row>
    <row r="24" spans="2:17" x14ac:dyDescent="0.3">
      <c r="B24" s="255" t="s">
        <v>451</v>
      </c>
      <c r="C24" s="255" t="s">
        <v>455</v>
      </c>
      <c r="D24" s="255" t="s">
        <v>461</v>
      </c>
      <c r="H24" s="337"/>
      <c r="I24" s="337"/>
      <c r="J24" s="337"/>
      <c r="K24" s="337"/>
    </row>
    <row r="25" spans="2:17" x14ac:dyDescent="0.3">
      <c r="B25" s="255"/>
      <c r="C25" s="255" t="s">
        <v>456</v>
      </c>
      <c r="D25" s="255" t="s">
        <v>462</v>
      </c>
      <c r="H25" s="337"/>
      <c r="I25" s="337"/>
      <c r="J25" s="337"/>
      <c r="K25" s="337"/>
    </row>
    <row r="26" spans="2:17" x14ac:dyDescent="0.3">
      <c r="B26" s="255"/>
      <c r="C26" s="255" t="s">
        <v>457</v>
      </c>
      <c r="D26" s="255" t="s">
        <v>463</v>
      </c>
      <c r="H26" s="337"/>
      <c r="I26" s="337"/>
      <c r="J26" s="337"/>
      <c r="K26" s="337"/>
    </row>
    <row r="27" spans="2:17" x14ac:dyDescent="0.3">
      <c r="B27" s="255"/>
      <c r="C27" s="255"/>
      <c r="D27" s="255"/>
      <c r="H27" s="337"/>
      <c r="I27" s="337"/>
      <c r="J27" s="337"/>
      <c r="K27" s="337"/>
    </row>
    <row r="28" spans="2:17" x14ac:dyDescent="0.3">
      <c r="B28" s="255"/>
      <c r="C28" s="255"/>
      <c r="D28" s="255"/>
      <c r="H28" s="337"/>
      <c r="I28" s="337"/>
      <c r="J28" s="337"/>
      <c r="K28" s="337"/>
    </row>
    <row r="29" spans="2:17" x14ac:dyDescent="0.3">
      <c r="B29" s="255"/>
      <c r="C29" s="255"/>
      <c r="D29" s="255"/>
      <c r="H29" s="337"/>
      <c r="I29" s="337"/>
      <c r="J29" s="337"/>
      <c r="K29" s="337"/>
    </row>
    <row r="30" spans="2:17" x14ac:dyDescent="0.3">
      <c r="B30" s="255"/>
      <c r="C30" s="255"/>
      <c r="D30" s="255"/>
      <c r="H30" s="337"/>
      <c r="I30" s="337"/>
      <c r="J30" s="337"/>
      <c r="K30" s="337"/>
    </row>
    <row r="31" spans="2:17" x14ac:dyDescent="0.3">
      <c r="B31" s="255"/>
      <c r="C31" s="255"/>
      <c r="D31" s="255"/>
      <c r="H31" s="337"/>
      <c r="I31" s="337"/>
      <c r="J31" s="337"/>
      <c r="K31" s="337"/>
    </row>
    <row r="32" spans="2:17" x14ac:dyDescent="0.3">
      <c r="B32" s="255"/>
      <c r="C32" s="255"/>
      <c r="D32" s="255"/>
      <c r="H32" s="337"/>
      <c r="I32" s="337"/>
      <c r="J32" s="337"/>
      <c r="K32" s="337"/>
    </row>
    <row r="33" spans="2:11" x14ac:dyDescent="0.3">
      <c r="B33" s="255"/>
      <c r="C33" s="255"/>
      <c r="D33" s="255"/>
      <c r="H33" s="337"/>
      <c r="I33" s="337"/>
      <c r="J33" s="337"/>
      <c r="K33" s="337"/>
    </row>
    <row r="34" spans="2:11" x14ac:dyDescent="0.3">
      <c r="B34" s="255"/>
      <c r="C34" s="255"/>
      <c r="D34" s="255"/>
      <c r="H34" s="337"/>
      <c r="I34" s="337"/>
      <c r="J34" s="337"/>
      <c r="K34" s="337"/>
    </row>
    <row r="35" spans="2:11" x14ac:dyDescent="0.3">
      <c r="B35" s="255"/>
      <c r="C35" s="255"/>
      <c r="D35" s="255"/>
      <c r="H35" s="337"/>
      <c r="I35" s="337"/>
      <c r="J35" s="337"/>
      <c r="K35" s="337"/>
    </row>
    <row r="36" spans="2:11" x14ac:dyDescent="0.3">
      <c r="B36" s="255"/>
      <c r="C36" s="255"/>
      <c r="D36" s="255"/>
      <c r="H36" s="337"/>
      <c r="I36" s="337"/>
      <c r="J36" s="337"/>
      <c r="K36" s="337"/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7030A0"/>
    <pageSetUpPr autoPageBreaks="0" fitToPage="1"/>
  </sheetPr>
  <dimension ref="A1:S47"/>
  <sheetViews>
    <sheetView showGridLines="0" zoomScaleNormal="100" workbookViewId="0">
      <pane ySplit="8" topLeftCell="A9" activePane="bottomLeft" state="frozen"/>
      <selection pane="bottomLeft" activeCell="L15" sqref="L15"/>
    </sheetView>
  </sheetViews>
  <sheetFormatPr defaultColWidth="8.875" defaultRowHeight="11.25" x14ac:dyDescent="0.3"/>
  <cols>
    <col min="1" max="1" width="4.625" style="49" customWidth="1"/>
    <col min="2" max="2" width="6.375" style="48" customWidth="1"/>
    <col min="3" max="3" width="8.625" style="48" customWidth="1"/>
    <col min="4" max="4" width="8.125" style="48" customWidth="1"/>
    <col min="5" max="5" width="8.25" style="48" customWidth="1"/>
    <col min="6" max="8" width="20.375" style="48" customWidth="1"/>
    <col min="9" max="9" width="25.625" style="48" customWidth="1"/>
    <col min="10" max="11" width="11.625" style="48" customWidth="1"/>
    <col min="12" max="12" width="10.25" style="49" customWidth="1"/>
    <col min="13" max="13" width="11.125" style="49" customWidth="1"/>
    <col min="14" max="14" width="9.125" style="49" bestFit="1" customWidth="1"/>
    <col min="15" max="16384" width="8.875" style="49"/>
  </cols>
  <sheetData>
    <row r="1" spans="1:19" ht="40.5" customHeight="1" x14ac:dyDescent="0.3">
      <c r="A1" s="50"/>
      <c r="B1" s="543" t="s">
        <v>138</v>
      </c>
      <c r="C1" s="543"/>
      <c r="D1" s="543"/>
      <c r="E1" s="543"/>
      <c r="F1" s="543"/>
      <c r="G1" s="51"/>
      <c r="H1" s="51"/>
      <c r="I1" s="51"/>
      <c r="J1" s="51"/>
      <c r="K1" s="51"/>
      <c r="L1" s="50"/>
    </row>
    <row r="2" spans="1:19" ht="16.5" customHeight="1" thickBot="1" x14ac:dyDescent="0.35"/>
    <row r="3" spans="1:19" ht="24.95" customHeight="1" thickBot="1" x14ac:dyDescent="0.35">
      <c r="J3" s="156" t="str">
        <f>항목!$D$22</f>
        <v>입출금</v>
      </c>
      <c r="K3" s="511">
        <f>SUMIF($D$9:$D$43,J3,$K$9:$K$43)</f>
        <v>0</v>
      </c>
      <c r="L3" s="156" t="str">
        <f>항목!$D$25</f>
        <v>증권</v>
      </c>
      <c r="M3" s="511">
        <f>SUMIF($D$9:$D$43,L3,$K$9:$K$43)</f>
        <v>0</v>
      </c>
    </row>
    <row r="4" spans="1:19" ht="24.95" customHeight="1" thickBot="1" x14ac:dyDescent="0.35">
      <c r="J4" s="156" t="str">
        <f>항목!$D$23</f>
        <v>예금</v>
      </c>
      <c r="K4" s="511">
        <f>SUMIF($D$9:$D$43,J4,$K$9:$K$43)</f>
        <v>0</v>
      </c>
      <c r="L4" s="156" t="str">
        <f>항목!$D$26</f>
        <v>기타</v>
      </c>
      <c r="M4" s="511">
        <f>SUMIF($D$9:$D$43,L4,$K$9:$K$43)</f>
        <v>0</v>
      </c>
    </row>
    <row r="5" spans="1:19" ht="24.95" customHeight="1" thickBot="1" x14ac:dyDescent="0.35">
      <c r="J5" s="156" t="str">
        <f>항목!$D$24</f>
        <v>적금</v>
      </c>
      <c r="K5" s="511">
        <f>SUMIF($D$9:$D$43,J5,$K$9:$K$43)</f>
        <v>0</v>
      </c>
    </row>
    <row r="6" spans="1:19" ht="24.95" customHeight="1" thickBot="1" x14ac:dyDescent="0.35">
      <c r="J6" s="529"/>
      <c r="K6" s="529"/>
      <c r="L6" s="529" t="s">
        <v>57</v>
      </c>
      <c r="M6" s="510">
        <f>SUM($K$3:$K$5,$M$3:$M$4)</f>
        <v>0</v>
      </c>
    </row>
    <row r="7" spans="1:19" ht="16.5" customHeight="1" thickBot="1" x14ac:dyDescent="0.35"/>
    <row r="8" spans="1:19" ht="30" customHeight="1" thickBot="1" x14ac:dyDescent="0.35">
      <c r="B8" s="29" t="s">
        <v>139</v>
      </c>
      <c r="C8" s="166" t="s">
        <v>49</v>
      </c>
      <c r="D8" s="167" t="s">
        <v>458</v>
      </c>
      <c r="E8" s="167" t="s">
        <v>75</v>
      </c>
      <c r="F8" s="167" t="s">
        <v>52</v>
      </c>
      <c r="G8" s="167" t="s">
        <v>71</v>
      </c>
      <c r="H8" s="167" t="s">
        <v>72</v>
      </c>
      <c r="I8" s="168" t="s">
        <v>50</v>
      </c>
      <c r="J8" s="167" t="s">
        <v>73</v>
      </c>
      <c r="K8" s="168" t="s">
        <v>56</v>
      </c>
      <c r="M8" s="577"/>
      <c r="N8" s="577"/>
      <c r="O8" s="577"/>
      <c r="P8" s="577"/>
      <c r="Q8" s="577"/>
      <c r="R8" s="577"/>
      <c r="S8" s="577"/>
    </row>
    <row r="9" spans="1:19" ht="24.95" customHeight="1" x14ac:dyDescent="0.3">
      <c r="B9" s="39">
        <f>ROW(A9)-8</f>
        <v>1</v>
      </c>
      <c r="C9" s="32"/>
      <c r="D9" s="5"/>
      <c r="E9" s="5"/>
      <c r="F9" s="5"/>
      <c r="G9" s="5"/>
      <c r="H9" s="5"/>
      <c r="I9" s="355"/>
      <c r="J9" s="164"/>
      <c r="K9" s="60">
        <f ca="1">INDIRECT("'"&amp;L9&amp;"'!c7:c7")</f>
        <v>-2610100</v>
      </c>
      <c r="L9" s="49" t="str">
        <f ca="1">MONTH(TODAY())&amp;"월"</f>
        <v>11월</v>
      </c>
      <c r="M9" s="27"/>
      <c r="N9" s="27"/>
      <c r="O9" s="27"/>
      <c r="P9" s="27"/>
      <c r="Q9" s="27"/>
      <c r="R9" s="27"/>
      <c r="S9" s="27"/>
    </row>
    <row r="10" spans="1:19" ht="24.95" customHeight="1" x14ac:dyDescent="0.3">
      <c r="B10" s="39">
        <f t="shared" ref="B10:B43" si="0">ROW(A10)-8</f>
        <v>2</v>
      </c>
      <c r="C10" s="32"/>
      <c r="D10" s="5"/>
      <c r="E10" s="5"/>
      <c r="F10" s="5"/>
      <c r="G10" s="5"/>
      <c r="H10" s="5"/>
      <c r="I10" s="354"/>
      <c r="J10" s="164"/>
      <c r="K10" s="60"/>
      <c r="M10" s="27"/>
      <c r="N10" s="27"/>
      <c r="O10" s="110"/>
      <c r="P10" s="111"/>
      <c r="Q10" s="111"/>
      <c r="R10" s="112"/>
      <c r="S10" s="110"/>
    </row>
    <row r="11" spans="1:19" ht="24.95" customHeight="1" x14ac:dyDescent="0.3">
      <c r="B11" s="39">
        <f t="shared" si="0"/>
        <v>3</v>
      </c>
      <c r="C11" s="32"/>
      <c r="D11" s="5"/>
      <c r="E11" s="5"/>
      <c r="F11" s="5"/>
      <c r="G11" s="5"/>
      <c r="H11" s="5"/>
      <c r="I11" s="354"/>
      <c r="J11" s="164"/>
      <c r="K11" s="60"/>
      <c r="M11" s="27"/>
      <c r="N11" s="27"/>
      <c r="O11" s="110"/>
      <c r="P11" s="111"/>
      <c r="Q11" s="111"/>
      <c r="R11" s="112"/>
      <c r="S11" s="110"/>
    </row>
    <row r="12" spans="1:19" ht="24.95" customHeight="1" x14ac:dyDescent="0.3">
      <c r="B12" s="39">
        <f t="shared" si="0"/>
        <v>4</v>
      </c>
      <c r="C12" s="32"/>
      <c r="D12" s="5"/>
      <c r="E12" s="5"/>
      <c r="F12" s="5"/>
      <c r="G12" s="5"/>
      <c r="H12" s="5"/>
      <c r="I12" s="354"/>
      <c r="J12" s="164"/>
      <c r="K12" s="60"/>
      <c r="M12" s="27"/>
      <c r="N12" s="27"/>
      <c r="O12" s="110"/>
      <c r="P12" s="111"/>
      <c r="Q12" s="111"/>
      <c r="R12" s="112"/>
      <c r="S12" s="110"/>
    </row>
    <row r="13" spans="1:19" ht="24.95" customHeight="1" x14ac:dyDescent="0.3">
      <c r="B13" s="39">
        <f t="shared" si="0"/>
        <v>5</v>
      </c>
      <c r="C13" s="32"/>
      <c r="D13" s="5"/>
      <c r="E13" s="5"/>
      <c r="F13" s="5"/>
      <c r="G13" s="5"/>
      <c r="H13" s="5"/>
      <c r="I13" s="354"/>
      <c r="J13" s="164"/>
      <c r="K13" s="60"/>
      <c r="M13" s="27"/>
      <c r="N13" s="27"/>
      <c r="O13" s="110"/>
      <c r="P13" s="111"/>
      <c r="Q13" s="111"/>
      <c r="R13" s="112"/>
      <c r="S13" s="110"/>
    </row>
    <row r="14" spans="1:19" ht="24.95" customHeight="1" x14ac:dyDescent="0.3">
      <c r="B14" s="39">
        <f t="shared" si="0"/>
        <v>6</v>
      </c>
      <c r="C14" s="32"/>
      <c r="D14" s="5"/>
      <c r="E14" s="5"/>
      <c r="F14" s="5"/>
      <c r="G14" s="165"/>
      <c r="H14" s="5"/>
      <c r="I14" s="354"/>
      <c r="J14" s="164"/>
      <c r="K14" s="60"/>
      <c r="M14" s="27"/>
      <c r="N14" s="27"/>
      <c r="O14" s="110"/>
      <c r="P14" s="111"/>
      <c r="Q14" s="111"/>
      <c r="R14" s="112"/>
      <c r="S14" s="110"/>
    </row>
    <row r="15" spans="1:19" ht="24.95" customHeight="1" x14ac:dyDescent="0.3">
      <c r="B15" s="39">
        <f t="shared" si="0"/>
        <v>7</v>
      </c>
      <c r="C15" s="32"/>
      <c r="D15" s="5"/>
      <c r="E15" s="5"/>
      <c r="F15" s="5"/>
      <c r="G15" s="5"/>
      <c r="H15" s="5"/>
      <c r="I15" s="355"/>
      <c r="J15" s="164"/>
      <c r="K15" s="60"/>
      <c r="M15" s="114"/>
    </row>
    <row r="16" spans="1:19" ht="24.95" customHeight="1" x14ac:dyDescent="0.3">
      <c r="B16" s="39">
        <f t="shared" si="0"/>
        <v>8</v>
      </c>
      <c r="C16" s="32"/>
      <c r="D16" s="5"/>
      <c r="E16" s="5"/>
      <c r="F16" s="5"/>
      <c r="G16" s="5"/>
      <c r="H16" s="5"/>
      <c r="I16" s="355"/>
      <c r="J16" s="164"/>
      <c r="K16" s="60"/>
      <c r="N16" s="27"/>
      <c r="O16" s="27"/>
      <c r="P16" s="27"/>
      <c r="Q16" s="27"/>
      <c r="R16" s="27"/>
      <c r="S16" s="27"/>
    </row>
    <row r="17" spans="2:19" ht="24.95" customHeight="1" x14ac:dyDescent="0.3">
      <c r="B17" s="39">
        <f t="shared" si="0"/>
        <v>9</v>
      </c>
      <c r="C17" s="32"/>
      <c r="D17" s="5"/>
      <c r="E17" s="5"/>
      <c r="F17" s="5"/>
      <c r="G17" s="165"/>
      <c r="H17" s="165"/>
      <c r="I17" s="356"/>
      <c r="J17" s="164"/>
      <c r="K17" s="60"/>
      <c r="M17" s="27"/>
      <c r="N17" s="110"/>
      <c r="O17" s="110"/>
      <c r="P17" s="110"/>
      <c r="Q17" s="110"/>
      <c r="R17" s="110"/>
      <c r="S17" s="110"/>
    </row>
    <row r="18" spans="2:19" ht="24.95" customHeight="1" x14ac:dyDescent="0.3">
      <c r="B18" s="39">
        <f t="shared" si="0"/>
        <v>10</v>
      </c>
      <c r="C18" s="32"/>
      <c r="D18" s="5"/>
      <c r="E18" s="5"/>
      <c r="F18" s="5"/>
      <c r="G18" s="5"/>
      <c r="H18" s="5"/>
      <c r="I18" s="355"/>
      <c r="J18" s="164"/>
      <c r="K18" s="60"/>
      <c r="M18" s="27"/>
      <c r="N18" s="110"/>
      <c r="O18" s="110"/>
      <c r="P18" s="110"/>
      <c r="Q18" s="110"/>
      <c r="R18" s="110"/>
      <c r="S18" s="110"/>
    </row>
    <row r="19" spans="2:19" ht="24.95" customHeight="1" x14ac:dyDescent="0.3">
      <c r="B19" s="39">
        <f t="shared" si="0"/>
        <v>11</v>
      </c>
      <c r="C19" s="32"/>
      <c r="D19" s="5"/>
      <c r="E19" s="5"/>
      <c r="F19" s="5"/>
      <c r="G19" s="5"/>
      <c r="H19" s="5"/>
      <c r="I19" s="355"/>
      <c r="J19" s="164"/>
      <c r="K19" s="60"/>
      <c r="M19" s="27"/>
      <c r="N19" s="110"/>
      <c r="O19" s="110"/>
      <c r="P19" s="110"/>
      <c r="Q19" s="110"/>
      <c r="R19" s="110"/>
      <c r="S19" s="110"/>
    </row>
    <row r="20" spans="2:19" ht="24.95" customHeight="1" x14ac:dyDescent="0.3">
      <c r="B20" s="39">
        <f t="shared" si="0"/>
        <v>12</v>
      </c>
      <c r="C20" s="32"/>
      <c r="D20" s="5"/>
      <c r="E20" s="5"/>
      <c r="F20" s="5"/>
      <c r="G20" s="5"/>
      <c r="H20" s="5"/>
      <c r="I20" s="355"/>
      <c r="J20" s="164"/>
      <c r="K20" s="60"/>
      <c r="M20" s="27"/>
      <c r="N20" s="110"/>
      <c r="O20" s="110"/>
      <c r="P20" s="110"/>
      <c r="Q20" s="110"/>
      <c r="R20" s="110"/>
      <c r="S20" s="110"/>
    </row>
    <row r="21" spans="2:19" ht="24.95" customHeight="1" x14ac:dyDescent="0.3">
      <c r="B21" s="39">
        <f t="shared" si="0"/>
        <v>13</v>
      </c>
      <c r="C21" s="32"/>
      <c r="D21" s="5"/>
      <c r="E21" s="5"/>
      <c r="F21" s="5"/>
      <c r="G21" s="5"/>
      <c r="H21" s="5"/>
      <c r="I21" s="355"/>
      <c r="J21" s="164"/>
      <c r="K21" s="60"/>
      <c r="M21" s="27"/>
      <c r="N21" s="110"/>
      <c r="O21" s="110"/>
      <c r="P21" s="110"/>
      <c r="Q21" s="110"/>
      <c r="R21" s="110"/>
      <c r="S21" s="110"/>
    </row>
    <row r="22" spans="2:19" ht="24.95" customHeight="1" x14ac:dyDescent="0.3">
      <c r="B22" s="39">
        <f t="shared" si="0"/>
        <v>14</v>
      </c>
      <c r="C22" s="32"/>
      <c r="D22" s="5"/>
      <c r="E22" s="5"/>
      <c r="F22" s="5"/>
      <c r="G22" s="5"/>
      <c r="H22" s="5"/>
      <c r="I22" s="355"/>
      <c r="J22" s="42"/>
      <c r="K22" s="6"/>
      <c r="M22" s="27"/>
      <c r="N22" s="113"/>
      <c r="O22" s="113"/>
      <c r="P22" s="113"/>
      <c r="Q22" s="113"/>
      <c r="R22" s="113"/>
      <c r="S22" s="113"/>
    </row>
    <row r="23" spans="2:19" ht="24.95" customHeight="1" x14ac:dyDescent="0.3">
      <c r="B23" s="39">
        <f t="shared" si="0"/>
        <v>15</v>
      </c>
      <c r="C23" s="32"/>
      <c r="D23" s="5"/>
      <c r="E23" s="5"/>
      <c r="F23" s="5"/>
      <c r="G23" s="5"/>
      <c r="H23" s="5"/>
      <c r="I23" s="355"/>
      <c r="J23" s="164"/>
      <c r="K23" s="60"/>
    </row>
    <row r="24" spans="2:19" ht="24.95" customHeight="1" x14ac:dyDescent="0.3">
      <c r="B24" s="39">
        <f t="shared" si="0"/>
        <v>16</v>
      </c>
      <c r="C24" s="32"/>
      <c r="D24" s="5"/>
      <c r="E24" s="5"/>
      <c r="F24" s="5"/>
      <c r="G24" s="5"/>
      <c r="H24" s="5"/>
      <c r="I24" s="355"/>
      <c r="J24" s="164"/>
      <c r="K24" s="60"/>
    </row>
    <row r="25" spans="2:19" ht="24.95" customHeight="1" x14ac:dyDescent="0.3">
      <c r="B25" s="39">
        <f t="shared" si="0"/>
        <v>17</v>
      </c>
      <c r="C25" s="32"/>
      <c r="D25" s="5"/>
      <c r="E25" s="5"/>
      <c r="F25" s="5"/>
      <c r="G25" s="5"/>
      <c r="H25" s="5"/>
      <c r="I25" s="355"/>
      <c r="J25" s="164"/>
      <c r="K25" s="6"/>
    </row>
    <row r="26" spans="2:19" ht="24.95" customHeight="1" x14ac:dyDescent="0.3">
      <c r="B26" s="39">
        <f t="shared" si="0"/>
        <v>18</v>
      </c>
      <c r="C26" s="32"/>
      <c r="D26" s="5"/>
      <c r="E26" s="5"/>
      <c r="F26" s="5"/>
      <c r="G26" s="5"/>
      <c r="H26" s="5"/>
      <c r="I26" s="355"/>
      <c r="J26" s="42"/>
      <c r="K26" s="60"/>
    </row>
    <row r="27" spans="2:19" ht="24.95" customHeight="1" x14ac:dyDescent="0.3">
      <c r="B27" s="39">
        <f t="shared" si="0"/>
        <v>19</v>
      </c>
      <c r="C27" s="32"/>
      <c r="D27" s="5"/>
      <c r="E27" s="5"/>
      <c r="F27" s="5"/>
      <c r="G27" s="5"/>
      <c r="H27" s="5"/>
      <c r="I27" s="355"/>
      <c r="J27" s="42"/>
      <c r="K27" s="60"/>
    </row>
    <row r="28" spans="2:19" ht="24.95" customHeight="1" x14ac:dyDescent="0.3">
      <c r="B28" s="39">
        <f t="shared" si="0"/>
        <v>20</v>
      </c>
      <c r="C28" s="32"/>
      <c r="D28" s="5"/>
      <c r="E28" s="5"/>
      <c r="F28" s="5"/>
      <c r="G28" s="5"/>
      <c r="H28" s="5"/>
      <c r="I28" s="355"/>
      <c r="J28" s="42"/>
      <c r="K28" s="6"/>
    </row>
    <row r="29" spans="2:19" ht="24.95" customHeight="1" x14ac:dyDescent="0.3">
      <c r="B29" s="39">
        <f t="shared" si="0"/>
        <v>21</v>
      </c>
      <c r="C29" s="32"/>
      <c r="D29" s="5"/>
      <c r="E29" s="5"/>
      <c r="F29" s="5"/>
      <c r="G29" s="5"/>
      <c r="H29" s="5"/>
      <c r="I29" s="355"/>
      <c r="J29" s="42"/>
      <c r="K29" s="6"/>
    </row>
    <row r="30" spans="2:19" ht="24.95" customHeight="1" x14ac:dyDescent="0.3">
      <c r="B30" s="39">
        <f t="shared" si="0"/>
        <v>22</v>
      </c>
      <c r="C30" s="32"/>
      <c r="D30" s="5"/>
      <c r="E30" s="5"/>
      <c r="F30" s="5"/>
      <c r="G30" s="5"/>
      <c r="H30" s="5"/>
      <c r="I30" s="355"/>
      <c r="J30" s="42"/>
      <c r="K30" s="6"/>
    </row>
    <row r="31" spans="2:19" ht="24.95" customHeight="1" x14ac:dyDescent="0.3">
      <c r="B31" s="39">
        <f t="shared" si="0"/>
        <v>23</v>
      </c>
      <c r="C31" s="32"/>
      <c r="D31" s="5"/>
      <c r="E31" s="5"/>
      <c r="F31" s="5"/>
      <c r="G31" s="5"/>
      <c r="H31" s="5"/>
      <c r="I31" s="355"/>
      <c r="J31" s="42"/>
      <c r="K31" s="6"/>
    </row>
    <row r="32" spans="2:19" ht="24.95" customHeight="1" x14ac:dyDescent="0.3">
      <c r="B32" s="39">
        <f t="shared" si="0"/>
        <v>24</v>
      </c>
      <c r="C32" s="32"/>
      <c r="D32" s="5"/>
      <c r="E32" s="5"/>
      <c r="F32" s="5"/>
      <c r="G32" s="5"/>
      <c r="H32" s="5"/>
      <c r="I32" s="355"/>
      <c r="J32" s="42"/>
      <c r="K32" s="6"/>
    </row>
    <row r="33" spans="2:11" ht="24.95" customHeight="1" x14ac:dyDescent="0.3">
      <c r="B33" s="39">
        <f t="shared" si="0"/>
        <v>25</v>
      </c>
      <c r="C33" s="32"/>
      <c r="D33" s="5"/>
      <c r="E33" s="5"/>
      <c r="F33" s="5"/>
      <c r="G33" s="5"/>
      <c r="H33" s="5"/>
      <c r="I33" s="355"/>
      <c r="J33" s="42"/>
      <c r="K33" s="6"/>
    </row>
    <row r="34" spans="2:11" ht="24.95" customHeight="1" x14ac:dyDescent="0.3">
      <c r="B34" s="39">
        <f t="shared" si="0"/>
        <v>26</v>
      </c>
      <c r="C34" s="32"/>
      <c r="D34" s="5"/>
      <c r="E34" s="5"/>
      <c r="F34" s="5"/>
      <c r="G34" s="5"/>
      <c r="H34" s="5"/>
      <c r="I34" s="355"/>
      <c r="J34" s="42"/>
      <c r="K34" s="6"/>
    </row>
    <row r="35" spans="2:11" ht="24.95" customHeight="1" x14ac:dyDescent="0.3">
      <c r="B35" s="39">
        <f t="shared" si="0"/>
        <v>27</v>
      </c>
      <c r="C35" s="32"/>
      <c r="D35" s="5"/>
      <c r="E35" s="5"/>
      <c r="F35" s="5"/>
      <c r="G35" s="5"/>
      <c r="H35" s="5"/>
      <c r="I35" s="355"/>
      <c r="J35" s="42"/>
      <c r="K35" s="6"/>
    </row>
    <row r="36" spans="2:11" ht="24.95" customHeight="1" x14ac:dyDescent="0.3">
      <c r="B36" s="39">
        <f t="shared" si="0"/>
        <v>28</v>
      </c>
      <c r="C36" s="32"/>
      <c r="D36" s="5"/>
      <c r="E36" s="5"/>
      <c r="F36" s="5"/>
      <c r="G36" s="5"/>
      <c r="H36" s="5"/>
      <c r="I36" s="355"/>
      <c r="J36" s="42"/>
      <c r="K36" s="6"/>
    </row>
    <row r="37" spans="2:11" ht="24.95" customHeight="1" x14ac:dyDescent="0.3">
      <c r="B37" s="39">
        <f t="shared" si="0"/>
        <v>29</v>
      </c>
      <c r="C37" s="32"/>
      <c r="D37" s="5"/>
      <c r="E37" s="5"/>
      <c r="F37" s="5"/>
      <c r="G37" s="5"/>
      <c r="H37" s="5"/>
      <c r="I37" s="355"/>
      <c r="J37" s="42"/>
      <c r="K37" s="6"/>
    </row>
    <row r="38" spans="2:11" ht="24.95" customHeight="1" x14ac:dyDescent="0.3">
      <c r="B38" s="39">
        <f t="shared" si="0"/>
        <v>30</v>
      </c>
      <c r="C38" s="32"/>
      <c r="D38" s="5"/>
      <c r="E38" s="5"/>
      <c r="F38" s="5"/>
      <c r="G38" s="5"/>
      <c r="H38" s="5"/>
      <c r="I38" s="355"/>
      <c r="J38" s="42"/>
      <c r="K38" s="6"/>
    </row>
    <row r="39" spans="2:11" ht="24.95" customHeight="1" x14ac:dyDescent="0.3">
      <c r="B39" s="39">
        <f t="shared" si="0"/>
        <v>31</v>
      </c>
      <c r="C39" s="32"/>
      <c r="D39" s="5"/>
      <c r="E39" s="5"/>
      <c r="F39" s="5"/>
      <c r="G39" s="5"/>
      <c r="H39" s="5"/>
      <c r="I39" s="355"/>
      <c r="J39" s="42"/>
      <c r="K39" s="6"/>
    </row>
    <row r="40" spans="2:11" ht="24.95" customHeight="1" x14ac:dyDescent="0.3">
      <c r="B40" s="39">
        <f t="shared" si="0"/>
        <v>32</v>
      </c>
      <c r="C40" s="32"/>
      <c r="D40" s="5"/>
      <c r="E40" s="5"/>
      <c r="F40" s="5"/>
      <c r="G40" s="5"/>
      <c r="H40" s="5"/>
      <c r="I40" s="355"/>
      <c r="J40" s="42"/>
      <c r="K40" s="6"/>
    </row>
    <row r="41" spans="2:11" ht="24.95" customHeight="1" x14ac:dyDescent="0.3">
      <c r="B41" s="39">
        <f t="shared" si="0"/>
        <v>33</v>
      </c>
      <c r="C41" s="32"/>
      <c r="D41" s="5"/>
      <c r="E41" s="5"/>
      <c r="F41" s="5"/>
      <c r="G41" s="5"/>
      <c r="H41" s="5"/>
      <c r="I41" s="355"/>
      <c r="J41" s="42"/>
      <c r="K41" s="6"/>
    </row>
    <row r="42" spans="2:11" ht="24.95" customHeight="1" x14ac:dyDescent="0.3">
      <c r="B42" s="39">
        <f t="shared" si="0"/>
        <v>34</v>
      </c>
      <c r="C42" s="32"/>
      <c r="D42" s="5"/>
      <c r="E42" s="5"/>
      <c r="F42" s="5"/>
      <c r="G42" s="5"/>
      <c r="H42" s="5"/>
      <c r="I42" s="355"/>
      <c r="J42" s="42"/>
      <c r="K42" s="6"/>
    </row>
    <row r="43" spans="2:11" ht="24.95" customHeight="1" x14ac:dyDescent="0.3">
      <c r="B43" s="39">
        <f t="shared" si="0"/>
        <v>35</v>
      </c>
      <c r="C43" s="32"/>
      <c r="D43" s="5"/>
      <c r="E43" s="5"/>
      <c r="F43" s="5"/>
      <c r="G43" s="5"/>
      <c r="H43" s="5"/>
      <c r="I43" s="355"/>
      <c r="J43" s="42"/>
      <c r="K43" s="6"/>
    </row>
    <row r="44" spans="2:11" ht="24.95" customHeight="1" x14ac:dyDescent="0.3"/>
    <row r="45" spans="2:11" ht="24.95" customHeight="1" x14ac:dyDescent="0.3"/>
    <row r="46" spans="2:11" ht="24.95" customHeight="1" x14ac:dyDescent="0.3"/>
    <row r="47" spans="2:11" ht="24.95" customHeight="1" x14ac:dyDescent="0.3"/>
  </sheetData>
  <mergeCells count="2">
    <mergeCell ref="M8:S8"/>
    <mergeCell ref="B1:F1"/>
  </mergeCells>
  <phoneticPr fontId="3" type="noConversion"/>
  <dataValidations count="2">
    <dataValidation type="list" allowBlank="1" showInputMessage="1" showErrorMessage="1" sqref="C9:C43">
      <formula1>_10_은행종류</formula1>
    </dataValidation>
    <dataValidation type="list" allowBlank="1" showInputMessage="1" showErrorMessage="1" sqref="D9:D43">
      <formula1>_10_계좌종류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7030A0"/>
    <pageSetUpPr autoPageBreaks="0" fitToPage="1"/>
  </sheetPr>
  <dimension ref="A1:AV426"/>
  <sheetViews>
    <sheetView showGridLines="0" zoomScaleNormal="100" workbookViewId="0">
      <selection activeCell="I20" sqref="I20"/>
    </sheetView>
  </sheetViews>
  <sheetFormatPr defaultRowHeight="16.5" x14ac:dyDescent="0.3"/>
  <cols>
    <col min="1" max="1" width="4.625" customWidth="1"/>
    <col min="2" max="2" width="4.625" style="25" customWidth="1"/>
    <col min="3" max="3" width="10.625" style="25" customWidth="1"/>
    <col min="4" max="4" width="20.375" style="25" customWidth="1"/>
    <col min="5" max="7" width="10.625" style="147" customWidth="1"/>
    <col min="8" max="12" width="10.625" style="150" customWidth="1"/>
    <col min="13" max="15" width="10.625" customWidth="1"/>
    <col min="16" max="16" width="4.625" customWidth="1"/>
    <col min="17" max="48" width="9.375" customWidth="1"/>
    <col min="49" max="49" width="4.75" customWidth="1"/>
  </cols>
  <sheetData>
    <row r="1" spans="1:37" ht="40.5" customHeight="1" x14ac:dyDescent="0.3">
      <c r="A1" s="10"/>
      <c r="B1" s="543" t="s">
        <v>152</v>
      </c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10"/>
      <c r="O1" s="10"/>
      <c r="P1" s="10"/>
    </row>
    <row r="2" spans="1:37" ht="16.5" customHeight="1" thickBot="1" x14ac:dyDescent="0.35"/>
    <row r="3" spans="1:37" ht="24.95" customHeight="1" x14ac:dyDescent="0.3">
      <c r="M3" s="582" t="s">
        <v>57</v>
      </c>
      <c r="N3" s="156" t="s">
        <v>45</v>
      </c>
      <c r="O3" s="155" t="s">
        <v>79</v>
      </c>
    </row>
    <row r="4" spans="1:37" ht="24.95" customHeight="1" thickBot="1" x14ac:dyDescent="0.35">
      <c r="M4" s="583"/>
      <c r="N4" s="157">
        <f>SUM($J$7:$J$56)</f>
        <v>40000000</v>
      </c>
      <c r="O4" s="154">
        <f>SUM($O$7:$O$56)</f>
        <v>46548040</v>
      </c>
    </row>
    <row r="5" spans="1:37" ht="16.5" customHeight="1" thickBot="1" x14ac:dyDescent="0.35"/>
    <row r="6" spans="1:37" ht="24.95" customHeight="1" thickBot="1" x14ac:dyDescent="0.35">
      <c r="B6" s="29" t="s">
        <v>139</v>
      </c>
      <c r="C6" s="29" t="s">
        <v>142</v>
      </c>
      <c r="D6" s="29" t="s">
        <v>143</v>
      </c>
      <c r="E6" s="30" t="s">
        <v>73</v>
      </c>
      <c r="F6" s="30" t="s">
        <v>74</v>
      </c>
      <c r="G6" s="29" t="s">
        <v>75</v>
      </c>
      <c r="H6" s="30" t="s">
        <v>48</v>
      </c>
      <c r="I6" s="30" t="s">
        <v>51</v>
      </c>
      <c r="J6" s="30" t="s">
        <v>45</v>
      </c>
      <c r="K6" s="29" t="s">
        <v>47</v>
      </c>
      <c r="L6" s="30" t="s">
        <v>46</v>
      </c>
      <c r="M6" s="30" t="s">
        <v>117</v>
      </c>
      <c r="N6" s="30" t="s">
        <v>118</v>
      </c>
      <c r="O6" s="31" t="s">
        <v>79</v>
      </c>
    </row>
    <row r="7" spans="1:37" ht="24.95" customHeight="1" x14ac:dyDescent="0.3">
      <c r="B7" s="140">
        <v>1</v>
      </c>
      <c r="C7" s="140" t="s">
        <v>233</v>
      </c>
      <c r="D7" s="140" t="s">
        <v>321</v>
      </c>
      <c r="E7" s="148">
        <v>44927</v>
      </c>
      <c r="F7" s="148">
        <v>46388</v>
      </c>
      <c r="G7" s="187" t="str">
        <f>IF(H7="","",IF(H7&gt;37,"장기",IF(H7&lt;36,"단기","중기")))</f>
        <v>장기</v>
      </c>
      <c r="H7" s="188">
        <f>IF(F7="","",DATEDIF(E7,F7+1,"m"))</f>
        <v>48</v>
      </c>
      <c r="I7" s="188">
        <f ca="1">IF(F7="","",IF(F7&lt;TODAY(),0,DATEDIF(TODAY(),F7,"m")))</f>
        <v>13</v>
      </c>
      <c r="J7" s="40">
        <v>30000000</v>
      </c>
      <c r="K7" s="130">
        <v>5.1999999999999998E-2</v>
      </c>
      <c r="L7" s="189">
        <v>0.154</v>
      </c>
      <c r="M7" s="190">
        <f>IF(K7="","",J7*K7*((DATEDIF(E7,F7,"m"))/12))</f>
        <v>6240000</v>
      </c>
      <c r="N7" s="190">
        <f t="shared" ref="N7:N8" si="0">IF(M7="","",M7-(M7*L7))</f>
        <v>5279040</v>
      </c>
      <c r="O7" s="196">
        <f>IF(N7="","",J7+N7)</f>
        <v>35279040</v>
      </c>
    </row>
    <row r="8" spans="1:37" ht="24.95" customHeight="1" x14ac:dyDescent="0.2">
      <c r="B8" s="140">
        <v>2</v>
      </c>
      <c r="C8" s="140" t="s">
        <v>268</v>
      </c>
      <c r="D8" s="140" t="s">
        <v>321</v>
      </c>
      <c r="E8" s="148">
        <v>44995</v>
      </c>
      <c r="F8" s="148">
        <v>46091</v>
      </c>
      <c r="G8" s="187" t="str">
        <f t="shared" ref="G8:G16" si="1">IF(H8="","",IF(H8&gt;37,"장기",IF(H8&lt;36,"단기","중기")))</f>
        <v>중기</v>
      </c>
      <c r="H8" s="188">
        <f>IF(F8="","",DATEDIF(E8,F8+1,"m"))</f>
        <v>36</v>
      </c>
      <c r="I8" s="188">
        <f t="shared" ref="I8:I16" ca="1" si="2">IF(F8="","",IF(F8&lt;TODAY(),0,DATEDIF(TODAY(),F8,"m")))</f>
        <v>4</v>
      </c>
      <c r="J8" s="40">
        <v>10000000</v>
      </c>
      <c r="K8" s="130">
        <v>0.05</v>
      </c>
      <c r="L8" s="189">
        <v>0.154</v>
      </c>
      <c r="M8" s="190">
        <f t="shared" ref="M8:M16" si="3">IF(K8="","",J8*K8*((DATEDIF(E8,F8,"m"))/12))</f>
        <v>1500000</v>
      </c>
      <c r="N8" s="190">
        <f t="shared" si="0"/>
        <v>1269000</v>
      </c>
      <c r="O8" s="196">
        <f t="shared" ref="O8:O16" si="4">IF(N8="","",J8+N8)</f>
        <v>11269000</v>
      </c>
      <c r="AB8" s="28"/>
      <c r="AK8" s="43"/>
    </row>
    <row r="9" spans="1:37" ht="24.95" customHeight="1" x14ac:dyDescent="0.3">
      <c r="B9" s="140">
        <v>3</v>
      </c>
      <c r="C9" s="140"/>
      <c r="D9" s="140"/>
      <c r="E9" s="148"/>
      <c r="F9" s="148"/>
      <c r="G9" s="187" t="str">
        <f t="shared" si="1"/>
        <v/>
      </c>
      <c r="H9" s="188" t="str">
        <f t="shared" ref="H9:H16" si="5">IF(F9="","",DATEDIF(E9,F9+1,"m"))</f>
        <v/>
      </c>
      <c r="I9" s="188" t="str">
        <f t="shared" ca="1" si="2"/>
        <v/>
      </c>
      <c r="J9" s="40"/>
      <c r="K9" s="130"/>
      <c r="L9" s="189"/>
      <c r="M9" s="190" t="str">
        <f t="shared" si="3"/>
        <v/>
      </c>
      <c r="N9" s="190" t="str">
        <f>IF(M9="","",M9-(M9*L9))</f>
        <v/>
      </c>
      <c r="O9" s="196" t="str">
        <f t="shared" si="4"/>
        <v/>
      </c>
    </row>
    <row r="10" spans="1:37" ht="24.95" customHeight="1" x14ac:dyDescent="0.3">
      <c r="B10" s="140">
        <v>4</v>
      </c>
      <c r="C10" s="140"/>
      <c r="D10" s="140"/>
      <c r="E10" s="148"/>
      <c r="F10" s="148"/>
      <c r="G10" s="187" t="str">
        <f t="shared" si="1"/>
        <v/>
      </c>
      <c r="H10" s="188" t="str">
        <f t="shared" si="5"/>
        <v/>
      </c>
      <c r="I10" s="188" t="str">
        <f t="shared" ca="1" si="2"/>
        <v/>
      </c>
      <c r="J10" s="40"/>
      <c r="K10" s="130"/>
      <c r="L10" s="189"/>
      <c r="M10" s="190" t="str">
        <f t="shared" si="3"/>
        <v/>
      </c>
      <c r="N10" s="190" t="str">
        <f t="shared" ref="N10:N16" si="6">IF(M10="","",M10-(M10*L10))</f>
        <v/>
      </c>
      <c r="O10" s="196" t="str">
        <f t="shared" si="4"/>
        <v/>
      </c>
    </row>
    <row r="11" spans="1:37" ht="24.95" customHeight="1" x14ac:dyDescent="0.3">
      <c r="B11" s="140">
        <v>5</v>
      </c>
      <c r="C11" s="140"/>
      <c r="D11" s="140"/>
      <c r="E11" s="148"/>
      <c r="F11" s="148"/>
      <c r="G11" s="187" t="str">
        <f t="shared" si="1"/>
        <v/>
      </c>
      <c r="H11" s="188" t="str">
        <f t="shared" si="5"/>
        <v/>
      </c>
      <c r="I11" s="188" t="str">
        <f t="shared" ca="1" si="2"/>
        <v/>
      </c>
      <c r="J11" s="40"/>
      <c r="K11" s="130"/>
      <c r="L11" s="189"/>
      <c r="M11" s="190" t="str">
        <f t="shared" si="3"/>
        <v/>
      </c>
      <c r="N11" s="190" t="str">
        <f t="shared" si="6"/>
        <v/>
      </c>
      <c r="O11" s="196" t="str">
        <f t="shared" si="4"/>
        <v/>
      </c>
    </row>
    <row r="12" spans="1:37" ht="24.95" customHeight="1" x14ac:dyDescent="0.3">
      <c r="B12" s="140">
        <v>6</v>
      </c>
      <c r="C12" s="140"/>
      <c r="D12" s="140"/>
      <c r="E12" s="148"/>
      <c r="F12" s="148"/>
      <c r="G12" s="187" t="str">
        <f t="shared" si="1"/>
        <v/>
      </c>
      <c r="H12" s="188" t="str">
        <f t="shared" si="5"/>
        <v/>
      </c>
      <c r="I12" s="188" t="str">
        <f t="shared" ca="1" si="2"/>
        <v/>
      </c>
      <c r="J12" s="40"/>
      <c r="K12" s="130"/>
      <c r="L12" s="189"/>
      <c r="M12" s="190" t="str">
        <f t="shared" si="3"/>
        <v/>
      </c>
      <c r="N12" s="190" t="str">
        <f t="shared" si="6"/>
        <v/>
      </c>
      <c r="O12" s="196" t="str">
        <f t="shared" si="4"/>
        <v/>
      </c>
    </row>
    <row r="13" spans="1:37" ht="24.95" customHeight="1" x14ac:dyDescent="0.3">
      <c r="B13" s="140">
        <v>7</v>
      </c>
      <c r="C13" s="140"/>
      <c r="D13" s="140"/>
      <c r="E13" s="148"/>
      <c r="F13" s="148"/>
      <c r="G13" s="187" t="str">
        <f t="shared" si="1"/>
        <v/>
      </c>
      <c r="H13" s="188" t="str">
        <f t="shared" si="5"/>
        <v/>
      </c>
      <c r="I13" s="188" t="str">
        <f t="shared" ca="1" si="2"/>
        <v/>
      </c>
      <c r="J13" s="40"/>
      <c r="K13" s="130"/>
      <c r="L13" s="189"/>
      <c r="M13" s="190" t="str">
        <f t="shared" si="3"/>
        <v/>
      </c>
      <c r="N13" s="190" t="str">
        <f t="shared" si="6"/>
        <v/>
      </c>
      <c r="O13" s="196" t="str">
        <f t="shared" si="4"/>
        <v/>
      </c>
    </row>
    <row r="14" spans="1:37" ht="24.95" customHeight="1" x14ac:dyDescent="0.3">
      <c r="B14" s="140">
        <v>8</v>
      </c>
      <c r="C14" s="140"/>
      <c r="D14" s="140"/>
      <c r="E14" s="148"/>
      <c r="F14" s="148"/>
      <c r="G14" s="187" t="str">
        <f t="shared" si="1"/>
        <v/>
      </c>
      <c r="H14" s="188" t="str">
        <f t="shared" si="5"/>
        <v/>
      </c>
      <c r="I14" s="188" t="str">
        <f t="shared" ca="1" si="2"/>
        <v/>
      </c>
      <c r="J14" s="40"/>
      <c r="K14" s="130"/>
      <c r="L14" s="189"/>
      <c r="M14" s="190" t="str">
        <f t="shared" si="3"/>
        <v/>
      </c>
      <c r="N14" s="190" t="str">
        <f t="shared" si="6"/>
        <v/>
      </c>
      <c r="O14" s="196" t="str">
        <f t="shared" si="4"/>
        <v/>
      </c>
    </row>
    <row r="15" spans="1:37" ht="24.95" customHeight="1" x14ac:dyDescent="0.3">
      <c r="B15" s="140">
        <v>9</v>
      </c>
      <c r="C15" s="140"/>
      <c r="D15" s="140"/>
      <c r="E15" s="148"/>
      <c r="F15" s="148"/>
      <c r="G15" s="187" t="str">
        <f t="shared" si="1"/>
        <v/>
      </c>
      <c r="H15" s="188" t="str">
        <f t="shared" si="5"/>
        <v/>
      </c>
      <c r="I15" s="188" t="str">
        <f t="shared" ca="1" si="2"/>
        <v/>
      </c>
      <c r="J15" s="40"/>
      <c r="K15" s="130"/>
      <c r="L15" s="189"/>
      <c r="M15" s="190" t="str">
        <f t="shared" si="3"/>
        <v/>
      </c>
      <c r="N15" s="190" t="str">
        <f t="shared" si="6"/>
        <v/>
      </c>
      <c r="O15" s="196" t="str">
        <f t="shared" si="4"/>
        <v/>
      </c>
    </row>
    <row r="16" spans="1:37" ht="24.95" customHeight="1" x14ac:dyDescent="0.3">
      <c r="B16" s="140">
        <v>10</v>
      </c>
      <c r="C16" s="140"/>
      <c r="D16" s="140"/>
      <c r="E16" s="148"/>
      <c r="F16" s="148"/>
      <c r="G16" s="187" t="str">
        <f t="shared" si="1"/>
        <v/>
      </c>
      <c r="H16" s="188" t="str">
        <f t="shared" si="5"/>
        <v/>
      </c>
      <c r="I16" s="188" t="str">
        <f t="shared" ca="1" si="2"/>
        <v/>
      </c>
      <c r="J16" s="40"/>
      <c r="K16" s="130"/>
      <c r="L16" s="189"/>
      <c r="M16" s="190" t="str">
        <f t="shared" si="3"/>
        <v/>
      </c>
      <c r="N16" s="190" t="str">
        <f t="shared" si="6"/>
        <v/>
      </c>
      <c r="O16" s="196" t="str">
        <f t="shared" si="4"/>
        <v/>
      </c>
    </row>
    <row r="17" spans="2:48" ht="24.95" customHeight="1" x14ac:dyDescent="0.3">
      <c r="B17" s="44"/>
      <c r="C17" s="44"/>
      <c r="D17" s="44"/>
      <c r="E17" s="149"/>
      <c r="F17" s="149"/>
      <c r="G17" s="149"/>
      <c r="H17" s="151"/>
      <c r="I17" s="151"/>
      <c r="J17" s="151"/>
      <c r="K17" s="151"/>
      <c r="L17" s="151"/>
    </row>
    <row r="18" spans="2:48" ht="24.95" customHeight="1" x14ac:dyDescent="0.3">
      <c r="B18" s="44"/>
      <c r="C18" s="44"/>
      <c r="D18" s="44"/>
      <c r="E18" s="149"/>
      <c r="F18" s="149"/>
      <c r="G18" s="149"/>
      <c r="H18" s="151"/>
      <c r="I18" s="151"/>
      <c r="J18" s="151"/>
      <c r="K18" s="151"/>
      <c r="L18" s="151"/>
    </row>
    <row r="19" spans="2:48" ht="24.95" customHeight="1" x14ac:dyDescent="0.3">
      <c r="B19" s="44"/>
      <c r="C19" s="44"/>
      <c r="D19" s="44"/>
      <c r="E19" s="149"/>
      <c r="F19" s="149"/>
      <c r="G19" s="149"/>
      <c r="H19" s="151"/>
      <c r="I19" s="151"/>
      <c r="J19" s="151"/>
      <c r="K19" s="151"/>
      <c r="L19" s="151"/>
    </row>
    <row r="20" spans="2:48" ht="24.95" customHeight="1" x14ac:dyDescent="0.3">
      <c r="B20" s="44"/>
      <c r="C20" s="44"/>
      <c r="D20" s="44"/>
      <c r="E20" s="149"/>
      <c r="F20" s="149"/>
      <c r="G20" s="149"/>
      <c r="H20" s="151"/>
      <c r="I20" s="151"/>
      <c r="J20" s="151"/>
      <c r="K20" s="151"/>
      <c r="L20" s="151"/>
    </row>
    <row r="21" spans="2:48" ht="24.95" customHeight="1" x14ac:dyDescent="0.3">
      <c r="B21" s="44"/>
      <c r="C21" s="44"/>
      <c r="D21" s="44"/>
      <c r="E21" s="149"/>
      <c r="F21" s="149"/>
      <c r="G21" s="149"/>
      <c r="H21" s="151"/>
      <c r="I21" s="151"/>
      <c r="J21" s="151"/>
      <c r="K21" s="151"/>
      <c r="L21" s="151"/>
    </row>
    <row r="22" spans="2:48" ht="24.95" customHeight="1" x14ac:dyDescent="0.3">
      <c r="B22" s="44"/>
      <c r="C22" s="44"/>
      <c r="D22" s="44"/>
      <c r="E22" s="149"/>
      <c r="F22" s="149"/>
      <c r="G22" s="149"/>
      <c r="H22" s="151"/>
      <c r="I22" s="151"/>
      <c r="J22" s="151"/>
      <c r="K22" s="151"/>
      <c r="L22" s="151"/>
      <c r="S22" s="1"/>
      <c r="T22" s="1"/>
      <c r="U22" s="1"/>
    </row>
    <row r="23" spans="2:48" ht="24.95" customHeight="1" x14ac:dyDescent="0.3">
      <c r="B23" s="44"/>
      <c r="C23" s="44"/>
      <c r="D23" s="44"/>
      <c r="E23" s="149"/>
      <c r="F23" s="149"/>
      <c r="G23" s="149"/>
      <c r="H23" s="151"/>
      <c r="I23" s="151"/>
      <c r="J23" s="151"/>
      <c r="K23" s="151"/>
      <c r="L23" s="151"/>
      <c r="M23" s="44"/>
      <c r="S23" s="1"/>
      <c r="T23" s="1"/>
      <c r="U23" s="1"/>
    </row>
    <row r="24" spans="2:48" ht="24.95" customHeight="1" x14ac:dyDescent="0.3">
      <c r="B24" s="44"/>
      <c r="C24" s="44"/>
      <c r="D24" s="44"/>
      <c r="E24" s="149"/>
      <c r="F24" s="149"/>
      <c r="G24" s="149"/>
      <c r="H24" s="151"/>
      <c r="I24" s="151"/>
      <c r="J24" s="151"/>
      <c r="K24" s="151"/>
      <c r="L24" s="151"/>
      <c r="S24" s="1"/>
      <c r="T24" s="1"/>
      <c r="U24" s="1"/>
      <c r="Y24" s="45"/>
      <c r="Z24" s="1"/>
      <c r="AA24" s="1"/>
      <c r="AE24" s="1"/>
      <c r="AF24" s="1"/>
      <c r="AG24" s="1"/>
      <c r="AN24" s="45"/>
      <c r="AO24" s="1"/>
      <c r="AP24" s="1"/>
      <c r="AT24" s="1"/>
      <c r="AU24" s="1"/>
      <c r="AV24" s="1"/>
    </row>
    <row r="25" spans="2:48" ht="24.95" customHeight="1" x14ac:dyDescent="0.3">
      <c r="B25" s="44"/>
      <c r="C25" s="44"/>
      <c r="D25" s="44"/>
      <c r="E25" s="149"/>
      <c r="F25" s="149"/>
      <c r="G25" s="149"/>
      <c r="H25" s="151"/>
      <c r="I25" s="151"/>
      <c r="J25" s="151"/>
      <c r="K25" s="151"/>
      <c r="L25" s="151"/>
      <c r="M25" s="44"/>
      <c r="P25" s="44"/>
      <c r="S25" s="44"/>
      <c r="V25" s="44"/>
      <c r="Y25" s="44"/>
      <c r="AB25" s="44"/>
      <c r="AE25" s="44"/>
      <c r="AH25" s="44"/>
      <c r="AK25" s="44"/>
      <c r="AN25" s="44"/>
      <c r="AQ25" s="44"/>
      <c r="AT25" s="44"/>
    </row>
    <row r="26" spans="2:48" ht="24.95" customHeight="1" x14ac:dyDescent="0.3">
      <c r="B26" s="44"/>
      <c r="C26" s="44"/>
      <c r="D26" s="44"/>
      <c r="E26" s="149"/>
      <c r="F26" s="149"/>
      <c r="G26" s="149"/>
      <c r="H26" s="151"/>
      <c r="I26" s="151"/>
      <c r="J26" s="151"/>
      <c r="K26" s="151"/>
      <c r="L26" s="151"/>
      <c r="M26" s="578"/>
      <c r="N26" s="578"/>
      <c r="P26" s="578"/>
      <c r="Q26" s="578"/>
      <c r="S26" s="578"/>
      <c r="T26" s="578"/>
      <c r="V26" s="578"/>
      <c r="W26" s="578"/>
      <c r="Y26" s="578"/>
      <c r="Z26" s="578"/>
      <c r="AB26" s="578"/>
      <c r="AC26" s="578"/>
      <c r="AE26" s="578"/>
      <c r="AF26" s="578"/>
      <c r="AG26" s="46"/>
      <c r="AH26" s="578"/>
      <c r="AI26" s="578"/>
      <c r="AJ26" s="46"/>
      <c r="AK26" s="578"/>
      <c r="AL26" s="578"/>
      <c r="AM26" s="46"/>
      <c r="AN26" s="578"/>
      <c r="AO26" s="578"/>
      <c r="AP26" s="46"/>
      <c r="AQ26" s="578"/>
      <c r="AR26" s="578"/>
      <c r="AS26" s="46"/>
      <c r="AT26" s="578"/>
      <c r="AU26" s="578"/>
      <c r="AV26" s="46"/>
    </row>
    <row r="27" spans="2:48" ht="24.95" customHeight="1" x14ac:dyDescent="0.3">
      <c r="B27" s="44"/>
      <c r="C27" s="44"/>
      <c r="D27" s="44"/>
      <c r="E27" s="149"/>
      <c r="F27" s="149"/>
      <c r="G27" s="149"/>
      <c r="H27" s="151"/>
      <c r="I27" s="151"/>
      <c r="J27" s="151"/>
      <c r="K27" s="151"/>
      <c r="L27" s="151"/>
    </row>
    <row r="28" spans="2:48" ht="24.95" customHeight="1" x14ac:dyDescent="0.3">
      <c r="B28" s="44"/>
      <c r="C28" s="44"/>
      <c r="D28" s="44"/>
      <c r="E28" s="149"/>
      <c r="F28" s="149"/>
      <c r="G28" s="149"/>
      <c r="H28" s="151"/>
      <c r="I28" s="151"/>
      <c r="J28" s="151"/>
      <c r="K28" s="151"/>
      <c r="L28" s="151"/>
    </row>
    <row r="29" spans="2:48" ht="24.95" customHeight="1" x14ac:dyDescent="0.3">
      <c r="B29" s="44"/>
      <c r="C29" s="44"/>
      <c r="D29" s="44"/>
      <c r="E29" s="149"/>
      <c r="F29" s="149"/>
      <c r="G29" s="149"/>
      <c r="H29" s="151"/>
      <c r="I29" s="151"/>
      <c r="J29" s="151"/>
      <c r="K29" s="151"/>
      <c r="L29" s="151"/>
    </row>
    <row r="30" spans="2:48" ht="24.95" customHeight="1" x14ac:dyDescent="0.3">
      <c r="B30" s="44"/>
      <c r="C30" s="44"/>
      <c r="D30" s="44"/>
      <c r="E30" s="149"/>
      <c r="F30" s="149"/>
      <c r="G30" s="149"/>
      <c r="H30" s="151"/>
      <c r="I30" s="151"/>
      <c r="J30" s="151"/>
      <c r="K30" s="151"/>
      <c r="L30" s="151"/>
    </row>
    <row r="31" spans="2:48" ht="24.95" customHeight="1" x14ac:dyDescent="0.3">
      <c r="B31" s="44"/>
      <c r="C31" s="44"/>
      <c r="D31" s="44"/>
      <c r="E31" s="149"/>
      <c r="F31" s="149"/>
      <c r="G31" s="149"/>
      <c r="H31" s="151"/>
      <c r="I31" s="151"/>
      <c r="J31" s="151"/>
      <c r="K31" s="151"/>
      <c r="L31" s="151"/>
    </row>
    <row r="32" spans="2:48" ht="24.95" customHeight="1" x14ac:dyDescent="0.3">
      <c r="B32" s="44"/>
      <c r="C32" s="44"/>
      <c r="D32" s="44"/>
      <c r="E32" s="149"/>
      <c r="F32" s="149"/>
      <c r="G32" s="149"/>
      <c r="H32" s="151"/>
      <c r="I32" s="151"/>
      <c r="J32" s="151"/>
      <c r="K32" s="151"/>
      <c r="L32" s="151"/>
    </row>
    <row r="33" spans="2:12" ht="24.95" customHeight="1" x14ac:dyDescent="0.3">
      <c r="B33" s="44"/>
      <c r="C33" s="44"/>
      <c r="D33" s="44"/>
      <c r="E33" s="149"/>
      <c r="F33" s="149"/>
      <c r="G33" s="149"/>
      <c r="H33" s="151"/>
      <c r="I33" s="151"/>
      <c r="J33" s="151"/>
      <c r="K33" s="151"/>
      <c r="L33" s="151"/>
    </row>
    <row r="34" spans="2:12" ht="24.95" customHeight="1" x14ac:dyDescent="0.3">
      <c r="B34" s="44"/>
      <c r="C34" s="44"/>
      <c r="D34" s="44"/>
      <c r="E34" s="149"/>
      <c r="F34" s="149"/>
      <c r="G34" s="149"/>
      <c r="H34" s="151"/>
      <c r="I34" s="151"/>
      <c r="J34" s="151"/>
      <c r="K34" s="151"/>
      <c r="L34" s="151"/>
    </row>
    <row r="35" spans="2:12" ht="24.95" customHeight="1" x14ac:dyDescent="0.3">
      <c r="B35" s="44"/>
      <c r="C35" s="44"/>
      <c r="D35" s="44"/>
      <c r="E35" s="149"/>
      <c r="F35" s="149"/>
      <c r="G35" s="149"/>
      <c r="H35" s="151"/>
      <c r="I35" s="151"/>
      <c r="J35" s="151"/>
      <c r="K35" s="151"/>
      <c r="L35" s="151"/>
    </row>
    <row r="36" spans="2:12" ht="24.95" customHeight="1" x14ac:dyDescent="0.3">
      <c r="B36" s="44"/>
      <c r="C36" s="44"/>
      <c r="D36" s="44"/>
      <c r="E36" s="149"/>
      <c r="F36" s="149"/>
      <c r="G36" s="149"/>
      <c r="H36" s="151"/>
      <c r="I36" s="151"/>
      <c r="J36" s="151"/>
      <c r="K36" s="151"/>
      <c r="L36" s="151"/>
    </row>
    <row r="37" spans="2:12" ht="24.95" customHeight="1" x14ac:dyDescent="0.3">
      <c r="B37" s="44"/>
      <c r="C37" s="44"/>
      <c r="D37" s="44"/>
      <c r="E37" s="149"/>
      <c r="F37" s="149"/>
      <c r="G37" s="149"/>
      <c r="H37" s="151"/>
      <c r="I37" s="151"/>
      <c r="J37" s="151"/>
      <c r="K37" s="151"/>
      <c r="L37" s="151"/>
    </row>
    <row r="38" spans="2:12" ht="24.95" customHeight="1" x14ac:dyDescent="0.3">
      <c r="B38" s="44"/>
      <c r="C38" s="44"/>
      <c r="D38" s="44"/>
      <c r="E38" s="149"/>
      <c r="F38" s="149"/>
      <c r="G38" s="149"/>
      <c r="H38" s="151"/>
      <c r="I38" s="151"/>
      <c r="J38" s="151"/>
      <c r="K38" s="151"/>
      <c r="L38" s="151"/>
    </row>
    <row r="39" spans="2:12" ht="24.95" customHeight="1" x14ac:dyDescent="0.3">
      <c r="B39" s="44"/>
      <c r="C39" s="44"/>
      <c r="D39" s="44"/>
      <c r="E39" s="149"/>
      <c r="F39" s="149"/>
      <c r="G39" s="149"/>
      <c r="H39" s="151"/>
      <c r="I39" s="151"/>
      <c r="J39" s="151"/>
      <c r="K39" s="151"/>
      <c r="L39" s="151"/>
    </row>
    <row r="40" spans="2:12" ht="24.95" customHeight="1" x14ac:dyDescent="0.3">
      <c r="B40" s="44"/>
      <c r="C40" s="44"/>
      <c r="D40" s="44"/>
      <c r="E40" s="149"/>
      <c r="F40" s="149"/>
      <c r="G40" s="149"/>
      <c r="H40" s="151"/>
      <c r="I40" s="151"/>
      <c r="J40" s="151"/>
      <c r="K40" s="151"/>
      <c r="L40" s="151"/>
    </row>
    <row r="41" spans="2:12" ht="24.95" customHeight="1" x14ac:dyDescent="0.3">
      <c r="B41" s="44"/>
      <c r="C41" s="44"/>
      <c r="D41" s="44"/>
      <c r="E41" s="149"/>
      <c r="F41" s="149"/>
      <c r="G41" s="149"/>
      <c r="H41" s="151"/>
      <c r="I41" s="151"/>
      <c r="J41" s="151"/>
      <c r="K41" s="151"/>
      <c r="L41" s="151"/>
    </row>
    <row r="42" spans="2:12" ht="24.95" customHeight="1" x14ac:dyDescent="0.3">
      <c r="B42" s="44"/>
      <c r="C42" s="44"/>
      <c r="D42" s="44"/>
      <c r="E42" s="149"/>
      <c r="F42" s="149"/>
      <c r="G42" s="149"/>
      <c r="H42" s="151"/>
      <c r="I42" s="151"/>
      <c r="J42" s="151"/>
      <c r="K42" s="151"/>
      <c r="L42" s="151"/>
    </row>
    <row r="43" spans="2:12" ht="24.95" customHeight="1" x14ac:dyDescent="0.3">
      <c r="B43" s="44"/>
      <c r="C43" s="44"/>
      <c r="D43" s="44"/>
      <c r="E43" s="149"/>
      <c r="F43" s="149"/>
      <c r="G43" s="149"/>
      <c r="H43" s="151"/>
      <c r="I43" s="151"/>
      <c r="J43" s="151"/>
      <c r="K43" s="151"/>
      <c r="L43" s="151"/>
    </row>
    <row r="44" spans="2:12" ht="24.95" customHeight="1" x14ac:dyDescent="0.3">
      <c r="B44" s="44"/>
      <c r="C44" s="44"/>
      <c r="D44" s="44"/>
      <c r="E44" s="149"/>
      <c r="F44" s="149"/>
      <c r="G44" s="149"/>
      <c r="H44" s="151"/>
      <c r="I44" s="151"/>
      <c r="J44" s="151"/>
      <c r="K44" s="151"/>
      <c r="L44" s="151"/>
    </row>
    <row r="45" spans="2:12" ht="24.95" customHeight="1" x14ac:dyDescent="0.3">
      <c r="B45" s="44"/>
      <c r="C45" s="44"/>
      <c r="D45" s="44"/>
      <c r="E45" s="149"/>
      <c r="F45" s="149"/>
      <c r="G45" s="149"/>
      <c r="H45" s="151"/>
      <c r="I45" s="151"/>
      <c r="J45" s="151"/>
      <c r="K45" s="151"/>
      <c r="L45" s="151"/>
    </row>
    <row r="46" spans="2:12" ht="24.95" customHeight="1" x14ac:dyDescent="0.3">
      <c r="B46" s="44"/>
      <c r="C46" s="44"/>
      <c r="D46" s="44"/>
      <c r="E46" s="149"/>
      <c r="F46" s="149"/>
      <c r="G46" s="149"/>
      <c r="H46" s="151"/>
      <c r="I46" s="151"/>
      <c r="J46" s="151"/>
      <c r="K46" s="151"/>
      <c r="L46" s="151"/>
    </row>
    <row r="47" spans="2:12" ht="24.95" customHeight="1" x14ac:dyDescent="0.3">
      <c r="B47" s="44"/>
      <c r="C47" s="44"/>
      <c r="D47" s="44"/>
      <c r="E47" s="149"/>
      <c r="F47" s="149"/>
      <c r="G47" s="149"/>
      <c r="H47" s="151"/>
      <c r="I47" s="151"/>
      <c r="J47" s="151"/>
      <c r="K47" s="151"/>
      <c r="L47" s="151"/>
    </row>
    <row r="48" spans="2:12" ht="24.95" customHeight="1" x14ac:dyDescent="0.3">
      <c r="B48" s="44"/>
      <c r="C48" s="44"/>
      <c r="D48" s="44"/>
      <c r="E48" s="149"/>
      <c r="F48" s="149"/>
      <c r="G48" s="149"/>
      <c r="H48" s="151"/>
      <c r="I48" s="151"/>
      <c r="J48" s="151"/>
      <c r="K48" s="151"/>
      <c r="L48" s="151"/>
    </row>
    <row r="49" spans="2:24" ht="24.95" customHeight="1" x14ac:dyDescent="0.3">
      <c r="B49" s="44"/>
      <c r="C49" s="44"/>
      <c r="D49" s="44"/>
      <c r="E49" s="149"/>
      <c r="F49" s="149"/>
      <c r="G49" s="149"/>
      <c r="H49" s="151"/>
      <c r="I49" s="151"/>
      <c r="J49" s="151"/>
      <c r="K49" s="151"/>
      <c r="L49" s="151"/>
    </row>
    <row r="50" spans="2:24" ht="24.95" customHeight="1" x14ac:dyDescent="0.3">
      <c r="B50" s="44"/>
      <c r="C50" s="44"/>
      <c r="D50" s="44"/>
      <c r="E50" s="149"/>
      <c r="F50" s="149"/>
      <c r="G50" s="149"/>
      <c r="H50" s="151"/>
      <c r="I50" s="151"/>
      <c r="J50" s="151"/>
      <c r="K50" s="151"/>
      <c r="L50" s="151"/>
    </row>
    <row r="51" spans="2:24" ht="24.95" customHeight="1" x14ac:dyDescent="0.3">
      <c r="B51" s="44"/>
      <c r="C51" s="44"/>
      <c r="D51" s="44"/>
      <c r="E51" s="149"/>
      <c r="F51" s="149"/>
      <c r="G51" s="149"/>
      <c r="H51" s="151"/>
      <c r="I51" s="151"/>
      <c r="J51" s="151"/>
      <c r="K51" s="151"/>
      <c r="L51" s="151"/>
    </row>
    <row r="52" spans="2:24" ht="24.95" customHeight="1" x14ac:dyDescent="0.3">
      <c r="B52" s="44"/>
      <c r="C52" s="44"/>
      <c r="D52" s="44"/>
      <c r="E52" s="149"/>
      <c r="F52" s="149"/>
      <c r="G52" s="149"/>
      <c r="H52" s="151"/>
      <c r="I52" s="151"/>
      <c r="J52" s="151"/>
      <c r="K52" s="151"/>
      <c r="L52" s="151"/>
    </row>
    <row r="53" spans="2:24" ht="24.95" customHeight="1" x14ac:dyDescent="0.3">
      <c r="B53" s="44"/>
      <c r="C53" s="44"/>
      <c r="D53" s="44"/>
      <c r="E53" s="149"/>
      <c r="F53" s="149"/>
      <c r="G53" s="149"/>
      <c r="H53" s="151"/>
      <c r="I53" s="151"/>
      <c r="J53" s="151"/>
      <c r="K53" s="151"/>
      <c r="L53" s="151"/>
    </row>
    <row r="54" spans="2:24" ht="24.95" customHeight="1" x14ac:dyDescent="0.3">
      <c r="B54" s="44"/>
      <c r="C54" s="44"/>
      <c r="D54" s="44"/>
      <c r="E54" s="149"/>
      <c r="F54" s="149"/>
      <c r="G54" s="149"/>
      <c r="H54" s="151"/>
      <c r="I54" s="151"/>
      <c r="J54" s="151"/>
      <c r="K54" s="151"/>
      <c r="L54" s="151"/>
    </row>
    <row r="55" spans="2:24" ht="24.95" customHeight="1" x14ac:dyDescent="0.3">
      <c r="B55" s="44"/>
      <c r="C55" s="44"/>
      <c r="D55" s="44"/>
      <c r="E55" s="149"/>
      <c r="F55" s="149"/>
      <c r="G55" s="149"/>
      <c r="H55" s="151"/>
      <c r="I55" s="151"/>
      <c r="J55" s="151"/>
      <c r="K55" s="151"/>
      <c r="L55" s="151"/>
    </row>
    <row r="56" spans="2:24" ht="24.95" customHeight="1" x14ac:dyDescent="0.3">
      <c r="B56" s="44"/>
      <c r="C56" s="44"/>
      <c r="D56" s="44"/>
      <c r="E56" s="149"/>
      <c r="F56" s="149"/>
      <c r="G56" s="149"/>
      <c r="H56" s="151"/>
      <c r="I56" s="151"/>
      <c r="J56" s="151"/>
      <c r="K56" s="151"/>
      <c r="L56" s="151"/>
    </row>
    <row r="57" spans="2:24" x14ac:dyDescent="0.3">
      <c r="B57" s="44"/>
      <c r="C57" s="44"/>
      <c r="D57" s="44"/>
      <c r="E57" s="149"/>
      <c r="F57" s="149"/>
      <c r="G57" s="149"/>
      <c r="H57" s="151"/>
      <c r="I57" s="151"/>
      <c r="J57" s="151"/>
      <c r="K57" s="151"/>
      <c r="L57" s="151"/>
    </row>
    <row r="58" spans="2:24" x14ac:dyDescent="0.3">
      <c r="B58" s="44"/>
      <c r="C58" s="44"/>
      <c r="D58" s="44"/>
      <c r="E58" s="149"/>
      <c r="F58" s="149"/>
      <c r="G58" s="149"/>
      <c r="H58" s="151"/>
      <c r="I58" s="151"/>
      <c r="J58" s="151"/>
      <c r="K58" s="151"/>
      <c r="L58" s="151"/>
    </row>
    <row r="59" spans="2:24" x14ac:dyDescent="0.3">
      <c r="B59" s="44"/>
      <c r="C59" s="44"/>
      <c r="D59" s="44"/>
      <c r="E59" s="149"/>
      <c r="F59" s="149"/>
      <c r="G59" s="149"/>
      <c r="H59" s="151"/>
      <c r="I59" s="151"/>
      <c r="J59" s="151"/>
      <c r="K59" s="151"/>
      <c r="L59" s="151"/>
    </row>
    <row r="60" spans="2:24" x14ac:dyDescent="0.2">
      <c r="B60" s="44"/>
      <c r="C60" s="44"/>
      <c r="D60" s="44"/>
      <c r="E60" s="149"/>
      <c r="F60" s="149"/>
      <c r="G60" s="149"/>
      <c r="H60" s="151"/>
      <c r="I60" s="151"/>
      <c r="J60" s="151"/>
      <c r="K60" s="151"/>
      <c r="L60" s="151"/>
      <c r="S60" s="1"/>
      <c r="T60" s="579"/>
      <c r="U60" s="580"/>
      <c r="V60" s="581"/>
      <c r="W60" s="1"/>
      <c r="X60" s="1"/>
    </row>
    <row r="61" spans="2:24" x14ac:dyDescent="0.3">
      <c r="B61" s="44"/>
      <c r="C61" s="44"/>
      <c r="D61" s="44"/>
      <c r="E61" s="149"/>
      <c r="F61" s="149"/>
      <c r="G61" s="149"/>
      <c r="H61" s="151"/>
      <c r="I61" s="151"/>
      <c r="J61" s="151"/>
      <c r="K61" s="151"/>
      <c r="L61" s="151"/>
      <c r="S61" s="1"/>
      <c r="T61" s="1"/>
      <c r="U61" s="1"/>
      <c r="V61" s="1"/>
      <c r="W61" s="1"/>
      <c r="X61" s="1"/>
    </row>
    <row r="62" spans="2:24" x14ac:dyDescent="0.3">
      <c r="B62" s="44"/>
      <c r="C62" s="44"/>
      <c r="D62" s="44"/>
      <c r="E62" s="149"/>
      <c r="F62" s="149"/>
      <c r="G62" s="149"/>
      <c r="H62" s="151"/>
      <c r="I62" s="151"/>
      <c r="J62" s="151"/>
      <c r="K62" s="151"/>
      <c r="L62" s="151"/>
      <c r="S62" s="1"/>
      <c r="T62" s="1"/>
      <c r="U62" s="1"/>
      <c r="V62" s="1"/>
      <c r="W62" s="1"/>
      <c r="X62" s="1"/>
    </row>
    <row r="63" spans="2:24" x14ac:dyDescent="0.3">
      <c r="B63" s="44"/>
      <c r="C63" s="44"/>
      <c r="D63" s="44"/>
      <c r="E63" s="149"/>
      <c r="F63" s="149"/>
      <c r="G63" s="149"/>
      <c r="H63" s="151"/>
      <c r="I63" s="151"/>
      <c r="J63" s="151"/>
      <c r="K63" s="151"/>
      <c r="L63" s="151"/>
      <c r="S63" s="1"/>
      <c r="T63" s="1"/>
      <c r="U63" s="1"/>
      <c r="V63" s="1"/>
      <c r="W63" s="1"/>
      <c r="X63" s="1"/>
    </row>
    <row r="64" spans="2:24" x14ac:dyDescent="0.3">
      <c r="B64" s="44"/>
      <c r="C64" s="44"/>
      <c r="D64" s="44"/>
      <c r="E64" s="149"/>
      <c r="F64" s="149"/>
      <c r="G64" s="149"/>
      <c r="H64" s="151"/>
      <c r="I64" s="151"/>
      <c r="J64" s="151"/>
      <c r="K64" s="151"/>
      <c r="L64" s="151"/>
      <c r="S64" s="1"/>
      <c r="T64" s="1"/>
      <c r="U64" s="1"/>
      <c r="V64" s="1"/>
      <c r="W64" s="1"/>
      <c r="X64" s="1"/>
    </row>
    <row r="65" spans="2:24" x14ac:dyDescent="0.3">
      <c r="B65" s="44"/>
      <c r="C65" s="44"/>
      <c r="D65" s="44"/>
      <c r="E65" s="149"/>
      <c r="F65" s="149"/>
      <c r="G65" s="149"/>
      <c r="H65" s="151"/>
      <c r="I65" s="151"/>
      <c r="J65" s="151"/>
      <c r="K65" s="151"/>
      <c r="L65" s="151"/>
      <c r="S65" s="1"/>
      <c r="T65" s="1"/>
      <c r="U65" s="1"/>
      <c r="V65" s="1"/>
      <c r="W65" s="1"/>
      <c r="X65" s="1"/>
    </row>
    <row r="66" spans="2:24" x14ac:dyDescent="0.3">
      <c r="B66" s="44"/>
      <c r="C66" s="44"/>
      <c r="D66" s="44"/>
      <c r="E66" s="149"/>
      <c r="F66" s="149"/>
      <c r="G66" s="149"/>
      <c r="H66" s="151"/>
      <c r="I66" s="151"/>
      <c r="J66" s="151"/>
      <c r="K66" s="151"/>
      <c r="L66" s="151"/>
      <c r="S66" s="1"/>
      <c r="T66" s="1"/>
      <c r="U66" s="1"/>
      <c r="V66" s="1"/>
      <c r="W66" s="1"/>
      <c r="X66" s="1"/>
    </row>
    <row r="67" spans="2:24" x14ac:dyDescent="0.3">
      <c r="B67" s="44"/>
      <c r="C67" s="44"/>
      <c r="D67" s="44"/>
      <c r="E67" s="149"/>
      <c r="F67" s="149"/>
      <c r="G67" s="149"/>
      <c r="H67" s="151"/>
      <c r="I67" s="151"/>
      <c r="J67" s="151"/>
      <c r="K67" s="151"/>
      <c r="L67" s="151"/>
      <c r="S67" s="1"/>
      <c r="T67" s="1"/>
      <c r="U67" s="1"/>
      <c r="V67" s="1"/>
      <c r="W67" s="1"/>
      <c r="X67" s="1"/>
    </row>
    <row r="68" spans="2:24" x14ac:dyDescent="0.3">
      <c r="B68" s="44"/>
      <c r="C68" s="44"/>
      <c r="D68" s="44"/>
      <c r="E68" s="149"/>
      <c r="F68" s="149"/>
      <c r="G68" s="149"/>
      <c r="H68" s="151"/>
      <c r="I68" s="151"/>
      <c r="J68" s="151"/>
      <c r="K68" s="151"/>
      <c r="L68" s="151"/>
      <c r="S68" s="1"/>
      <c r="T68" s="1"/>
      <c r="U68" s="1"/>
      <c r="V68" s="1"/>
      <c r="W68" s="1"/>
      <c r="X68" s="1"/>
    </row>
    <row r="69" spans="2:24" x14ac:dyDescent="0.3">
      <c r="B69" s="44"/>
      <c r="C69" s="44"/>
      <c r="D69" s="44"/>
      <c r="E69" s="149"/>
      <c r="F69" s="149"/>
      <c r="G69" s="149"/>
      <c r="H69" s="151"/>
      <c r="I69" s="151"/>
      <c r="J69" s="151"/>
      <c r="K69" s="151"/>
      <c r="L69" s="151"/>
      <c r="S69" s="1"/>
      <c r="T69" s="1"/>
      <c r="U69" s="1"/>
      <c r="V69" s="1"/>
      <c r="W69" s="1"/>
      <c r="X69" s="1"/>
    </row>
    <row r="70" spans="2:24" x14ac:dyDescent="0.3">
      <c r="B70" s="44"/>
      <c r="C70" s="44"/>
      <c r="D70" s="44"/>
      <c r="E70" s="149"/>
      <c r="F70" s="149"/>
      <c r="G70" s="149"/>
      <c r="H70" s="151"/>
      <c r="I70" s="151"/>
      <c r="J70" s="151"/>
      <c r="K70" s="151"/>
      <c r="L70" s="151"/>
      <c r="S70" s="1"/>
      <c r="T70" s="1"/>
      <c r="U70" s="1"/>
      <c r="V70" s="1"/>
      <c r="W70" s="1"/>
      <c r="X70" s="1"/>
    </row>
    <row r="71" spans="2:24" x14ac:dyDescent="0.3">
      <c r="B71" s="44"/>
      <c r="C71" s="44"/>
      <c r="D71" s="44"/>
      <c r="E71" s="149"/>
      <c r="F71" s="149"/>
      <c r="G71" s="149"/>
      <c r="H71" s="151"/>
      <c r="I71" s="151"/>
      <c r="J71" s="151"/>
      <c r="K71" s="151"/>
      <c r="L71" s="151"/>
      <c r="S71" s="1"/>
      <c r="T71" s="1"/>
      <c r="U71" s="1"/>
      <c r="V71" s="1"/>
      <c r="W71" s="1"/>
      <c r="X71" s="1"/>
    </row>
    <row r="72" spans="2:24" x14ac:dyDescent="0.3">
      <c r="B72" s="44"/>
      <c r="C72" s="44"/>
      <c r="D72" s="44"/>
      <c r="E72" s="149"/>
      <c r="F72" s="149"/>
      <c r="G72" s="149"/>
      <c r="H72" s="151"/>
      <c r="I72" s="151"/>
      <c r="J72" s="151"/>
      <c r="K72" s="151"/>
      <c r="L72" s="151"/>
      <c r="S72" s="1"/>
      <c r="T72" s="1"/>
      <c r="U72" s="1"/>
      <c r="V72" s="1"/>
      <c r="W72" s="1"/>
      <c r="X72" s="1"/>
    </row>
    <row r="73" spans="2:24" x14ac:dyDescent="0.3">
      <c r="B73" s="44"/>
      <c r="C73" s="44"/>
      <c r="D73" s="44"/>
      <c r="E73" s="149"/>
      <c r="F73" s="149"/>
      <c r="G73" s="149"/>
      <c r="H73" s="151"/>
      <c r="I73" s="151"/>
      <c r="J73" s="151"/>
      <c r="K73" s="151"/>
      <c r="L73" s="151"/>
      <c r="S73" s="1"/>
      <c r="T73" s="1"/>
      <c r="U73" s="1"/>
      <c r="V73" s="1"/>
      <c r="W73" s="1"/>
      <c r="X73" s="1"/>
    </row>
    <row r="74" spans="2:24" x14ac:dyDescent="0.3">
      <c r="B74" s="44"/>
      <c r="C74" s="44"/>
      <c r="D74" s="44"/>
      <c r="E74" s="149"/>
      <c r="F74" s="149"/>
      <c r="G74" s="149"/>
      <c r="H74" s="151"/>
      <c r="I74" s="151"/>
      <c r="J74" s="151"/>
      <c r="K74" s="151"/>
      <c r="L74" s="151"/>
      <c r="S74" s="1"/>
      <c r="T74" s="1"/>
      <c r="U74" s="1"/>
      <c r="V74" s="1"/>
      <c r="W74" s="1"/>
      <c r="X74" s="1"/>
    </row>
    <row r="75" spans="2:24" x14ac:dyDescent="0.3">
      <c r="B75" s="44"/>
      <c r="C75" s="44"/>
      <c r="D75" s="44"/>
      <c r="E75" s="149"/>
      <c r="F75" s="149"/>
      <c r="G75" s="149"/>
      <c r="H75" s="151"/>
      <c r="I75" s="151"/>
      <c r="J75" s="151"/>
      <c r="K75" s="151"/>
      <c r="L75" s="151"/>
      <c r="S75" s="1"/>
      <c r="T75" s="1"/>
      <c r="U75" s="1"/>
      <c r="V75" s="1"/>
      <c r="W75" s="1"/>
      <c r="X75" s="1"/>
    </row>
    <row r="76" spans="2:24" x14ac:dyDescent="0.3">
      <c r="B76" s="44"/>
      <c r="C76" s="44"/>
      <c r="D76" s="44"/>
      <c r="E76" s="149"/>
      <c r="F76" s="149"/>
      <c r="G76" s="149"/>
      <c r="H76" s="151"/>
      <c r="I76" s="151"/>
      <c r="J76" s="151"/>
      <c r="K76" s="151"/>
      <c r="L76" s="151"/>
      <c r="S76" s="1"/>
      <c r="T76" s="1"/>
      <c r="U76" s="1"/>
      <c r="V76" s="1"/>
      <c r="W76" s="1"/>
      <c r="X76" s="1"/>
    </row>
    <row r="77" spans="2:24" x14ac:dyDescent="0.3">
      <c r="B77" s="44"/>
      <c r="C77" s="44"/>
      <c r="D77" s="44"/>
      <c r="E77" s="149"/>
      <c r="F77" s="149"/>
      <c r="G77" s="149"/>
      <c r="H77" s="151"/>
      <c r="I77" s="151"/>
      <c r="J77" s="151"/>
      <c r="K77" s="151"/>
      <c r="L77" s="151"/>
      <c r="S77" s="1"/>
      <c r="T77" s="1"/>
      <c r="U77" s="1"/>
      <c r="V77" s="1"/>
      <c r="W77" s="1"/>
      <c r="X77" s="1"/>
    </row>
    <row r="78" spans="2:24" x14ac:dyDescent="0.3">
      <c r="B78" s="44"/>
      <c r="C78" s="44"/>
      <c r="D78" s="44"/>
      <c r="E78" s="149"/>
      <c r="F78" s="149"/>
      <c r="G78" s="149"/>
      <c r="H78" s="151"/>
      <c r="I78" s="151"/>
      <c r="J78" s="151"/>
      <c r="K78" s="151"/>
      <c r="L78" s="151"/>
      <c r="S78" s="1"/>
      <c r="T78" s="1"/>
      <c r="U78" s="1"/>
      <c r="V78" s="1"/>
      <c r="W78" s="1"/>
      <c r="X78" s="1"/>
    </row>
    <row r="79" spans="2:24" x14ac:dyDescent="0.3">
      <c r="B79" s="44"/>
      <c r="C79" s="44"/>
      <c r="D79" s="44"/>
      <c r="E79" s="149"/>
      <c r="F79" s="149"/>
      <c r="G79" s="149"/>
      <c r="H79" s="151"/>
      <c r="I79" s="151"/>
      <c r="J79" s="151"/>
      <c r="K79" s="151"/>
      <c r="L79" s="151"/>
      <c r="S79" s="1"/>
      <c r="T79" s="1"/>
      <c r="U79" s="1"/>
      <c r="V79" s="1"/>
      <c r="W79" s="1"/>
      <c r="X79" s="1"/>
    </row>
    <row r="80" spans="2:24" x14ac:dyDescent="0.3">
      <c r="B80" s="44"/>
      <c r="C80" s="44"/>
      <c r="D80" s="44"/>
      <c r="E80" s="149"/>
      <c r="F80" s="149"/>
      <c r="G80" s="149"/>
      <c r="H80" s="151"/>
      <c r="I80" s="151"/>
      <c r="J80" s="151"/>
      <c r="K80" s="151"/>
      <c r="L80" s="151"/>
      <c r="S80" s="1"/>
      <c r="T80" s="1"/>
      <c r="U80" s="1"/>
      <c r="V80" s="1"/>
      <c r="W80" s="1"/>
      <c r="X80" s="1"/>
    </row>
    <row r="81" spans="2:24" x14ac:dyDescent="0.3">
      <c r="B81" s="44"/>
      <c r="C81" s="44"/>
      <c r="D81" s="44"/>
      <c r="E81" s="149"/>
      <c r="F81" s="149"/>
      <c r="G81" s="149"/>
      <c r="H81" s="151"/>
      <c r="I81" s="151"/>
      <c r="J81" s="151"/>
      <c r="K81" s="151"/>
      <c r="L81" s="151"/>
      <c r="S81" s="1"/>
      <c r="T81" s="1"/>
      <c r="U81" s="1"/>
      <c r="V81" s="1"/>
      <c r="W81" s="1"/>
      <c r="X81" s="1"/>
    </row>
    <row r="82" spans="2:24" x14ac:dyDescent="0.3">
      <c r="B82" s="44"/>
      <c r="C82" s="44"/>
      <c r="D82" s="44"/>
      <c r="E82" s="149"/>
      <c r="F82" s="149"/>
      <c r="G82" s="149"/>
      <c r="H82" s="151"/>
      <c r="I82" s="151"/>
      <c r="J82" s="151"/>
      <c r="K82" s="151"/>
      <c r="L82" s="151"/>
      <c r="S82" s="1"/>
      <c r="T82" s="1"/>
      <c r="U82" s="1"/>
      <c r="V82" s="1"/>
      <c r="W82" s="1"/>
      <c r="X82" s="1"/>
    </row>
    <row r="83" spans="2:24" x14ac:dyDescent="0.3">
      <c r="B83" s="44"/>
      <c r="C83" s="44"/>
      <c r="D83" s="44"/>
      <c r="E83" s="149"/>
      <c r="F83" s="149"/>
      <c r="G83" s="149"/>
      <c r="H83" s="151"/>
      <c r="I83" s="151"/>
      <c r="J83" s="151"/>
      <c r="K83" s="151"/>
      <c r="L83" s="151"/>
      <c r="S83" s="1"/>
      <c r="T83" s="1"/>
      <c r="U83" s="1"/>
      <c r="V83" s="1"/>
      <c r="W83" s="1"/>
      <c r="X83" s="1"/>
    </row>
    <row r="84" spans="2:24" x14ac:dyDescent="0.3">
      <c r="B84" s="44"/>
      <c r="C84" s="44"/>
      <c r="D84" s="44"/>
      <c r="E84" s="149"/>
      <c r="F84" s="149"/>
      <c r="G84" s="149"/>
      <c r="H84" s="151"/>
      <c r="I84" s="151"/>
      <c r="J84" s="151"/>
      <c r="K84" s="151"/>
      <c r="L84" s="151"/>
      <c r="S84" s="1"/>
      <c r="T84" s="1"/>
      <c r="U84" s="1"/>
      <c r="V84" s="1"/>
      <c r="W84" s="1"/>
      <c r="X84" s="1"/>
    </row>
    <row r="85" spans="2:24" x14ac:dyDescent="0.3">
      <c r="B85" s="44"/>
      <c r="C85" s="44"/>
      <c r="D85" s="44"/>
      <c r="E85" s="149"/>
      <c r="F85" s="149"/>
      <c r="G85" s="149"/>
      <c r="H85" s="151"/>
      <c r="I85" s="151"/>
      <c r="J85" s="151"/>
      <c r="K85" s="151"/>
      <c r="L85" s="151"/>
      <c r="S85" s="1"/>
      <c r="T85" s="1"/>
      <c r="U85" s="1"/>
      <c r="V85" s="1"/>
      <c r="W85" s="1"/>
      <c r="X85" s="1"/>
    </row>
    <row r="86" spans="2:24" x14ac:dyDescent="0.3">
      <c r="B86" s="44"/>
      <c r="C86" s="44"/>
      <c r="D86" s="44"/>
      <c r="E86" s="149"/>
      <c r="F86" s="149"/>
      <c r="G86" s="149"/>
      <c r="H86" s="151"/>
      <c r="I86" s="151"/>
      <c r="J86" s="151"/>
      <c r="K86" s="151"/>
      <c r="L86" s="151"/>
      <c r="S86" s="1"/>
      <c r="T86" s="1"/>
      <c r="U86" s="1"/>
      <c r="V86" s="1"/>
      <c r="W86" s="1"/>
      <c r="X86" s="1"/>
    </row>
    <row r="87" spans="2:24" x14ac:dyDescent="0.3">
      <c r="B87" s="44"/>
      <c r="C87" s="44"/>
      <c r="D87" s="44"/>
      <c r="E87" s="149"/>
      <c r="F87" s="149"/>
      <c r="G87" s="149"/>
      <c r="H87" s="151"/>
      <c r="I87" s="151"/>
      <c r="J87" s="151"/>
      <c r="K87" s="151"/>
      <c r="L87" s="151"/>
      <c r="S87" s="1"/>
      <c r="T87" s="1"/>
      <c r="U87" s="1"/>
      <c r="V87" s="1"/>
      <c r="W87" s="1"/>
      <c r="X87" s="1"/>
    </row>
    <row r="88" spans="2:24" x14ac:dyDescent="0.3">
      <c r="B88" s="44"/>
      <c r="C88" s="44"/>
      <c r="D88" s="44"/>
      <c r="E88" s="149"/>
      <c r="F88" s="149"/>
      <c r="G88" s="149"/>
      <c r="H88" s="151"/>
      <c r="I88" s="151"/>
      <c r="J88" s="151"/>
      <c r="K88" s="151"/>
      <c r="L88" s="151"/>
      <c r="S88" s="1"/>
      <c r="T88" s="1"/>
      <c r="U88" s="1"/>
      <c r="V88" s="1"/>
      <c r="W88" s="1"/>
      <c r="X88" s="1"/>
    </row>
    <row r="89" spans="2:24" x14ac:dyDescent="0.3">
      <c r="B89" s="44"/>
      <c r="C89" s="44"/>
      <c r="D89" s="44"/>
      <c r="E89" s="149"/>
      <c r="F89" s="149"/>
      <c r="G89" s="149"/>
      <c r="H89" s="151"/>
      <c r="I89" s="151"/>
      <c r="J89" s="151"/>
      <c r="K89" s="151"/>
      <c r="L89" s="151"/>
      <c r="S89" s="1"/>
      <c r="T89" s="1"/>
      <c r="U89" s="1"/>
      <c r="V89" s="1"/>
      <c r="W89" s="1"/>
      <c r="X89" s="1"/>
    </row>
    <row r="90" spans="2:24" x14ac:dyDescent="0.3">
      <c r="B90" s="44"/>
      <c r="C90" s="44"/>
      <c r="D90" s="44"/>
      <c r="E90" s="149"/>
      <c r="F90" s="149"/>
      <c r="G90" s="149"/>
      <c r="H90" s="151"/>
      <c r="I90" s="151"/>
      <c r="J90" s="151"/>
      <c r="K90" s="151"/>
      <c r="L90" s="151"/>
      <c r="S90" s="1"/>
      <c r="T90" s="1"/>
      <c r="U90" s="1"/>
      <c r="V90" s="1"/>
      <c r="W90" s="1"/>
      <c r="X90" s="1"/>
    </row>
    <row r="91" spans="2:24" x14ac:dyDescent="0.3">
      <c r="B91" s="44"/>
      <c r="C91" s="44"/>
      <c r="D91" s="44"/>
      <c r="E91" s="149"/>
      <c r="F91" s="149"/>
      <c r="G91" s="149"/>
      <c r="H91" s="151"/>
      <c r="I91" s="151"/>
      <c r="J91" s="151"/>
      <c r="K91" s="151"/>
      <c r="L91" s="151"/>
      <c r="S91" s="1"/>
      <c r="T91" s="1"/>
      <c r="U91" s="1"/>
      <c r="V91" s="1"/>
      <c r="W91" s="1"/>
      <c r="X91" s="1"/>
    </row>
    <row r="92" spans="2:24" x14ac:dyDescent="0.3">
      <c r="B92" s="44"/>
      <c r="C92" s="44"/>
      <c r="D92" s="44"/>
      <c r="E92" s="149"/>
      <c r="F92" s="149"/>
      <c r="G92" s="149"/>
      <c r="H92" s="151"/>
      <c r="I92" s="151"/>
      <c r="J92" s="151"/>
      <c r="K92" s="151"/>
      <c r="L92" s="151"/>
      <c r="S92" s="1"/>
      <c r="T92" s="1"/>
      <c r="U92" s="1"/>
      <c r="V92" s="1"/>
      <c r="W92" s="1"/>
      <c r="X92" s="1"/>
    </row>
    <row r="93" spans="2:24" x14ac:dyDescent="0.3">
      <c r="B93" s="44"/>
      <c r="C93" s="44"/>
      <c r="D93" s="44"/>
      <c r="E93" s="149"/>
      <c r="F93" s="149"/>
      <c r="G93" s="149"/>
      <c r="H93" s="151"/>
      <c r="I93" s="151"/>
      <c r="J93" s="151"/>
      <c r="K93" s="151"/>
      <c r="L93" s="151"/>
    </row>
    <row r="94" spans="2:24" x14ac:dyDescent="0.3">
      <c r="B94" s="44"/>
      <c r="C94" s="44"/>
      <c r="D94" s="44"/>
      <c r="E94" s="149"/>
      <c r="F94" s="149"/>
      <c r="G94" s="149"/>
      <c r="H94" s="151"/>
      <c r="I94" s="151"/>
      <c r="J94" s="151"/>
      <c r="K94" s="151"/>
      <c r="L94" s="151"/>
    </row>
    <row r="95" spans="2:24" x14ac:dyDescent="0.3">
      <c r="B95" s="44"/>
      <c r="C95" s="44"/>
      <c r="D95" s="44"/>
      <c r="E95" s="149"/>
      <c r="F95" s="149"/>
      <c r="G95" s="149"/>
      <c r="H95" s="151"/>
      <c r="I95" s="151"/>
      <c r="J95" s="151"/>
      <c r="K95" s="151"/>
      <c r="L95" s="151"/>
    </row>
    <row r="96" spans="2:24" x14ac:dyDescent="0.3">
      <c r="B96" s="44"/>
      <c r="C96" s="44"/>
      <c r="D96" s="44"/>
      <c r="E96" s="149"/>
      <c r="F96" s="149"/>
      <c r="G96" s="149"/>
      <c r="H96" s="151"/>
      <c r="I96" s="151"/>
      <c r="J96" s="151"/>
      <c r="K96" s="151"/>
      <c r="L96" s="151"/>
    </row>
    <row r="97" spans="2:12" x14ac:dyDescent="0.3">
      <c r="B97" s="44"/>
      <c r="C97" s="44"/>
      <c r="D97" s="44"/>
      <c r="E97" s="149"/>
      <c r="F97" s="149"/>
      <c r="G97" s="149"/>
      <c r="H97" s="151"/>
      <c r="I97" s="151"/>
      <c r="J97" s="151"/>
      <c r="K97" s="151"/>
      <c r="L97" s="151"/>
    </row>
    <row r="98" spans="2:12" x14ac:dyDescent="0.3">
      <c r="B98" s="44"/>
      <c r="C98" s="44"/>
      <c r="D98" s="44"/>
      <c r="E98" s="149"/>
      <c r="F98" s="149"/>
      <c r="G98" s="149"/>
      <c r="H98" s="151"/>
      <c r="I98" s="151"/>
      <c r="J98" s="151"/>
      <c r="K98" s="151"/>
      <c r="L98" s="151"/>
    </row>
    <row r="99" spans="2:12" x14ac:dyDescent="0.3">
      <c r="B99" s="44"/>
      <c r="C99" s="44"/>
      <c r="D99" s="44"/>
      <c r="E99" s="149"/>
      <c r="F99" s="149"/>
      <c r="G99" s="149"/>
      <c r="H99" s="151"/>
      <c r="I99" s="151"/>
      <c r="J99" s="151"/>
      <c r="K99" s="151"/>
      <c r="L99" s="151"/>
    </row>
    <row r="100" spans="2:12" x14ac:dyDescent="0.3">
      <c r="B100" s="44"/>
      <c r="C100" s="44"/>
      <c r="D100" s="44"/>
      <c r="E100" s="149"/>
      <c r="F100" s="149"/>
      <c r="G100" s="149"/>
      <c r="H100" s="151"/>
      <c r="I100" s="151"/>
      <c r="J100" s="151"/>
      <c r="K100" s="151"/>
      <c r="L100" s="151"/>
    </row>
    <row r="101" spans="2:12" x14ac:dyDescent="0.3">
      <c r="B101" s="44"/>
      <c r="C101" s="44"/>
      <c r="D101" s="44"/>
      <c r="E101" s="149"/>
      <c r="F101" s="149"/>
      <c r="G101" s="149"/>
      <c r="H101" s="151"/>
      <c r="I101" s="151"/>
      <c r="J101" s="151"/>
      <c r="K101" s="151"/>
      <c r="L101" s="151"/>
    </row>
    <row r="102" spans="2:12" x14ac:dyDescent="0.3">
      <c r="B102" s="44"/>
      <c r="C102" s="44"/>
      <c r="D102" s="44"/>
      <c r="E102" s="149"/>
      <c r="F102" s="149"/>
      <c r="G102" s="149"/>
      <c r="H102" s="151"/>
      <c r="I102" s="151"/>
      <c r="J102" s="151"/>
      <c r="K102" s="151"/>
      <c r="L102" s="151"/>
    </row>
    <row r="103" spans="2:12" x14ac:dyDescent="0.3">
      <c r="B103" s="44"/>
      <c r="C103" s="44"/>
      <c r="D103" s="44"/>
      <c r="E103" s="149"/>
      <c r="F103" s="149"/>
      <c r="G103" s="149"/>
      <c r="H103" s="151"/>
      <c r="I103" s="151"/>
      <c r="J103" s="151"/>
      <c r="K103" s="151"/>
      <c r="L103" s="151"/>
    </row>
    <row r="104" spans="2:12" x14ac:dyDescent="0.3">
      <c r="B104" s="44"/>
      <c r="C104" s="44"/>
      <c r="D104" s="44"/>
      <c r="E104" s="149"/>
      <c r="F104" s="149"/>
      <c r="G104" s="149"/>
      <c r="H104" s="151"/>
      <c r="I104" s="151"/>
      <c r="J104" s="151"/>
      <c r="K104" s="151"/>
      <c r="L104" s="151"/>
    </row>
    <row r="105" spans="2:12" x14ac:dyDescent="0.3">
      <c r="B105" s="44"/>
      <c r="C105" s="44"/>
      <c r="D105" s="44"/>
      <c r="E105" s="149"/>
      <c r="F105" s="149"/>
      <c r="G105" s="149"/>
      <c r="H105" s="151"/>
      <c r="I105" s="151"/>
      <c r="J105" s="151"/>
      <c r="K105" s="151"/>
      <c r="L105" s="151"/>
    </row>
    <row r="106" spans="2:12" x14ac:dyDescent="0.3">
      <c r="B106" s="44"/>
      <c r="C106" s="44"/>
      <c r="D106" s="44"/>
      <c r="E106" s="149"/>
      <c r="F106" s="149"/>
      <c r="G106" s="149"/>
      <c r="H106" s="151"/>
      <c r="I106" s="151"/>
      <c r="J106" s="151"/>
      <c r="K106" s="151"/>
      <c r="L106" s="151"/>
    </row>
    <row r="107" spans="2:12" x14ac:dyDescent="0.3">
      <c r="B107" s="44"/>
      <c r="C107" s="44"/>
      <c r="D107" s="44"/>
      <c r="E107" s="149"/>
      <c r="F107" s="149"/>
      <c r="G107" s="149"/>
      <c r="H107" s="151"/>
      <c r="I107" s="151"/>
      <c r="J107" s="151"/>
      <c r="K107" s="151"/>
      <c r="L107" s="151"/>
    </row>
    <row r="108" spans="2:12" x14ac:dyDescent="0.3">
      <c r="B108" s="44"/>
      <c r="C108" s="44"/>
      <c r="D108" s="44"/>
      <c r="E108" s="149"/>
      <c r="F108" s="149"/>
      <c r="G108" s="149"/>
      <c r="H108" s="151"/>
      <c r="I108" s="151"/>
      <c r="J108" s="151"/>
      <c r="K108" s="151"/>
      <c r="L108" s="151"/>
    </row>
    <row r="109" spans="2:12" x14ac:dyDescent="0.3">
      <c r="B109" s="44"/>
      <c r="C109" s="44"/>
      <c r="D109" s="44"/>
      <c r="E109" s="149"/>
      <c r="F109" s="149"/>
      <c r="G109" s="149"/>
      <c r="H109" s="151"/>
      <c r="I109" s="151"/>
      <c r="J109" s="151"/>
      <c r="K109" s="151"/>
      <c r="L109" s="151"/>
    </row>
    <row r="110" spans="2:12" x14ac:dyDescent="0.3">
      <c r="B110" s="44"/>
      <c r="C110" s="44"/>
      <c r="D110" s="44"/>
      <c r="E110" s="149"/>
      <c r="F110" s="149"/>
      <c r="G110" s="149"/>
      <c r="H110" s="151"/>
      <c r="I110" s="151"/>
      <c r="J110" s="151"/>
      <c r="K110" s="151"/>
      <c r="L110" s="151"/>
    </row>
    <row r="111" spans="2:12" x14ac:dyDescent="0.3">
      <c r="B111" s="44"/>
      <c r="C111" s="44"/>
      <c r="D111" s="44"/>
      <c r="E111" s="149"/>
      <c r="F111" s="149"/>
      <c r="G111" s="149"/>
      <c r="H111" s="151"/>
      <c r="I111" s="151"/>
      <c r="J111" s="151"/>
      <c r="K111" s="151"/>
      <c r="L111" s="151"/>
    </row>
    <row r="112" spans="2:12" x14ac:dyDescent="0.3">
      <c r="B112" s="44"/>
      <c r="C112" s="44"/>
      <c r="D112" s="44"/>
      <c r="E112" s="149"/>
      <c r="F112" s="149"/>
      <c r="G112" s="149"/>
      <c r="H112" s="151"/>
      <c r="I112" s="151"/>
      <c r="J112" s="151"/>
      <c r="K112" s="151"/>
      <c r="L112" s="151"/>
    </row>
    <row r="113" spans="2:12" x14ac:dyDescent="0.3">
      <c r="B113" s="44"/>
      <c r="C113" s="44"/>
      <c r="D113" s="44"/>
      <c r="E113" s="149"/>
      <c r="F113" s="149"/>
      <c r="G113" s="149"/>
      <c r="H113" s="151"/>
      <c r="I113" s="151"/>
      <c r="J113" s="151"/>
      <c r="K113" s="151"/>
      <c r="L113" s="151"/>
    </row>
    <row r="114" spans="2:12" x14ac:dyDescent="0.3">
      <c r="B114" s="44"/>
      <c r="C114" s="44"/>
      <c r="D114" s="44"/>
      <c r="E114" s="149"/>
      <c r="F114" s="149"/>
      <c r="G114" s="149"/>
      <c r="H114" s="151"/>
      <c r="I114" s="151"/>
      <c r="J114" s="151"/>
      <c r="K114" s="151"/>
      <c r="L114" s="151"/>
    </row>
    <row r="115" spans="2:12" x14ac:dyDescent="0.3">
      <c r="B115" s="44"/>
      <c r="C115" s="44"/>
      <c r="D115" s="44"/>
      <c r="E115" s="149"/>
      <c r="F115" s="149"/>
      <c r="G115" s="149"/>
      <c r="H115" s="151"/>
      <c r="I115" s="151"/>
      <c r="J115" s="151"/>
      <c r="K115" s="151"/>
      <c r="L115" s="151"/>
    </row>
    <row r="116" spans="2:12" x14ac:dyDescent="0.3">
      <c r="B116" s="44"/>
      <c r="C116" s="44"/>
      <c r="D116" s="44"/>
      <c r="E116" s="149"/>
      <c r="F116" s="149"/>
      <c r="G116" s="149"/>
      <c r="H116" s="151"/>
      <c r="I116" s="151"/>
      <c r="J116" s="151"/>
      <c r="K116" s="151"/>
      <c r="L116" s="151"/>
    </row>
    <row r="117" spans="2:12" x14ac:dyDescent="0.3">
      <c r="B117" s="44"/>
      <c r="C117" s="44"/>
      <c r="D117" s="44"/>
      <c r="E117" s="149"/>
      <c r="F117" s="149"/>
      <c r="G117" s="149"/>
      <c r="H117" s="151"/>
      <c r="I117" s="151"/>
      <c r="J117" s="151"/>
      <c r="K117" s="151"/>
      <c r="L117" s="151"/>
    </row>
    <row r="118" spans="2:12" x14ac:dyDescent="0.3">
      <c r="B118" s="44"/>
      <c r="C118" s="44"/>
      <c r="D118" s="44"/>
      <c r="E118" s="149"/>
      <c r="F118" s="149"/>
      <c r="G118" s="149"/>
      <c r="H118" s="151"/>
      <c r="I118" s="151"/>
      <c r="J118" s="151"/>
      <c r="K118" s="151"/>
      <c r="L118" s="151"/>
    </row>
    <row r="119" spans="2:12" x14ac:dyDescent="0.3">
      <c r="B119" s="44"/>
      <c r="C119" s="44"/>
      <c r="D119" s="44"/>
      <c r="E119" s="149"/>
      <c r="F119" s="149"/>
      <c r="G119" s="149"/>
      <c r="H119" s="151"/>
      <c r="I119" s="151"/>
      <c r="J119" s="151"/>
      <c r="K119" s="151"/>
      <c r="L119" s="151"/>
    </row>
    <row r="120" spans="2:12" x14ac:dyDescent="0.3">
      <c r="B120" s="44"/>
      <c r="C120" s="44"/>
      <c r="D120" s="44"/>
      <c r="E120" s="149"/>
      <c r="F120" s="149"/>
      <c r="G120" s="149"/>
      <c r="H120" s="151"/>
      <c r="I120" s="151"/>
      <c r="J120" s="151"/>
      <c r="K120" s="151"/>
      <c r="L120" s="151"/>
    </row>
    <row r="121" spans="2:12" x14ac:dyDescent="0.3">
      <c r="B121" s="44"/>
      <c r="C121" s="44"/>
      <c r="D121" s="44"/>
      <c r="E121" s="149"/>
      <c r="F121" s="149"/>
      <c r="G121" s="149"/>
      <c r="H121" s="151"/>
      <c r="I121" s="151"/>
      <c r="J121" s="151"/>
      <c r="K121" s="151"/>
      <c r="L121" s="151"/>
    </row>
    <row r="122" spans="2:12" x14ac:dyDescent="0.3">
      <c r="B122" s="44"/>
      <c r="C122" s="44"/>
      <c r="D122" s="44"/>
      <c r="E122" s="149"/>
      <c r="F122" s="149"/>
      <c r="G122" s="149"/>
      <c r="H122" s="151"/>
      <c r="I122" s="151"/>
      <c r="J122" s="151"/>
      <c r="K122" s="151"/>
      <c r="L122" s="151"/>
    </row>
    <row r="123" spans="2:12" x14ac:dyDescent="0.3">
      <c r="B123" s="44"/>
      <c r="C123" s="44"/>
      <c r="D123" s="44"/>
      <c r="E123" s="149"/>
      <c r="F123" s="149"/>
      <c r="G123" s="149"/>
      <c r="H123" s="151"/>
      <c r="I123" s="151"/>
      <c r="J123" s="151"/>
      <c r="K123" s="151"/>
      <c r="L123" s="151"/>
    </row>
    <row r="124" spans="2:12" x14ac:dyDescent="0.3">
      <c r="B124" s="44"/>
      <c r="C124" s="44"/>
      <c r="D124" s="44"/>
      <c r="E124" s="149"/>
      <c r="F124" s="149"/>
      <c r="G124" s="149"/>
      <c r="H124" s="151"/>
      <c r="I124" s="151"/>
      <c r="J124" s="151"/>
      <c r="K124" s="151"/>
      <c r="L124" s="151"/>
    </row>
    <row r="125" spans="2:12" x14ac:dyDescent="0.3">
      <c r="B125" s="44"/>
      <c r="C125" s="44"/>
      <c r="D125" s="44"/>
      <c r="E125" s="149"/>
      <c r="F125" s="149"/>
      <c r="G125" s="149"/>
      <c r="H125" s="151"/>
      <c r="I125" s="151"/>
      <c r="J125" s="151"/>
      <c r="K125" s="151"/>
      <c r="L125" s="151"/>
    </row>
    <row r="126" spans="2:12" x14ac:dyDescent="0.3">
      <c r="B126" s="44"/>
      <c r="C126" s="44"/>
      <c r="D126" s="44"/>
      <c r="E126" s="149"/>
      <c r="F126" s="149"/>
      <c r="G126" s="149"/>
      <c r="H126" s="151"/>
      <c r="I126" s="151"/>
      <c r="J126" s="151"/>
      <c r="K126" s="151"/>
      <c r="L126" s="151"/>
    </row>
    <row r="127" spans="2:12" x14ac:dyDescent="0.3">
      <c r="B127" s="44"/>
      <c r="C127" s="44"/>
      <c r="D127" s="44"/>
      <c r="E127" s="149"/>
      <c r="F127" s="149"/>
      <c r="G127" s="149"/>
      <c r="H127" s="151"/>
      <c r="I127" s="151"/>
      <c r="J127" s="151"/>
      <c r="K127" s="151"/>
      <c r="L127" s="151"/>
    </row>
    <row r="128" spans="2:12" x14ac:dyDescent="0.3">
      <c r="B128" s="44"/>
      <c r="C128" s="44"/>
      <c r="D128" s="44"/>
      <c r="E128" s="149"/>
      <c r="F128" s="149"/>
      <c r="G128" s="149"/>
      <c r="H128" s="151"/>
      <c r="I128" s="151"/>
      <c r="J128" s="151"/>
      <c r="K128" s="151"/>
      <c r="L128" s="151"/>
    </row>
    <row r="129" spans="2:12" x14ac:dyDescent="0.3">
      <c r="B129" s="44"/>
      <c r="C129" s="44"/>
      <c r="D129" s="44"/>
      <c r="E129" s="149"/>
      <c r="F129" s="149"/>
      <c r="G129" s="149"/>
      <c r="H129" s="151"/>
      <c r="I129" s="151"/>
      <c r="J129" s="151"/>
      <c r="K129" s="151"/>
      <c r="L129" s="151"/>
    </row>
    <row r="130" spans="2:12" x14ac:dyDescent="0.3">
      <c r="B130" s="44"/>
      <c r="C130" s="44"/>
      <c r="D130" s="44"/>
      <c r="E130" s="149"/>
      <c r="F130" s="149"/>
      <c r="G130" s="149"/>
      <c r="H130" s="151"/>
      <c r="I130" s="151"/>
      <c r="J130" s="151"/>
      <c r="K130" s="151"/>
      <c r="L130" s="151"/>
    </row>
    <row r="131" spans="2:12" x14ac:dyDescent="0.3">
      <c r="B131" s="44"/>
      <c r="C131" s="44"/>
      <c r="D131" s="44"/>
      <c r="E131" s="149"/>
      <c r="F131" s="149"/>
      <c r="G131" s="149"/>
      <c r="H131" s="151"/>
      <c r="I131" s="151"/>
      <c r="J131" s="151"/>
      <c r="K131" s="151"/>
      <c r="L131" s="151"/>
    </row>
    <row r="132" spans="2:12" x14ac:dyDescent="0.3">
      <c r="B132" s="44"/>
      <c r="C132" s="44"/>
      <c r="D132" s="44"/>
      <c r="E132" s="149"/>
      <c r="F132" s="149"/>
      <c r="G132" s="149"/>
      <c r="H132" s="151"/>
      <c r="I132" s="151"/>
      <c r="J132" s="151"/>
      <c r="K132" s="151"/>
      <c r="L132" s="151"/>
    </row>
    <row r="133" spans="2:12" x14ac:dyDescent="0.3">
      <c r="B133" s="44"/>
      <c r="C133" s="44"/>
      <c r="D133" s="44"/>
      <c r="E133" s="149"/>
      <c r="F133" s="149"/>
      <c r="G133" s="149"/>
      <c r="H133" s="151"/>
      <c r="I133" s="151"/>
      <c r="J133" s="151"/>
      <c r="K133" s="151"/>
      <c r="L133" s="151"/>
    </row>
    <row r="134" spans="2:12" x14ac:dyDescent="0.3">
      <c r="B134" s="44"/>
      <c r="C134" s="44"/>
      <c r="D134" s="44"/>
      <c r="E134" s="149"/>
      <c r="F134" s="149"/>
      <c r="G134" s="149"/>
      <c r="H134" s="151"/>
      <c r="I134" s="151"/>
      <c r="J134" s="151"/>
      <c r="K134" s="151"/>
      <c r="L134" s="151"/>
    </row>
    <row r="135" spans="2:12" x14ac:dyDescent="0.3">
      <c r="B135" s="44"/>
      <c r="C135" s="44"/>
      <c r="D135" s="44"/>
      <c r="E135" s="149"/>
      <c r="F135" s="149"/>
      <c r="G135" s="149"/>
      <c r="H135" s="151"/>
      <c r="I135" s="151"/>
      <c r="J135" s="151"/>
      <c r="K135" s="151"/>
      <c r="L135" s="151"/>
    </row>
    <row r="136" spans="2:12" x14ac:dyDescent="0.3">
      <c r="B136" s="44"/>
      <c r="C136" s="44"/>
      <c r="D136" s="44"/>
      <c r="E136" s="149"/>
      <c r="F136" s="149"/>
      <c r="G136" s="149"/>
      <c r="H136" s="151"/>
      <c r="I136" s="151"/>
      <c r="J136" s="151"/>
      <c r="K136" s="151"/>
      <c r="L136" s="151"/>
    </row>
    <row r="137" spans="2:12" x14ac:dyDescent="0.3">
      <c r="B137" s="44"/>
      <c r="C137" s="44"/>
      <c r="D137" s="44"/>
      <c r="E137" s="149"/>
      <c r="F137" s="149"/>
      <c r="G137" s="149"/>
      <c r="H137" s="151"/>
      <c r="I137" s="151"/>
      <c r="J137" s="151"/>
      <c r="K137" s="151"/>
      <c r="L137" s="151"/>
    </row>
    <row r="138" spans="2:12" x14ac:dyDescent="0.3">
      <c r="B138" s="44"/>
      <c r="C138" s="44"/>
      <c r="D138" s="44"/>
      <c r="E138" s="149"/>
      <c r="F138" s="149"/>
      <c r="G138" s="149"/>
      <c r="H138" s="151"/>
      <c r="I138" s="151"/>
      <c r="J138" s="151"/>
      <c r="K138" s="151"/>
      <c r="L138" s="151"/>
    </row>
    <row r="139" spans="2:12" x14ac:dyDescent="0.3">
      <c r="B139" s="44"/>
      <c r="C139" s="44"/>
      <c r="D139" s="44"/>
      <c r="E139" s="149"/>
      <c r="F139" s="149"/>
      <c r="G139" s="149"/>
      <c r="H139" s="151"/>
      <c r="I139" s="151"/>
      <c r="J139" s="151"/>
      <c r="K139" s="151"/>
      <c r="L139" s="151"/>
    </row>
    <row r="140" spans="2:12" x14ac:dyDescent="0.3">
      <c r="B140" s="44"/>
      <c r="C140" s="44"/>
      <c r="D140" s="44"/>
      <c r="E140" s="149"/>
      <c r="F140" s="149"/>
      <c r="G140" s="149"/>
      <c r="H140" s="151"/>
      <c r="I140" s="151"/>
      <c r="J140" s="151"/>
      <c r="K140" s="151"/>
      <c r="L140" s="151"/>
    </row>
    <row r="141" spans="2:12" x14ac:dyDescent="0.3">
      <c r="B141" s="44"/>
      <c r="C141" s="44"/>
      <c r="D141" s="44"/>
      <c r="E141" s="149"/>
      <c r="F141" s="149"/>
      <c r="G141" s="149"/>
      <c r="H141" s="151"/>
      <c r="I141" s="151"/>
      <c r="J141" s="151"/>
      <c r="K141" s="151"/>
      <c r="L141" s="151"/>
    </row>
    <row r="142" spans="2:12" x14ac:dyDescent="0.3">
      <c r="B142" s="44"/>
      <c r="C142" s="44"/>
      <c r="D142" s="44"/>
      <c r="E142" s="149"/>
      <c r="F142" s="149"/>
      <c r="G142" s="149"/>
      <c r="H142" s="151"/>
      <c r="I142" s="151"/>
      <c r="J142" s="151"/>
      <c r="K142" s="151"/>
      <c r="L142" s="151"/>
    </row>
    <row r="143" spans="2:12" x14ac:dyDescent="0.3">
      <c r="B143" s="44"/>
      <c r="C143" s="44"/>
      <c r="D143" s="44"/>
      <c r="E143" s="149"/>
      <c r="F143" s="149"/>
      <c r="G143" s="149"/>
      <c r="H143" s="151"/>
      <c r="I143" s="151"/>
      <c r="J143" s="151"/>
      <c r="K143" s="151"/>
      <c r="L143" s="151"/>
    </row>
    <row r="144" spans="2:12" x14ac:dyDescent="0.3">
      <c r="B144" s="44"/>
      <c r="C144" s="44"/>
      <c r="D144" s="44"/>
      <c r="E144" s="149"/>
      <c r="F144" s="149"/>
      <c r="G144" s="149"/>
      <c r="H144" s="151"/>
      <c r="I144" s="151"/>
      <c r="J144" s="151"/>
      <c r="K144" s="151"/>
      <c r="L144" s="151"/>
    </row>
    <row r="145" spans="2:12" x14ac:dyDescent="0.3">
      <c r="B145" s="44"/>
      <c r="C145" s="44"/>
      <c r="D145" s="44"/>
      <c r="E145" s="149"/>
      <c r="F145" s="149"/>
      <c r="G145" s="149"/>
      <c r="H145" s="151"/>
      <c r="I145" s="151"/>
      <c r="J145" s="151"/>
      <c r="K145" s="151"/>
      <c r="L145" s="151"/>
    </row>
    <row r="146" spans="2:12" x14ac:dyDescent="0.3">
      <c r="B146" s="44"/>
      <c r="C146" s="44"/>
      <c r="D146" s="44"/>
      <c r="E146" s="149"/>
      <c r="F146" s="149"/>
      <c r="G146" s="149"/>
      <c r="H146" s="151"/>
      <c r="I146" s="151"/>
      <c r="J146" s="151"/>
      <c r="K146" s="151"/>
      <c r="L146" s="151"/>
    </row>
    <row r="147" spans="2:12" x14ac:dyDescent="0.3">
      <c r="B147" s="44"/>
      <c r="C147" s="44"/>
      <c r="D147" s="44"/>
      <c r="E147" s="149"/>
      <c r="F147" s="149"/>
      <c r="G147" s="149"/>
      <c r="H147" s="151"/>
      <c r="I147" s="151"/>
      <c r="J147" s="151"/>
      <c r="K147" s="151"/>
      <c r="L147" s="151"/>
    </row>
    <row r="148" spans="2:12" x14ac:dyDescent="0.3">
      <c r="B148" s="44"/>
      <c r="C148" s="44"/>
      <c r="D148" s="44"/>
      <c r="E148" s="149"/>
      <c r="F148" s="149"/>
      <c r="G148" s="149"/>
      <c r="H148" s="151"/>
      <c r="I148" s="151"/>
      <c r="J148" s="151"/>
      <c r="K148" s="151"/>
      <c r="L148" s="151"/>
    </row>
    <row r="149" spans="2:12" x14ac:dyDescent="0.3">
      <c r="B149" s="44"/>
      <c r="C149" s="44"/>
      <c r="D149" s="44"/>
      <c r="E149" s="149"/>
      <c r="F149" s="149"/>
      <c r="G149" s="149"/>
      <c r="H149" s="151"/>
      <c r="I149" s="151"/>
      <c r="J149" s="151"/>
      <c r="K149" s="151"/>
      <c r="L149" s="151"/>
    </row>
    <row r="150" spans="2:12" x14ac:dyDescent="0.3">
      <c r="B150" s="44"/>
      <c r="C150" s="44"/>
      <c r="D150" s="44"/>
      <c r="E150" s="149"/>
      <c r="F150" s="149"/>
      <c r="G150" s="149"/>
      <c r="H150" s="151"/>
      <c r="I150" s="151"/>
      <c r="J150" s="151"/>
      <c r="K150" s="151"/>
      <c r="L150" s="151"/>
    </row>
    <row r="151" spans="2:12" x14ac:dyDescent="0.3">
      <c r="B151" s="44"/>
      <c r="C151" s="44"/>
      <c r="D151" s="44"/>
      <c r="E151" s="149"/>
      <c r="F151" s="149"/>
      <c r="G151" s="149"/>
      <c r="H151" s="151"/>
      <c r="I151" s="151"/>
      <c r="J151" s="151"/>
      <c r="K151" s="151"/>
      <c r="L151" s="151"/>
    </row>
    <row r="152" spans="2:12" x14ac:dyDescent="0.3">
      <c r="B152" s="44"/>
      <c r="C152" s="44"/>
      <c r="D152" s="44"/>
      <c r="E152" s="149"/>
      <c r="F152" s="149"/>
      <c r="G152" s="149"/>
      <c r="H152" s="151"/>
      <c r="I152" s="151"/>
      <c r="J152" s="151"/>
      <c r="K152" s="151"/>
      <c r="L152" s="151"/>
    </row>
    <row r="153" spans="2:12" x14ac:dyDescent="0.3">
      <c r="B153" s="44"/>
      <c r="C153" s="44"/>
      <c r="D153" s="44"/>
      <c r="E153" s="149"/>
      <c r="F153" s="149"/>
      <c r="G153" s="149"/>
      <c r="H153" s="151"/>
      <c r="I153" s="151"/>
      <c r="J153" s="151"/>
      <c r="K153" s="151"/>
      <c r="L153" s="151"/>
    </row>
    <row r="154" spans="2:12" x14ac:dyDescent="0.3">
      <c r="B154" s="44"/>
      <c r="C154" s="44"/>
      <c r="D154" s="44"/>
      <c r="E154" s="149"/>
      <c r="F154" s="149"/>
      <c r="G154" s="149"/>
      <c r="H154" s="151"/>
      <c r="I154" s="151"/>
      <c r="J154" s="151"/>
      <c r="K154" s="151"/>
      <c r="L154" s="151"/>
    </row>
    <row r="155" spans="2:12" x14ac:dyDescent="0.3">
      <c r="B155" s="44"/>
      <c r="C155" s="44"/>
      <c r="D155" s="44"/>
      <c r="E155" s="149"/>
      <c r="F155" s="149"/>
      <c r="G155" s="149"/>
      <c r="H155" s="151"/>
      <c r="I155" s="151"/>
      <c r="J155" s="151"/>
      <c r="K155" s="151"/>
      <c r="L155" s="151"/>
    </row>
    <row r="156" spans="2:12" x14ac:dyDescent="0.3">
      <c r="B156" s="44"/>
      <c r="C156" s="44"/>
      <c r="D156" s="44"/>
      <c r="E156" s="149"/>
      <c r="F156" s="149"/>
      <c r="G156" s="149"/>
      <c r="H156" s="151"/>
      <c r="I156" s="151"/>
      <c r="J156" s="151"/>
      <c r="K156" s="151"/>
      <c r="L156" s="151"/>
    </row>
    <row r="157" spans="2:12" x14ac:dyDescent="0.3">
      <c r="B157" s="44"/>
      <c r="C157" s="44"/>
      <c r="D157" s="44"/>
      <c r="E157" s="149"/>
      <c r="F157" s="149"/>
      <c r="G157" s="149"/>
      <c r="H157" s="151"/>
      <c r="I157" s="151"/>
      <c r="J157" s="151"/>
      <c r="K157" s="151"/>
      <c r="L157" s="151"/>
    </row>
    <row r="158" spans="2:12" x14ac:dyDescent="0.3">
      <c r="B158" s="44"/>
      <c r="C158" s="44"/>
      <c r="D158" s="44"/>
      <c r="E158" s="149"/>
      <c r="F158" s="149"/>
      <c r="G158" s="149"/>
      <c r="H158" s="151"/>
      <c r="I158" s="151"/>
      <c r="J158" s="151"/>
      <c r="K158" s="151"/>
      <c r="L158" s="151"/>
    </row>
    <row r="159" spans="2:12" x14ac:dyDescent="0.3">
      <c r="B159" s="44"/>
      <c r="C159" s="44"/>
      <c r="D159" s="44"/>
      <c r="E159" s="149"/>
      <c r="F159" s="149"/>
      <c r="G159" s="149"/>
      <c r="H159" s="151"/>
      <c r="I159" s="151"/>
      <c r="J159" s="151"/>
      <c r="K159" s="151"/>
      <c r="L159" s="151"/>
    </row>
    <row r="160" spans="2:12" x14ac:dyDescent="0.3">
      <c r="B160" s="44"/>
      <c r="C160" s="44"/>
      <c r="D160" s="44"/>
      <c r="E160" s="149"/>
      <c r="F160" s="149"/>
      <c r="G160" s="149"/>
      <c r="H160" s="151"/>
      <c r="I160" s="151"/>
      <c r="J160" s="151"/>
      <c r="K160" s="151"/>
      <c r="L160" s="151"/>
    </row>
    <row r="161" spans="2:12" x14ac:dyDescent="0.3">
      <c r="B161" s="44"/>
      <c r="C161" s="44"/>
      <c r="D161" s="44"/>
      <c r="E161" s="149"/>
      <c r="F161" s="149"/>
      <c r="G161" s="149"/>
      <c r="H161" s="151"/>
      <c r="I161" s="151"/>
      <c r="J161" s="151"/>
      <c r="K161" s="151"/>
      <c r="L161" s="151"/>
    </row>
    <row r="162" spans="2:12" x14ac:dyDescent="0.3">
      <c r="B162" s="44"/>
      <c r="C162" s="44"/>
      <c r="D162" s="44"/>
      <c r="E162" s="149"/>
      <c r="F162" s="149"/>
      <c r="G162" s="149"/>
      <c r="H162" s="151"/>
      <c r="I162" s="151"/>
      <c r="J162" s="151"/>
      <c r="K162" s="151"/>
      <c r="L162" s="151"/>
    </row>
    <row r="163" spans="2:12" x14ac:dyDescent="0.3">
      <c r="B163" s="44"/>
      <c r="C163" s="44"/>
      <c r="D163" s="44"/>
      <c r="E163" s="149"/>
      <c r="F163" s="149"/>
      <c r="G163" s="149"/>
      <c r="H163" s="151"/>
      <c r="I163" s="151"/>
      <c r="J163" s="151"/>
      <c r="K163" s="151"/>
      <c r="L163" s="151"/>
    </row>
    <row r="164" spans="2:12" x14ac:dyDescent="0.3">
      <c r="B164" s="44"/>
      <c r="C164" s="44"/>
      <c r="D164" s="44"/>
      <c r="E164" s="149"/>
      <c r="F164" s="149"/>
      <c r="G164" s="149"/>
      <c r="H164" s="151"/>
      <c r="I164" s="151"/>
      <c r="J164" s="151"/>
      <c r="K164" s="151"/>
      <c r="L164" s="151"/>
    </row>
    <row r="165" spans="2:12" x14ac:dyDescent="0.3">
      <c r="B165" s="44"/>
      <c r="C165" s="44"/>
      <c r="D165" s="44"/>
      <c r="E165" s="149"/>
      <c r="F165" s="149"/>
      <c r="G165" s="149"/>
      <c r="H165" s="151"/>
      <c r="I165" s="151"/>
      <c r="J165" s="151"/>
      <c r="K165" s="151"/>
      <c r="L165" s="151"/>
    </row>
    <row r="166" spans="2:12" x14ac:dyDescent="0.3">
      <c r="B166" s="44"/>
      <c r="C166" s="44"/>
      <c r="D166" s="44"/>
      <c r="E166" s="149"/>
      <c r="F166" s="149"/>
      <c r="G166" s="149"/>
      <c r="H166" s="151"/>
      <c r="I166" s="151"/>
      <c r="J166" s="151"/>
      <c r="K166" s="151"/>
      <c r="L166" s="151"/>
    </row>
    <row r="167" spans="2:12" x14ac:dyDescent="0.3">
      <c r="B167" s="44"/>
      <c r="C167" s="44"/>
      <c r="D167" s="44"/>
      <c r="E167" s="149"/>
      <c r="F167" s="149"/>
      <c r="G167" s="149"/>
      <c r="H167" s="151"/>
      <c r="I167" s="151"/>
      <c r="J167" s="151"/>
      <c r="K167" s="151"/>
      <c r="L167" s="151"/>
    </row>
    <row r="168" spans="2:12" x14ac:dyDescent="0.3">
      <c r="B168" s="44"/>
      <c r="C168" s="44"/>
      <c r="D168" s="44"/>
      <c r="E168" s="149"/>
      <c r="F168" s="149"/>
      <c r="G168" s="149"/>
      <c r="H168" s="151"/>
      <c r="I168" s="151"/>
      <c r="J168" s="151"/>
      <c r="K168" s="151"/>
      <c r="L168" s="151"/>
    </row>
    <row r="169" spans="2:12" x14ac:dyDescent="0.3">
      <c r="B169" s="44"/>
      <c r="C169" s="44"/>
      <c r="D169" s="44"/>
      <c r="E169" s="149"/>
      <c r="F169" s="149"/>
      <c r="G169" s="149"/>
      <c r="H169" s="151"/>
      <c r="I169" s="151"/>
      <c r="J169" s="151"/>
      <c r="K169" s="151"/>
      <c r="L169" s="151"/>
    </row>
    <row r="170" spans="2:12" x14ac:dyDescent="0.3">
      <c r="B170" s="44"/>
      <c r="C170" s="44"/>
      <c r="D170" s="44"/>
      <c r="E170" s="149"/>
      <c r="F170" s="149"/>
      <c r="G170" s="149"/>
      <c r="H170" s="151"/>
      <c r="I170" s="151"/>
      <c r="J170" s="151"/>
      <c r="K170" s="151"/>
      <c r="L170" s="151"/>
    </row>
    <row r="171" spans="2:12" x14ac:dyDescent="0.3">
      <c r="B171" s="44"/>
      <c r="C171" s="44"/>
      <c r="D171" s="44"/>
      <c r="E171" s="149"/>
      <c r="F171" s="149"/>
      <c r="G171" s="149"/>
      <c r="H171" s="151"/>
      <c r="I171" s="151"/>
      <c r="J171" s="151"/>
      <c r="K171" s="151"/>
      <c r="L171" s="151"/>
    </row>
    <row r="172" spans="2:12" x14ac:dyDescent="0.3">
      <c r="B172" s="44"/>
      <c r="C172" s="44"/>
      <c r="D172" s="44"/>
      <c r="E172" s="149"/>
      <c r="F172" s="149"/>
      <c r="G172" s="149"/>
      <c r="H172" s="151"/>
      <c r="I172" s="151"/>
      <c r="J172" s="151"/>
      <c r="K172" s="151"/>
      <c r="L172" s="151"/>
    </row>
    <row r="173" spans="2:12" x14ac:dyDescent="0.3">
      <c r="B173" s="44"/>
      <c r="C173" s="44"/>
      <c r="D173" s="44"/>
      <c r="E173" s="149"/>
      <c r="F173" s="149"/>
      <c r="G173" s="149"/>
      <c r="H173" s="151"/>
      <c r="I173" s="151"/>
      <c r="J173" s="151"/>
      <c r="K173" s="151"/>
      <c r="L173" s="151"/>
    </row>
    <row r="174" spans="2:12" x14ac:dyDescent="0.3">
      <c r="B174" s="44"/>
      <c r="C174" s="44"/>
      <c r="D174" s="44"/>
      <c r="E174" s="149"/>
      <c r="F174" s="149"/>
      <c r="G174" s="149"/>
      <c r="H174" s="151"/>
      <c r="I174" s="151"/>
      <c r="J174" s="151"/>
      <c r="K174" s="151"/>
      <c r="L174" s="151"/>
    </row>
    <row r="175" spans="2:12" x14ac:dyDescent="0.3">
      <c r="B175" s="44"/>
      <c r="C175" s="44"/>
      <c r="D175" s="44"/>
      <c r="E175" s="149"/>
      <c r="F175" s="149"/>
      <c r="G175" s="149"/>
      <c r="H175" s="151"/>
      <c r="I175" s="151"/>
      <c r="J175" s="151"/>
      <c r="K175" s="151"/>
      <c r="L175" s="151"/>
    </row>
    <row r="176" spans="2:12" x14ac:dyDescent="0.3">
      <c r="B176" s="44"/>
      <c r="C176" s="44"/>
      <c r="D176" s="44"/>
      <c r="E176" s="149"/>
      <c r="F176" s="149"/>
      <c r="G176" s="149"/>
      <c r="H176" s="151"/>
      <c r="I176" s="151"/>
      <c r="J176" s="151"/>
      <c r="K176" s="151"/>
      <c r="L176" s="151"/>
    </row>
    <row r="177" spans="2:12" x14ac:dyDescent="0.3">
      <c r="B177" s="44"/>
      <c r="C177" s="44"/>
      <c r="D177" s="44"/>
      <c r="E177" s="149"/>
      <c r="F177" s="149"/>
      <c r="G177" s="149"/>
      <c r="H177" s="151"/>
      <c r="I177" s="151"/>
      <c r="J177" s="151"/>
      <c r="K177" s="151"/>
      <c r="L177" s="151"/>
    </row>
    <row r="178" spans="2:12" x14ac:dyDescent="0.3">
      <c r="B178" s="44"/>
      <c r="C178" s="44"/>
      <c r="D178" s="44"/>
      <c r="E178" s="149"/>
      <c r="F178" s="149"/>
      <c r="G178" s="149"/>
      <c r="H178" s="151"/>
      <c r="I178" s="151"/>
      <c r="J178" s="151"/>
      <c r="K178" s="151"/>
      <c r="L178" s="151"/>
    </row>
    <row r="179" spans="2:12" x14ac:dyDescent="0.3">
      <c r="B179" s="44"/>
      <c r="C179" s="44"/>
      <c r="D179" s="44"/>
      <c r="E179" s="149"/>
      <c r="F179" s="149"/>
      <c r="G179" s="149"/>
      <c r="H179" s="151"/>
      <c r="I179" s="151"/>
      <c r="J179" s="151"/>
      <c r="K179" s="151"/>
      <c r="L179" s="151"/>
    </row>
    <row r="180" spans="2:12" x14ac:dyDescent="0.3">
      <c r="B180" s="44"/>
      <c r="C180" s="44"/>
      <c r="D180" s="44"/>
      <c r="E180" s="149"/>
      <c r="F180" s="149"/>
      <c r="G180" s="149"/>
      <c r="H180" s="151"/>
      <c r="I180" s="151"/>
      <c r="J180" s="151"/>
      <c r="K180" s="151"/>
      <c r="L180" s="151"/>
    </row>
    <row r="181" spans="2:12" x14ac:dyDescent="0.3">
      <c r="B181" s="44"/>
      <c r="C181" s="44"/>
      <c r="D181" s="44"/>
      <c r="E181" s="149"/>
      <c r="F181" s="149"/>
      <c r="G181" s="149"/>
      <c r="H181" s="151"/>
      <c r="I181" s="151"/>
      <c r="J181" s="151"/>
      <c r="K181" s="151"/>
      <c r="L181" s="151"/>
    </row>
    <row r="182" spans="2:12" x14ac:dyDescent="0.3">
      <c r="B182" s="44"/>
      <c r="C182" s="44"/>
      <c r="D182" s="44"/>
      <c r="E182" s="149"/>
      <c r="F182" s="149"/>
      <c r="G182" s="149"/>
      <c r="H182" s="151"/>
      <c r="I182" s="151"/>
      <c r="J182" s="151"/>
      <c r="K182" s="151"/>
      <c r="L182" s="151"/>
    </row>
    <row r="183" spans="2:12" x14ac:dyDescent="0.3">
      <c r="B183" s="44"/>
      <c r="C183" s="44"/>
      <c r="D183" s="44"/>
      <c r="E183" s="149"/>
      <c r="F183" s="149"/>
      <c r="G183" s="149"/>
      <c r="H183" s="151"/>
      <c r="I183" s="151"/>
      <c r="J183" s="151"/>
      <c r="K183" s="151"/>
      <c r="L183" s="151"/>
    </row>
    <row r="184" spans="2:12" x14ac:dyDescent="0.3">
      <c r="B184" s="44"/>
      <c r="C184" s="44"/>
      <c r="D184" s="44"/>
      <c r="E184" s="149"/>
      <c r="F184" s="149"/>
      <c r="G184" s="149"/>
      <c r="H184" s="151"/>
      <c r="I184" s="151"/>
      <c r="J184" s="151"/>
      <c r="K184" s="151"/>
      <c r="L184" s="151"/>
    </row>
    <row r="185" spans="2:12" x14ac:dyDescent="0.3">
      <c r="B185" s="44"/>
      <c r="C185" s="44"/>
      <c r="D185" s="44"/>
      <c r="E185" s="149"/>
      <c r="F185" s="149"/>
      <c r="G185" s="149"/>
      <c r="H185" s="151"/>
      <c r="I185" s="151"/>
      <c r="J185" s="151"/>
      <c r="K185" s="151"/>
      <c r="L185" s="151"/>
    </row>
    <row r="186" spans="2:12" x14ac:dyDescent="0.3">
      <c r="B186" s="44"/>
      <c r="C186" s="44"/>
      <c r="D186" s="44"/>
      <c r="E186" s="149"/>
      <c r="F186" s="149"/>
      <c r="G186" s="149"/>
      <c r="H186" s="151"/>
      <c r="I186" s="151"/>
      <c r="J186" s="151"/>
      <c r="K186" s="151"/>
      <c r="L186" s="151"/>
    </row>
    <row r="187" spans="2:12" x14ac:dyDescent="0.3">
      <c r="B187" s="44"/>
      <c r="C187" s="44"/>
      <c r="D187" s="44"/>
      <c r="E187" s="149"/>
      <c r="F187" s="149"/>
      <c r="G187" s="149"/>
      <c r="H187" s="151"/>
      <c r="I187" s="151"/>
      <c r="J187" s="151"/>
      <c r="K187" s="151"/>
      <c r="L187" s="151"/>
    </row>
    <row r="188" spans="2:12" x14ac:dyDescent="0.3">
      <c r="B188" s="44"/>
      <c r="C188" s="44"/>
      <c r="D188" s="44"/>
      <c r="E188" s="149"/>
      <c r="F188" s="149"/>
      <c r="G188" s="149"/>
      <c r="H188" s="151"/>
      <c r="I188" s="151"/>
      <c r="J188" s="151"/>
      <c r="K188" s="151"/>
      <c r="L188" s="151"/>
    </row>
    <row r="189" spans="2:12" x14ac:dyDescent="0.3">
      <c r="B189" s="44"/>
      <c r="C189" s="44"/>
      <c r="D189" s="44"/>
      <c r="E189" s="149"/>
      <c r="F189" s="149"/>
      <c r="G189" s="149"/>
      <c r="H189" s="151"/>
      <c r="I189" s="151"/>
      <c r="J189" s="151"/>
      <c r="K189" s="151"/>
      <c r="L189" s="151"/>
    </row>
    <row r="190" spans="2:12" x14ac:dyDescent="0.3">
      <c r="B190" s="44"/>
      <c r="C190" s="44"/>
      <c r="D190" s="44"/>
      <c r="E190" s="149"/>
      <c r="F190" s="149"/>
      <c r="G190" s="149"/>
      <c r="H190" s="151"/>
      <c r="I190" s="151"/>
      <c r="J190" s="151"/>
      <c r="K190" s="151"/>
      <c r="L190" s="151"/>
    </row>
    <row r="191" spans="2:12" x14ac:dyDescent="0.3">
      <c r="B191" s="44"/>
      <c r="C191" s="44"/>
      <c r="D191" s="44"/>
      <c r="E191" s="149"/>
      <c r="F191" s="149"/>
      <c r="G191" s="149"/>
      <c r="H191" s="151"/>
      <c r="I191" s="151"/>
      <c r="J191" s="151"/>
      <c r="K191" s="151"/>
      <c r="L191" s="151"/>
    </row>
    <row r="192" spans="2:12" x14ac:dyDescent="0.3">
      <c r="B192" s="44"/>
      <c r="C192" s="44"/>
      <c r="D192" s="44"/>
      <c r="E192" s="149"/>
      <c r="F192" s="149"/>
      <c r="G192" s="149"/>
      <c r="H192" s="151"/>
      <c r="I192" s="151"/>
      <c r="J192" s="151"/>
      <c r="K192" s="151"/>
      <c r="L192" s="151"/>
    </row>
    <row r="193" spans="2:12" x14ac:dyDescent="0.3">
      <c r="B193" s="44"/>
      <c r="C193" s="44"/>
      <c r="D193" s="44"/>
      <c r="E193" s="149"/>
      <c r="F193" s="149"/>
      <c r="G193" s="149"/>
      <c r="H193" s="151"/>
      <c r="I193" s="151"/>
      <c r="J193" s="151"/>
      <c r="K193" s="151"/>
      <c r="L193" s="151"/>
    </row>
    <row r="194" spans="2:12" x14ac:dyDescent="0.3">
      <c r="B194" s="44"/>
      <c r="C194" s="44"/>
      <c r="D194" s="44"/>
      <c r="E194" s="149"/>
      <c r="F194" s="149"/>
      <c r="G194" s="149"/>
      <c r="H194" s="151"/>
      <c r="I194" s="151"/>
      <c r="J194" s="151"/>
      <c r="K194" s="151"/>
      <c r="L194" s="151"/>
    </row>
    <row r="195" spans="2:12" x14ac:dyDescent="0.3">
      <c r="B195" s="44"/>
      <c r="C195" s="44"/>
      <c r="D195" s="44"/>
      <c r="E195" s="149"/>
      <c r="F195" s="149"/>
      <c r="G195" s="149"/>
      <c r="H195" s="151"/>
      <c r="I195" s="151"/>
      <c r="J195" s="151"/>
      <c r="K195" s="151"/>
      <c r="L195" s="151"/>
    </row>
    <row r="196" spans="2:12" x14ac:dyDescent="0.3">
      <c r="B196" s="44"/>
      <c r="C196" s="44"/>
      <c r="D196" s="44"/>
      <c r="E196" s="149"/>
      <c r="F196" s="149"/>
      <c r="G196" s="149"/>
      <c r="H196" s="151"/>
      <c r="I196" s="151"/>
      <c r="J196" s="151"/>
      <c r="K196" s="151"/>
      <c r="L196" s="151"/>
    </row>
    <row r="197" spans="2:12" x14ac:dyDescent="0.3">
      <c r="B197" s="44"/>
      <c r="C197" s="44"/>
      <c r="D197" s="44"/>
      <c r="E197" s="149"/>
      <c r="F197" s="149"/>
      <c r="G197" s="149"/>
      <c r="H197" s="151"/>
      <c r="I197" s="151"/>
      <c r="J197" s="151"/>
      <c r="K197" s="151"/>
      <c r="L197" s="151"/>
    </row>
    <row r="198" spans="2:12" x14ac:dyDescent="0.3">
      <c r="B198" s="44"/>
      <c r="C198" s="44"/>
      <c r="D198" s="44"/>
      <c r="E198" s="149"/>
      <c r="F198" s="149"/>
      <c r="G198" s="149"/>
      <c r="H198" s="151"/>
      <c r="I198" s="151"/>
      <c r="J198" s="151"/>
      <c r="K198" s="151"/>
      <c r="L198" s="151"/>
    </row>
    <row r="199" spans="2:12" x14ac:dyDescent="0.3">
      <c r="B199" s="44"/>
      <c r="C199" s="44"/>
      <c r="D199" s="44"/>
      <c r="E199" s="149"/>
      <c r="F199" s="149"/>
      <c r="G199" s="149"/>
      <c r="H199" s="151"/>
      <c r="I199" s="151"/>
      <c r="J199" s="151"/>
      <c r="K199" s="151"/>
      <c r="L199" s="151"/>
    </row>
    <row r="200" spans="2:12" x14ac:dyDescent="0.3">
      <c r="B200" s="44"/>
      <c r="C200" s="44"/>
      <c r="D200" s="44"/>
      <c r="E200" s="149"/>
      <c r="F200" s="149"/>
      <c r="G200" s="149"/>
      <c r="H200" s="151"/>
      <c r="I200" s="151"/>
      <c r="J200" s="151"/>
      <c r="K200" s="151"/>
      <c r="L200" s="151"/>
    </row>
    <row r="201" spans="2:12" x14ac:dyDescent="0.3">
      <c r="B201" s="44"/>
      <c r="C201" s="44"/>
      <c r="D201" s="44"/>
      <c r="E201" s="149"/>
      <c r="F201" s="149"/>
      <c r="G201" s="149"/>
      <c r="H201" s="151"/>
      <c r="I201" s="151"/>
      <c r="J201" s="151"/>
      <c r="K201" s="151"/>
      <c r="L201" s="151"/>
    </row>
    <row r="202" spans="2:12" x14ac:dyDescent="0.3">
      <c r="B202" s="44"/>
      <c r="C202" s="44"/>
      <c r="D202" s="44"/>
      <c r="E202" s="149"/>
      <c r="F202" s="149"/>
      <c r="G202" s="149"/>
      <c r="H202" s="151"/>
      <c r="I202" s="151"/>
      <c r="J202" s="151"/>
      <c r="K202" s="151"/>
      <c r="L202" s="151"/>
    </row>
    <row r="203" spans="2:12" x14ac:dyDescent="0.3">
      <c r="B203" s="44"/>
      <c r="C203" s="44"/>
      <c r="D203" s="44"/>
      <c r="E203" s="149"/>
      <c r="F203" s="149"/>
      <c r="G203" s="149"/>
      <c r="H203" s="151"/>
      <c r="I203" s="151"/>
      <c r="J203" s="151"/>
      <c r="K203" s="151"/>
      <c r="L203" s="151"/>
    </row>
    <row r="204" spans="2:12" x14ac:dyDescent="0.3">
      <c r="B204" s="44"/>
      <c r="C204" s="44"/>
      <c r="D204" s="44"/>
      <c r="E204" s="149"/>
      <c r="F204" s="149"/>
      <c r="G204" s="149"/>
      <c r="H204" s="151"/>
      <c r="I204" s="151"/>
      <c r="J204" s="151"/>
      <c r="K204" s="151"/>
      <c r="L204" s="151"/>
    </row>
    <row r="205" spans="2:12" x14ac:dyDescent="0.3">
      <c r="B205" s="44"/>
      <c r="C205" s="44"/>
      <c r="D205" s="44"/>
      <c r="E205" s="149"/>
      <c r="F205" s="149"/>
      <c r="G205" s="149"/>
      <c r="H205" s="151"/>
      <c r="I205" s="151"/>
      <c r="J205" s="151"/>
      <c r="K205" s="151"/>
      <c r="L205" s="151"/>
    </row>
    <row r="206" spans="2:12" x14ac:dyDescent="0.3">
      <c r="B206" s="44"/>
      <c r="C206" s="44"/>
      <c r="D206" s="44"/>
      <c r="E206" s="149"/>
      <c r="F206" s="149"/>
      <c r="G206" s="149"/>
      <c r="H206" s="151"/>
      <c r="I206" s="151"/>
      <c r="J206" s="151"/>
      <c r="K206" s="151"/>
      <c r="L206" s="151"/>
    </row>
    <row r="207" spans="2:12" x14ac:dyDescent="0.3">
      <c r="B207" s="44"/>
      <c r="C207" s="44"/>
      <c r="D207" s="44"/>
      <c r="E207" s="149"/>
      <c r="F207" s="149"/>
      <c r="G207" s="149"/>
      <c r="H207" s="151"/>
      <c r="I207" s="151"/>
      <c r="J207" s="151"/>
      <c r="K207" s="151"/>
      <c r="L207" s="151"/>
    </row>
    <row r="208" spans="2:12" x14ac:dyDescent="0.3">
      <c r="B208" s="44"/>
      <c r="C208" s="44"/>
      <c r="D208" s="44"/>
      <c r="E208" s="149"/>
      <c r="F208" s="149"/>
      <c r="G208" s="149"/>
      <c r="H208" s="151"/>
      <c r="I208" s="151"/>
      <c r="J208" s="151"/>
      <c r="K208" s="151"/>
      <c r="L208" s="151"/>
    </row>
    <row r="209" spans="2:12" x14ac:dyDescent="0.3">
      <c r="B209" s="44"/>
      <c r="C209" s="44"/>
      <c r="D209" s="44"/>
      <c r="E209" s="149"/>
      <c r="F209" s="149"/>
      <c r="G209" s="149"/>
      <c r="H209" s="151"/>
      <c r="I209" s="151"/>
      <c r="J209" s="151"/>
      <c r="K209" s="151"/>
      <c r="L209" s="151"/>
    </row>
    <row r="210" spans="2:12" x14ac:dyDescent="0.3">
      <c r="B210" s="44"/>
      <c r="C210" s="44"/>
      <c r="D210" s="44"/>
      <c r="E210" s="149"/>
      <c r="F210" s="149"/>
      <c r="G210" s="149"/>
      <c r="H210" s="151"/>
      <c r="I210" s="151"/>
      <c r="J210" s="151"/>
      <c r="K210" s="151"/>
      <c r="L210" s="151"/>
    </row>
    <row r="211" spans="2:12" x14ac:dyDescent="0.3">
      <c r="B211" s="44"/>
      <c r="C211" s="44"/>
      <c r="D211" s="44"/>
      <c r="E211" s="149"/>
      <c r="F211" s="149"/>
      <c r="G211" s="149"/>
      <c r="H211" s="151"/>
      <c r="I211" s="151"/>
      <c r="J211" s="151"/>
      <c r="K211" s="151"/>
      <c r="L211" s="151"/>
    </row>
    <row r="212" spans="2:12" x14ac:dyDescent="0.3">
      <c r="B212" s="44"/>
      <c r="C212" s="44"/>
      <c r="D212" s="44"/>
      <c r="E212" s="149"/>
      <c r="F212" s="149"/>
      <c r="G212" s="149"/>
      <c r="H212" s="151"/>
      <c r="I212" s="151"/>
      <c r="J212" s="151"/>
      <c r="K212" s="151"/>
      <c r="L212" s="151"/>
    </row>
    <row r="213" spans="2:12" x14ac:dyDescent="0.3">
      <c r="B213" s="44"/>
      <c r="C213" s="44"/>
      <c r="D213" s="44"/>
      <c r="E213" s="149"/>
      <c r="F213" s="149"/>
      <c r="G213" s="149"/>
      <c r="H213" s="151"/>
      <c r="I213" s="151"/>
      <c r="J213" s="151"/>
      <c r="K213" s="151"/>
      <c r="L213" s="151"/>
    </row>
    <row r="214" spans="2:12" x14ac:dyDescent="0.3">
      <c r="B214" s="44"/>
      <c r="C214" s="44"/>
      <c r="D214" s="44"/>
      <c r="E214" s="149"/>
      <c r="F214" s="149"/>
      <c r="G214" s="149"/>
      <c r="H214" s="151"/>
      <c r="I214" s="151"/>
      <c r="J214" s="151"/>
      <c r="K214" s="151"/>
      <c r="L214" s="151"/>
    </row>
    <row r="215" spans="2:12" x14ac:dyDescent="0.3">
      <c r="B215" s="44"/>
      <c r="C215" s="44"/>
      <c r="D215" s="44"/>
      <c r="E215" s="149"/>
      <c r="F215" s="149"/>
      <c r="G215" s="149"/>
      <c r="H215" s="151"/>
      <c r="I215" s="151"/>
      <c r="J215" s="151"/>
      <c r="K215" s="151"/>
      <c r="L215" s="151"/>
    </row>
    <row r="216" spans="2:12" x14ac:dyDescent="0.3">
      <c r="B216" s="44"/>
      <c r="C216" s="44"/>
      <c r="D216" s="44"/>
      <c r="E216" s="149"/>
      <c r="F216" s="149"/>
      <c r="G216" s="149"/>
      <c r="H216" s="151"/>
      <c r="I216" s="151"/>
      <c r="J216" s="151"/>
      <c r="K216" s="151"/>
      <c r="L216" s="151"/>
    </row>
    <row r="217" spans="2:12" x14ac:dyDescent="0.3">
      <c r="B217" s="44"/>
      <c r="C217" s="44"/>
      <c r="D217" s="44"/>
      <c r="E217" s="149"/>
      <c r="F217" s="149"/>
      <c r="G217" s="149"/>
      <c r="H217" s="151"/>
      <c r="I217" s="151"/>
      <c r="J217" s="151"/>
      <c r="K217" s="151"/>
      <c r="L217" s="151"/>
    </row>
    <row r="218" spans="2:12" x14ac:dyDescent="0.3">
      <c r="B218" s="44"/>
      <c r="C218" s="44"/>
      <c r="D218" s="44"/>
      <c r="E218" s="149"/>
      <c r="F218" s="149"/>
      <c r="G218" s="149"/>
      <c r="H218" s="151"/>
      <c r="I218" s="151"/>
      <c r="J218" s="151"/>
      <c r="K218" s="151"/>
      <c r="L218" s="151"/>
    </row>
    <row r="219" spans="2:12" x14ac:dyDescent="0.3">
      <c r="B219" s="44"/>
      <c r="C219" s="44"/>
      <c r="D219" s="44"/>
      <c r="E219" s="149"/>
      <c r="F219" s="149"/>
      <c r="G219" s="149"/>
      <c r="H219" s="151"/>
      <c r="I219" s="151"/>
      <c r="J219" s="151"/>
      <c r="K219" s="151"/>
      <c r="L219" s="151"/>
    </row>
    <row r="220" spans="2:12" x14ac:dyDescent="0.3">
      <c r="B220" s="44"/>
      <c r="C220" s="44"/>
      <c r="D220" s="44"/>
      <c r="E220" s="149"/>
      <c r="F220" s="149"/>
      <c r="G220" s="149"/>
      <c r="H220" s="151"/>
      <c r="I220" s="151"/>
      <c r="J220" s="151"/>
      <c r="K220" s="151"/>
      <c r="L220" s="151"/>
    </row>
    <row r="221" spans="2:12" x14ac:dyDescent="0.3">
      <c r="B221" s="44"/>
      <c r="C221" s="44"/>
      <c r="D221" s="44"/>
      <c r="E221" s="149"/>
      <c r="F221" s="149"/>
      <c r="G221" s="149"/>
      <c r="H221" s="151"/>
      <c r="I221" s="151"/>
      <c r="J221" s="151"/>
      <c r="K221" s="151"/>
      <c r="L221" s="151"/>
    </row>
    <row r="222" spans="2:12" x14ac:dyDescent="0.3">
      <c r="B222" s="44"/>
      <c r="C222" s="44"/>
      <c r="D222" s="44"/>
      <c r="E222" s="149"/>
      <c r="F222" s="149"/>
      <c r="G222" s="149"/>
      <c r="H222" s="151"/>
      <c r="I222" s="151"/>
      <c r="J222" s="151"/>
      <c r="K222" s="151"/>
      <c r="L222" s="151"/>
    </row>
    <row r="223" spans="2:12" x14ac:dyDescent="0.3">
      <c r="B223" s="44"/>
      <c r="C223" s="44"/>
      <c r="D223" s="44"/>
      <c r="E223" s="149"/>
      <c r="F223" s="149"/>
      <c r="G223" s="149"/>
      <c r="H223" s="151"/>
      <c r="I223" s="151"/>
      <c r="J223" s="151"/>
      <c r="K223" s="151"/>
      <c r="L223" s="151"/>
    </row>
    <row r="224" spans="2:12" x14ac:dyDescent="0.3">
      <c r="B224" s="44"/>
      <c r="C224" s="44"/>
      <c r="D224" s="44"/>
      <c r="E224" s="149"/>
      <c r="F224" s="149"/>
      <c r="G224" s="149"/>
      <c r="H224" s="151"/>
      <c r="I224" s="151"/>
      <c r="J224" s="151"/>
      <c r="K224" s="151"/>
      <c r="L224" s="151"/>
    </row>
    <row r="225" spans="2:12" x14ac:dyDescent="0.3">
      <c r="B225" s="44"/>
      <c r="C225" s="44"/>
      <c r="D225" s="44"/>
      <c r="E225" s="149"/>
      <c r="F225" s="149"/>
      <c r="G225" s="149"/>
      <c r="H225" s="151"/>
      <c r="I225" s="151"/>
      <c r="J225" s="151"/>
      <c r="K225" s="151"/>
      <c r="L225" s="151"/>
    </row>
    <row r="226" spans="2:12" x14ac:dyDescent="0.3">
      <c r="B226" s="44"/>
      <c r="C226" s="44"/>
      <c r="D226" s="44"/>
      <c r="E226" s="149"/>
      <c r="F226" s="149"/>
      <c r="G226" s="149"/>
      <c r="H226" s="151"/>
      <c r="I226" s="151"/>
      <c r="J226" s="151"/>
      <c r="K226" s="151"/>
      <c r="L226" s="151"/>
    </row>
    <row r="227" spans="2:12" x14ac:dyDescent="0.3">
      <c r="B227" s="44"/>
      <c r="C227" s="44"/>
      <c r="D227" s="44"/>
      <c r="E227" s="149"/>
      <c r="F227" s="149"/>
      <c r="G227" s="149"/>
      <c r="H227" s="151"/>
      <c r="I227" s="151"/>
      <c r="J227" s="151"/>
      <c r="K227" s="151"/>
      <c r="L227" s="151"/>
    </row>
    <row r="228" spans="2:12" x14ac:dyDescent="0.3">
      <c r="B228" s="44"/>
      <c r="C228" s="44"/>
      <c r="D228" s="44"/>
      <c r="E228" s="149"/>
      <c r="F228" s="149"/>
      <c r="G228" s="149"/>
      <c r="H228" s="151"/>
      <c r="I228" s="151"/>
      <c r="J228" s="151"/>
      <c r="K228" s="151"/>
      <c r="L228" s="151"/>
    </row>
    <row r="229" spans="2:12" x14ac:dyDescent="0.3">
      <c r="B229" s="44"/>
      <c r="C229" s="44"/>
      <c r="D229" s="44"/>
      <c r="E229" s="149"/>
      <c r="F229" s="149"/>
      <c r="G229" s="149"/>
      <c r="H229" s="151"/>
      <c r="I229" s="151"/>
      <c r="J229" s="151"/>
      <c r="K229" s="151"/>
      <c r="L229" s="151"/>
    </row>
    <row r="230" spans="2:12" x14ac:dyDescent="0.3">
      <c r="B230" s="44"/>
      <c r="C230" s="44"/>
      <c r="D230" s="44"/>
      <c r="E230" s="149"/>
      <c r="F230" s="149"/>
      <c r="G230" s="149"/>
      <c r="H230" s="151"/>
      <c r="I230" s="151"/>
      <c r="J230" s="151"/>
      <c r="K230" s="151"/>
      <c r="L230" s="151"/>
    </row>
    <row r="231" spans="2:12" x14ac:dyDescent="0.3">
      <c r="B231" s="44"/>
      <c r="C231" s="44"/>
      <c r="D231" s="44"/>
      <c r="E231" s="149"/>
      <c r="F231" s="149"/>
      <c r="G231" s="149"/>
      <c r="H231" s="151"/>
      <c r="I231" s="151"/>
      <c r="J231" s="151"/>
      <c r="K231" s="151"/>
      <c r="L231" s="151"/>
    </row>
    <row r="232" spans="2:12" x14ac:dyDescent="0.3">
      <c r="B232" s="44"/>
      <c r="C232" s="44"/>
      <c r="D232" s="44"/>
      <c r="E232" s="149"/>
      <c r="F232" s="149"/>
      <c r="G232" s="149"/>
      <c r="H232" s="151"/>
      <c r="I232" s="151"/>
      <c r="J232" s="151"/>
      <c r="K232" s="151"/>
      <c r="L232" s="151"/>
    </row>
    <row r="233" spans="2:12" x14ac:dyDescent="0.3">
      <c r="B233" s="44"/>
      <c r="C233" s="44"/>
      <c r="D233" s="44"/>
      <c r="E233" s="149"/>
      <c r="F233" s="149"/>
      <c r="G233" s="149"/>
      <c r="H233" s="151"/>
      <c r="I233" s="151"/>
      <c r="J233" s="151"/>
      <c r="K233" s="151"/>
      <c r="L233" s="151"/>
    </row>
    <row r="234" spans="2:12" x14ac:dyDescent="0.3">
      <c r="B234" s="44"/>
      <c r="C234" s="44"/>
      <c r="D234" s="44"/>
      <c r="E234" s="149"/>
      <c r="F234" s="149"/>
      <c r="G234" s="149"/>
      <c r="H234" s="151"/>
      <c r="I234" s="151"/>
      <c r="J234" s="151"/>
      <c r="K234" s="151"/>
      <c r="L234" s="151"/>
    </row>
    <row r="235" spans="2:12" x14ac:dyDescent="0.3">
      <c r="B235" s="44"/>
      <c r="C235" s="44"/>
      <c r="D235" s="44"/>
      <c r="E235" s="149"/>
      <c r="F235" s="149"/>
      <c r="G235" s="149"/>
      <c r="H235" s="151"/>
      <c r="I235" s="151"/>
      <c r="J235" s="151"/>
      <c r="K235" s="151"/>
      <c r="L235" s="151"/>
    </row>
    <row r="236" spans="2:12" x14ac:dyDescent="0.3">
      <c r="B236" s="44"/>
      <c r="C236" s="44"/>
      <c r="D236" s="44"/>
      <c r="E236" s="149"/>
      <c r="F236" s="149"/>
      <c r="G236" s="149"/>
      <c r="H236" s="151"/>
      <c r="I236" s="151"/>
      <c r="J236" s="151"/>
      <c r="K236" s="151"/>
      <c r="L236" s="151"/>
    </row>
    <row r="237" spans="2:12" x14ac:dyDescent="0.3">
      <c r="B237" s="44"/>
      <c r="C237" s="44"/>
      <c r="D237" s="44"/>
      <c r="E237" s="149"/>
      <c r="F237" s="149"/>
      <c r="G237" s="149"/>
      <c r="H237" s="151"/>
      <c r="I237" s="151"/>
      <c r="J237" s="151"/>
      <c r="K237" s="151"/>
      <c r="L237" s="151"/>
    </row>
    <row r="238" spans="2:12" x14ac:dyDescent="0.3">
      <c r="B238" s="44"/>
      <c r="C238" s="44"/>
      <c r="D238" s="44"/>
      <c r="E238" s="149"/>
      <c r="F238" s="149"/>
      <c r="G238" s="149"/>
      <c r="H238" s="151"/>
      <c r="I238" s="151"/>
      <c r="J238" s="151"/>
      <c r="K238" s="151"/>
      <c r="L238" s="151"/>
    </row>
    <row r="239" spans="2:12" x14ac:dyDescent="0.3">
      <c r="B239" s="44"/>
      <c r="C239" s="44"/>
      <c r="D239" s="44"/>
      <c r="E239" s="149"/>
      <c r="F239" s="149"/>
      <c r="G239" s="149"/>
      <c r="H239" s="151"/>
      <c r="I239" s="151"/>
      <c r="J239" s="151"/>
      <c r="K239" s="151"/>
      <c r="L239" s="151"/>
    </row>
    <row r="240" spans="2:12" x14ac:dyDescent="0.3">
      <c r="B240" s="44"/>
      <c r="C240" s="44"/>
      <c r="D240" s="44"/>
      <c r="E240" s="149"/>
      <c r="F240" s="149"/>
      <c r="G240" s="149"/>
      <c r="H240" s="151"/>
      <c r="I240" s="151"/>
      <c r="J240" s="151"/>
      <c r="K240" s="151"/>
      <c r="L240" s="151"/>
    </row>
    <row r="241" spans="2:12" x14ac:dyDescent="0.3">
      <c r="B241" s="44"/>
      <c r="C241" s="44"/>
      <c r="D241" s="44"/>
      <c r="E241" s="149"/>
      <c r="F241" s="149"/>
      <c r="G241" s="149"/>
      <c r="H241" s="151"/>
      <c r="I241" s="151"/>
      <c r="J241" s="151"/>
      <c r="K241" s="151"/>
      <c r="L241" s="151"/>
    </row>
    <row r="242" spans="2:12" x14ac:dyDescent="0.3">
      <c r="B242" s="44"/>
      <c r="C242" s="44"/>
      <c r="D242" s="44"/>
      <c r="E242" s="149"/>
      <c r="F242" s="149"/>
      <c r="G242" s="149"/>
      <c r="H242" s="151"/>
      <c r="I242" s="151"/>
      <c r="J242" s="151"/>
      <c r="K242" s="151"/>
      <c r="L242" s="151"/>
    </row>
    <row r="243" spans="2:12" x14ac:dyDescent="0.3">
      <c r="B243" s="44"/>
      <c r="C243" s="44"/>
      <c r="D243" s="44"/>
      <c r="E243" s="149"/>
      <c r="F243" s="149"/>
      <c r="G243" s="149"/>
      <c r="H243" s="151"/>
      <c r="I243" s="151"/>
      <c r="J243" s="151"/>
      <c r="K243" s="151"/>
      <c r="L243" s="151"/>
    </row>
    <row r="244" spans="2:12" x14ac:dyDescent="0.3">
      <c r="B244" s="44"/>
      <c r="C244" s="44"/>
      <c r="D244" s="44"/>
      <c r="E244" s="149"/>
      <c r="F244" s="149"/>
      <c r="G244" s="149"/>
      <c r="H244" s="151"/>
      <c r="I244" s="151"/>
      <c r="J244" s="151"/>
      <c r="K244" s="151"/>
      <c r="L244" s="151"/>
    </row>
    <row r="245" spans="2:12" x14ac:dyDescent="0.3">
      <c r="B245" s="44"/>
      <c r="C245" s="44"/>
      <c r="D245" s="44"/>
      <c r="E245" s="149"/>
      <c r="F245" s="149"/>
      <c r="G245" s="149"/>
      <c r="H245" s="151"/>
      <c r="I245" s="151"/>
      <c r="J245" s="151"/>
      <c r="K245" s="151"/>
      <c r="L245" s="151"/>
    </row>
    <row r="246" spans="2:12" x14ac:dyDescent="0.3">
      <c r="B246" s="44"/>
      <c r="C246" s="44"/>
      <c r="D246" s="44"/>
      <c r="E246" s="149"/>
      <c r="F246" s="149"/>
      <c r="G246" s="149"/>
      <c r="H246" s="151"/>
      <c r="I246" s="151"/>
      <c r="J246" s="151"/>
      <c r="K246" s="151"/>
      <c r="L246" s="151"/>
    </row>
    <row r="247" spans="2:12" x14ac:dyDescent="0.3">
      <c r="B247" s="44"/>
      <c r="C247" s="44"/>
      <c r="D247" s="44"/>
      <c r="E247" s="149"/>
      <c r="F247" s="149"/>
      <c r="G247" s="149"/>
      <c r="H247" s="151"/>
      <c r="I247" s="151"/>
      <c r="J247" s="151"/>
      <c r="K247" s="151"/>
      <c r="L247" s="151"/>
    </row>
    <row r="248" spans="2:12" x14ac:dyDescent="0.3">
      <c r="B248" s="44"/>
      <c r="C248" s="44"/>
      <c r="D248" s="44"/>
      <c r="E248" s="149"/>
      <c r="F248" s="149"/>
      <c r="G248" s="149"/>
      <c r="H248" s="151"/>
      <c r="I248" s="151"/>
      <c r="J248" s="151"/>
      <c r="K248" s="151"/>
      <c r="L248" s="151"/>
    </row>
    <row r="249" spans="2:12" x14ac:dyDescent="0.3">
      <c r="B249" s="44"/>
      <c r="C249" s="44"/>
      <c r="D249" s="44"/>
      <c r="E249" s="149"/>
      <c r="F249" s="149"/>
      <c r="G249" s="149"/>
      <c r="H249" s="151"/>
      <c r="I249" s="151"/>
      <c r="J249" s="151"/>
      <c r="K249" s="151"/>
      <c r="L249" s="151"/>
    </row>
    <row r="250" spans="2:12" x14ac:dyDescent="0.3">
      <c r="B250" s="44"/>
      <c r="C250" s="44"/>
      <c r="D250" s="44"/>
      <c r="E250" s="149"/>
      <c r="F250" s="149"/>
      <c r="G250" s="149"/>
      <c r="H250" s="151"/>
      <c r="I250" s="151"/>
      <c r="J250" s="151"/>
      <c r="K250" s="151"/>
      <c r="L250" s="151"/>
    </row>
    <row r="251" spans="2:12" x14ac:dyDescent="0.3">
      <c r="B251" s="44"/>
      <c r="C251" s="44"/>
      <c r="D251" s="44"/>
      <c r="E251" s="149"/>
      <c r="F251" s="149"/>
      <c r="G251" s="149"/>
      <c r="H251" s="151"/>
      <c r="I251" s="151"/>
      <c r="J251" s="151"/>
      <c r="K251" s="151"/>
      <c r="L251" s="151"/>
    </row>
    <row r="252" spans="2:12" x14ac:dyDescent="0.3">
      <c r="B252" s="44"/>
      <c r="C252" s="44"/>
      <c r="D252" s="44"/>
      <c r="E252" s="149"/>
      <c r="F252" s="149"/>
      <c r="G252" s="149"/>
      <c r="H252" s="151"/>
      <c r="I252" s="151"/>
      <c r="J252" s="151"/>
      <c r="K252" s="151"/>
      <c r="L252" s="151"/>
    </row>
    <row r="253" spans="2:12" x14ac:dyDescent="0.3">
      <c r="B253" s="44"/>
      <c r="C253" s="44"/>
      <c r="D253" s="44"/>
      <c r="E253" s="149"/>
      <c r="F253" s="149"/>
      <c r="G253" s="149"/>
      <c r="H253" s="151"/>
      <c r="I253" s="151"/>
      <c r="J253" s="151"/>
      <c r="K253" s="151"/>
      <c r="L253" s="151"/>
    </row>
    <row r="254" spans="2:12" x14ac:dyDescent="0.3">
      <c r="B254" s="44"/>
      <c r="C254" s="44"/>
      <c r="D254" s="44"/>
      <c r="E254" s="149"/>
      <c r="F254" s="149"/>
      <c r="G254" s="149"/>
      <c r="H254" s="151"/>
      <c r="I254" s="151"/>
      <c r="J254" s="151"/>
      <c r="K254" s="151"/>
      <c r="L254" s="151"/>
    </row>
    <row r="255" spans="2:12" x14ac:dyDescent="0.3">
      <c r="B255" s="44"/>
      <c r="C255" s="44"/>
      <c r="D255" s="44"/>
      <c r="E255" s="149"/>
      <c r="F255" s="149"/>
      <c r="G255" s="149"/>
      <c r="H255" s="151"/>
      <c r="I255" s="151"/>
      <c r="J255" s="151"/>
      <c r="K255" s="151"/>
      <c r="L255" s="151"/>
    </row>
    <row r="256" spans="2:12" x14ac:dyDescent="0.3">
      <c r="B256" s="44"/>
      <c r="C256" s="44"/>
      <c r="D256" s="44"/>
      <c r="E256" s="149"/>
      <c r="F256" s="149"/>
      <c r="G256" s="149"/>
      <c r="H256" s="151"/>
      <c r="I256" s="151"/>
      <c r="J256" s="151"/>
      <c r="K256" s="151"/>
      <c r="L256" s="151"/>
    </row>
    <row r="257" spans="2:12" x14ac:dyDescent="0.3">
      <c r="B257" s="44"/>
      <c r="C257" s="44"/>
      <c r="D257" s="44"/>
      <c r="E257" s="149"/>
      <c r="F257" s="149"/>
      <c r="G257" s="149"/>
      <c r="H257" s="151"/>
      <c r="I257" s="151"/>
      <c r="J257" s="151"/>
      <c r="K257" s="151"/>
      <c r="L257" s="151"/>
    </row>
    <row r="258" spans="2:12" x14ac:dyDescent="0.3">
      <c r="B258" s="44"/>
      <c r="C258" s="44"/>
      <c r="D258" s="44"/>
      <c r="E258" s="149"/>
      <c r="F258" s="149"/>
      <c r="G258" s="149"/>
      <c r="H258" s="151"/>
      <c r="I258" s="151"/>
      <c r="J258" s="151"/>
      <c r="K258" s="151"/>
      <c r="L258" s="151"/>
    </row>
    <row r="259" spans="2:12" x14ac:dyDescent="0.3">
      <c r="B259" s="44"/>
      <c r="C259" s="44"/>
      <c r="D259" s="44"/>
      <c r="E259" s="149"/>
      <c r="F259" s="149"/>
      <c r="G259" s="149"/>
      <c r="H259" s="151"/>
      <c r="I259" s="151"/>
      <c r="J259" s="151"/>
      <c r="K259" s="151"/>
      <c r="L259" s="151"/>
    </row>
    <row r="260" spans="2:12" x14ac:dyDescent="0.3">
      <c r="B260" s="44"/>
      <c r="C260" s="44"/>
      <c r="D260" s="44"/>
      <c r="E260" s="149"/>
      <c r="F260" s="149"/>
      <c r="G260" s="149"/>
      <c r="H260" s="151"/>
      <c r="I260" s="151"/>
      <c r="J260" s="151"/>
      <c r="K260" s="151"/>
      <c r="L260" s="151"/>
    </row>
    <row r="261" spans="2:12" x14ac:dyDescent="0.3">
      <c r="B261" s="44"/>
      <c r="C261" s="44"/>
      <c r="D261" s="44"/>
      <c r="E261" s="149"/>
      <c r="F261" s="149"/>
      <c r="G261" s="149"/>
      <c r="H261" s="151"/>
      <c r="I261" s="151"/>
      <c r="J261" s="151"/>
      <c r="K261" s="151"/>
      <c r="L261" s="151"/>
    </row>
    <row r="262" spans="2:12" x14ac:dyDescent="0.3">
      <c r="B262" s="44"/>
      <c r="C262" s="44"/>
      <c r="D262" s="44"/>
      <c r="E262" s="149"/>
      <c r="F262" s="149"/>
      <c r="G262" s="149"/>
      <c r="H262" s="151"/>
      <c r="I262" s="151"/>
      <c r="J262" s="151"/>
      <c r="K262" s="151"/>
      <c r="L262" s="151"/>
    </row>
    <row r="263" spans="2:12" x14ac:dyDescent="0.3">
      <c r="B263" s="44"/>
      <c r="C263" s="44"/>
      <c r="D263" s="44"/>
      <c r="E263" s="149"/>
      <c r="F263" s="149"/>
      <c r="G263" s="149"/>
      <c r="H263" s="151"/>
      <c r="I263" s="151"/>
      <c r="J263" s="151"/>
      <c r="K263" s="151"/>
      <c r="L263" s="151"/>
    </row>
    <row r="264" spans="2:12" x14ac:dyDescent="0.3">
      <c r="B264" s="44"/>
      <c r="C264" s="44"/>
      <c r="D264" s="44"/>
      <c r="E264" s="149"/>
      <c r="F264" s="149"/>
      <c r="G264" s="149"/>
      <c r="H264" s="151"/>
      <c r="I264" s="151"/>
      <c r="J264" s="151"/>
      <c r="K264" s="151"/>
      <c r="L264" s="151"/>
    </row>
    <row r="265" spans="2:12" x14ac:dyDescent="0.3">
      <c r="B265" s="44"/>
      <c r="C265" s="44"/>
      <c r="D265" s="44"/>
      <c r="E265" s="149"/>
      <c r="F265" s="149"/>
      <c r="G265" s="149"/>
      <c r="H265" s="151"/>
      <c r="I265" s="151"/>
      <c r="J265" s="151"/>
      <c r="K265" s="151"/>
      <c r="L265" s="151"/>
    </row>
    <row r="266" spans="2:12" x14ac:dyDescent="0.3">
      <c r="B266" s="44"/>
      <c r="C266" s="44"/>
      <c r="D266" s="44"/>
      <c r="E266" s="149"/>
      <c r="F266" s="149"/>
      <c r="G266" s="149"/>
      <c r="H266" s="151"/>
      <c r="I266" s="151"/>
      <c r="J266" s="151"/>
      <c r="K266" s="151"/>
      <c r="L266" s="151"/>
    </row>
    <row r="267" spans="2:12" x14ac:dyDescent="0.3">
      <c r="B267" s="44"/>
      <c r="C267" s="44"/>
      <c r="D267" s="44"/>
      <c r="E267" s="149"/>
      <c r="F267" s="149"/>
      <c r="G267" s="149"/>
      <c r="H267" s="151"/>
      <c r="I267" s="151"/>
      <c r="J267" s="151"/>
      <c r="K267" s="151"/>
      <c r="L267" s="151"/>
    </row>
    <row r="268" spans="2:12" x14ac:dyDescent="0.3">
      <c r="B268" s="44"/>
      <c r="C268" s="44"/>
      <c r="D268" s="44"/>
      <c r="E268" s="149"/>
      <c r="F268" s="149"/>
      <c r="G268" s="149"/>
      <c r="H268" s="151"/>
      <c r="I268" s="151"/>
      <c r="J268" s="151"/>
      <c r="K268" s="151"/>
      <c r="L268" s="151"/>
    </row>
    <row r="269" spans="2:12" x14ac:dyDescent="0.3">
      <c r="B269" s="44"/>
      <c r="C269" s="44"/>
      <c r="D269" s="44"/>
      <c r="E269" s="149"/>
      <c r="F269" s="149"/>
      <c r="G269" s="149"/>
      <c r="H269" s="151"/>
      <c r="I269" s="151"/>
      <c r="J269" s="151"/>
      <c r="K269" s="151"/>
      <c r="L269" s="151"/>
    </row>
    <row r="270" spans="2:12" x14ac:dyDescent="0.3">
      <c r="B270" s="44"/>
      <c r="C270" s="44"/>
      <c r="D270" s="44"/>
      <c r="E270" s="149"/>
      <c r="F270" s="149"/>
      <c r="G270" s="149"/>
      <c r="H270" s="151"/>
      <c r="I270" s="151"/>
      <c r="J270" s="151"/>
      <c r="K270" s="151"/>
      <c r="L270" s="151"/>
    </row>
    <row r="271" spans="2:12" x14ac:dyDescent="0.3">
      <c r="B271" s="44"/>
      <c r="C271" s="44"/>
      <c r="D271" s="44"/>
      <c r="E271" s="149"/>
      <c r="F271" s="149"/>
      <c r="G271" s="149"/>
      <c r="H271" s="151"/>
      <c r="I271" s="151"/>
      <c r="J271" s="151"/>
      <c r="K271" s="151"/>
      <c r="L271" s="151"/>
    </row>
    <row r="272" spans="2:12" x14ac:dyDescent="0.3">
      <c r="B272" s="44"/>
      <c r="C272" s="44"/>
      <c r="D272" s="44"/>
      <c r="E272" s="149"/>
      <c r="F272" s="149"/>
      <c r="G272" s="149"/>
      <c r="H272" s="151"/>
      <c r="I272" s="151"/>
      <c r="J272" s="151"/>
      <c r="K272" s="151"/>
      <c r="L272" s="151"/>
    </row>
    <row r="273" spans="2:12" x14ac:dyDescent="0.3">
      <c r="B273" s="44"/>
      <c r="C273" s="44"/>
      <c r="D273" s="44"/>
      <c r="E273" s="149"/>
      <c r="F273" s="149"/>
      <c r="G273" s="149"/>
      <c r="H273" s="151"/>
      <c r="I273" s="151"/>
      <c r="J273" s="151"/>
      <c r="K273" s="151"/>
      <c r="L273" s="151"/>
    </row>
    <row r="274" spans="2:12" x14ac:dyDescent="0.3">
      <c r="B274" s="44"/>
      <c r="C274" s="44"/>
      <c r="D274" s="44"/>
      <c r="E274" s="149"/>
      <c r="F274" s="149"/>
      <c r="G274" s="149"/>
      <c r="H274" s="151"/>
      <c r="I274" s="151"/>
      <c r="J274" s="151"/>
      <c r="K274" s="151"/>
      <c r="L274" s="151"/>
    </row>
    <row r="275" spans="2:12" x14ac:dyDescent="0.3">
      <c r="B275" s="44"/>
      <c r="C275" s="44"/>
      <c r="D275" s="44"/>
      <c r="E275" s="149"/>
      <c r="F275" s="149"/>
      <c r="G275" s="149"/>
      <c r="H275" s="151"/>
      <c r="I275" s="151"/>
      <c r="J275" s="151"/>
      <c r="K275" s="151"/>
      <c r="L275" s="151"/>
    </row>
    <row r="276" spans="2:12" x14ac:dyDescent="0.3">
      <c r="B276" s="44"/>
      <c r="C276" s="44"/>
      <c r="D276" s="44"/>
      <c r="E276" s="149"/>
      <c r="F276" s="149"/>
      <c r="G276" s="149"/>
      <c r="H276" s="151"/>
      <c r="I276" s="151"/>
      <c r="J276" s="151"/>
      <c r="K276" s="151"/>
      <c r="L276" s="151"/>
    </row>
    <row r="277" spans="2:12" x14ac:dyDescent="0.3">
      <c r="B277" s="44"/>
      <c r="C277" s="44"/>
      <c r="D277" s="44"/>
      <c r="E277" s="149"/>
      <c r="F277" s="149"/>
      <c r="G277" s="149"/>
      <c r="H277" s="151"/>
      <c r="I277" s="151"/>
      <c r="J277" s="151"/>
      <c r="K277" s="151"/>
      <c r="L277" s="151"/>
    </row>
    <row r="278" spans="2:12" x14ac:dyDescent="0.3">
      <c r="B278" s="44"/>
      <c r="C278" s="44"/>
      <c r="D278" s="44"/>
      <c r="E278" s="149"/>
      <c r="F278" s="149"/>
      <c r="G278" s="149"/>
      <c r="H278" s="151"/>
      <c r="I278" s="151"/>
      <c r="J278" s="151"/>
      <c r="K278" s="151"/>
      <c r="L278" s="151"/>
    </row>
    <row r="279" spans="2:12" x14ac:dyDescent="0.3">
      <c r="B279" s="44"/>
      <c r="C279" s="44"/>
      <c r="D279" s="44"/>
      <c r="E279" s="149"/>
      <c r="F279" s="149"/>
      <c r="G279" s="149"/>
      <c r="H279" s="151"/>
      <c r="I279" s="151"/>
      <c r="J279" s="151"/>
      <c r="K279" s="151"/>
      <c r="L279" s="151"/>
    </row>
    <row r="280" spans="2:12" x14ac:dyDescent="0.3">
      <c r="B280" s="44"/>
      <c r="C280" s="44"/>
      <c r="D280" s="44"/>
      <c r="E280" s="149"/>
      <c r="F280" s="149"/>
      <c r="G280" s="149"/>
      <c r="H280" s="151"/>
      <c r="I280" s="151"/>
      <c r="J280" s="151"/>
      <c r="K280" s="151"/>
      <c r="L280" s="151"/>
    </row>
    <row r="281" spans="2:12" x14ac:dyDescent="0.3">
      <c r="B281" s="44"/>
      <c r="C281" s="44"/>
      <c r="D281" s="44"/>
      <c r="E281" s="149"/>
      <c r="F281" s="149"/>
      <c r="G281" s="149"/>
      <c r="H281" s="151"/>
      <c r="I281" s="151"/>
      <c r="J281" s="151"/>
      <c r="K281" s="151"/>
      <c r="L281" s="151"/>
    </row>
    <row r="282" spans="2:12" x14ac:dyDescent="0.3">
      <c r="B282" s="44"/>
      <c r="C282" s="44"/>
      <c r="D282" s="44"/>
      <c r="E282" s="149"/>
      <c r="F282" s="149"/>
      <c r="G282" s="149"/>
      <c r="H282" s="151"/>
      <c r="I282" s="151"/>
      <c r="J282" s="151"/>
      <c r="K282" s="151"/>
      <c r="L282" s="151"/>
    </row>
    <row r="283" spans="2:12" x14ac:dyDescent="0.3">
      <c r="B283" s="44"/>
      <c r="C283" s="44"/>
      <c r="D283" s="44"/>
      <c r="E283" s="149"/>
      <c r="F283" s="149"/>
      <c r="G283" s="149"/>
      <c r="H283" s="151"/>
      <c r="I283" s="151"/>
      <c r="J283" s="151"/>
      <c r="K283" s="151"/>
      <c r="L283" s="151"/>
    </row>
    <row r="284" spans="2:12" x14ac:dyDescent="0.3">
      <c r="B284" s="44"/>
      <c r="C284" s="44"/>
      <c r="D284" s="44"/>
      <c r="E284" s="149"/>
      <c r="F284" s="149"/>
      <c r="G284" s="149"/>
      <c r="H284" s="151"/>
      <c r="I284" s="151"/>
      <c r="J284" s="151"/>
      <c r="K284" s="151"/>
      <c r="L284" s="151"/>
    </row>
    <row r="285" spans="2:12" x14ac:dyDescent="0.3">
      <c r="B285" s="44"/>
      <c r="C285" s="44"/>
      <c r="D285" s="44"/>
      <c r="E285" s="149"/>
      <c r="F285" s="149"/>
      <c r="G285" s="149"/>
      <c r="H285" s="151"/>
      <c r="I285" s="151"/>
      <c r="J285" s="151"/>
      <c r="K285" s="151"/>
      <c r="L285" s="151"/>
    </row>
    <row r="286" spans="2:12" x14ac:dyDescent="0.3">
      <c r="B286" s="44"/>
      <c r="C286" s="44"/>
      <c r="D286" s="44"/>
      <c r="E286" s="149"/>
      <c r="F286" s="149"/>
      <c r="G286" s="149"/>
      <c r="H286" s="151"/>
      <c r="I286" s="151"/>
      <c r="J286" s="151"/>
      <c r="K286" s="151"/>
      <c r="L286" s="151"/>
    </row>
    <row r="287" spans="2:12" x14ac:dyDescent="0.3">
      <c r="B287" s="44"/>
      <c r="C287" s="44"/>
      <c r="D287" s="44"/>
      <c r="E287" s="149"/>
      <c r="F287" s="149"/>
      <c r="G287" s="149"/>
      <c r="H287" s="151"/>
      <c r="I287" s="151"/>
      <c r="J287" s="151"/>
      <c r="K287" s="151"/>
      <c r="L287" s="151"/>
    </row>
    <row r="288" spans="2:12" x14ac:dyDescent="0.3">
      <c r="B288" s="44"/>
      <c r="C288" s="44"/>
      <c r="D288" s="44"/>
      <c r="E288" s="149"/>
      <c r="F288" s="149"/>
      <c r="G288" s="149"/>
      <c r="H288" s="151"/>
      <c r="I288" s="151"/>
      <c r="J288" s="151"/>
      <c r="K288" s="151"/>
      <c r="L288" s="151"/>
    </row>
    <row r="289" spans="2:12" x14ac:dyDescent="0.3">
      <c r="B289" s="44"/>
      <c r="C289" s="44"/>
      <c r="D289" s="44"/>
      <c r="E289" s="149"/>
      <c r="F289" s="149"/>
      <c r="G289" s="149"/>
      <c r="H289" s="151"/>
      <c r="I289" s="151"/>
      <c r="J289" s="151"/>
      <c r="K289" s="151"/>
      <c r="L289" s="151"/>
    </row>
    <row r="290" spans="2:12" x14ac:dyDescent="0.3">
      <c r="B290" s="44"/>
      <c r="C290" s="44"/>
      <c r="D290" s="44"/>
      <c r="E290" s="149"/>
      <c r="F290" s="149"/>
      <c r="G290" s="149"/>
      <c r="H290" s="151"/>
      <c r="I290" s="151"/>
      <c r="J290" s="151"/>
      <c r="K290" s="151"/>
      <c r="L290" s="151"/>
    </row>
    <row r="291" spans="2:12" x14ac:dyDescent="0.3">
      <c r="B291" s="44"/>
      <c r="C291" s="44"/>
      <c r="D291" s="44"/>
      <c r="E291" s="149"/>
      <c r="F291" s="149"/>
      <c r="G291" s="149"/>
      <c r="H291" s="151"/>
      <c r="I291" s="151"/>
      <c r="J291" s="151"/>
      <c r="K291" s="151"/>
      <c r="L291" s="151"/>
    </row>
    <row r="292" spans="2:12" x14ac:dyDescent="0.3">
      <c r="B292" s="44"/>
      <c r="C292" s="44"/>
      <c r="D292" s="44"/>
      <c r="E292" s="149"/>
      <c r="F292" s="149"/>
      <c r="G292" s="149"/>
      <c r="H292" s="151"/>
      <c r="I292" s="151"/>
      <c r="J292" s="151"/>
      <c r="K292" s="151"/>
      <c r="L292" s="151"/>
    </row>
    <row r="293" spans="2:12" x14ac:dyDescent="0.3">
      <c r="B293" s="44"/>
      <c r="C293" s="44"/>
      <c r="D293" s="44"/>
      <c r="E293" s="149"/>
      <c r="F293" s="149"/>
      <c r="G293" s="149"/>
      <c r="H293" s="151"/>
      <c r="I293" s="151"/>
      <c r="J293" s="151"/>
      <c r="K293" s="151"/>
      <c r="L293" s="151"/>
    </row>
    <row r="294" spans="2:12" x14ac:dyDescent="0.3">
      <c r="B294" s="44"/>
      <c r="C294" s="44"/>
      <c r="D294" s="44"/>
      <c r="E294" s="149"/>
      <c r="F294" s="149"/>
      <c r="G294" s="149"/>
      <c r="H294" s="151"/>
      <c r="I294" s="151"/>
      <c r="J294" s="151"/>
      <c r="K294" s="151"/>
      <c r="L294" s="151"/>
    </row>
    <row r="295" spans="2:12" x14ac:dyDescent="0.3">
      <c r="B295" s="44"/>
      <c r="C295" s="44"/>
      <c r="D295" s="44"/>
      <c r="E295" s="149"/>
      <c r="F295" s="149"/>
      <c r="G295" s="149"/>
      <c r="H295" s="151"/>
      <c r="I295" s="151"/>
      <c r="J295" s="151"/>
      <c r="K295" s="151"/>
      <c r="L295" s="151"/>
    </row>
    <row r="296" spans="2:12" x14ac:dyDescent="0.3">
      <c r="B296" s="44"/>
      <c r="C296" s="44"/>
      <c r="D296" s="44"/>
      <c r="E296" s="149"/>
      <c r="F296" s="149"/>
      <c r="G296" s="149"/>
      <c r="H296" s="151"/>
      <c r="I296" s="151"/>
      <c r="J296" s="151"/>
      <c r="K296" s="151"/>
      <c r="L296" s="151"/>
    </row>
    <row r="297" spans="2:12" x14ac:dyDescent="0.3">
      <c r="B297" s="44"/>
      <c r="C297" s="44"/>
      <c r="D297" s="44"/>
      <c r="E297" s="149"/>
      <c r="F297" s="149"/>
      <c r="G297" s="149"/>
      <c r="H297" s="151"/>
      <c r="I297" s="151"/>
      <c r="J297" s="151"/>
      <c r="K297" s="151"/>
      <c r="L297" s="151"/>
    </row>
    <row r="298" spans="2:12" x14ac:dyDescent="0.3">
      <c r="B298" s="44"/>
      <c r="C298" s="44"/>
      <c r="D298" s="44"/>
      <c r="E298" s="149"/>
      <c r="F298" s="149"/>
      <c r="G298" s="149"/>
      <c r="H298" s="151"/>
      <c r="I298" s="151"/>
      <c r="J298" s="151"/>
      <c r="K298" s="151"/>
      <c r="L298" s="151"/>
    </row>
    <row r="299" spans="2:12" x14ac:dyDescent="0.3">
      <c r="B299" s="44"/>
      <c r="C299" s="44"/>
      <c r="D299" s="44"/>
      <c r="E299" s="149"/>
      <c r="F299" s="149"/>
      <c r="G299" s="149"/>
      <c r="H299" s="151"/>
      <c r="I299" s="151"/>
      <c r="J299" s="151"/>
      <c r="K299" s="151"/>
      <c r="L299" s="151"/>
    </row>
    <row r="300" spans="2:12" x14ac:dyDescent="0.3">
      <c r="B300" s="44"/>
      <c r="C300" s="44"/>
      <c r="D300" s="44"/>
      <c r="E300" s="149"/>
      <c r="F300" s="149"/>
      <c r="G300" s="149"/>
      <c r="H300" s="151"/>
      <c r="I300" s="151"/>
      <c r="J300" s="151"/>
      <c r="K300" s="151"/>
      <c r="L300" s="151"/>
    </row>
    <row r="301" spans="2:12" x14ac:dyDescent="0.3">
      <c r="B301" s="44"/>
      <c r="C301" s="44"/>
      <c r="D301" s="44"/>
      <c r="E301" s="149"/>
      <c r="F301" s="149"/>
      <c r="G301" s="149"/>
      <c r="H301" s="151"/>
      <c r="I301" s="151"/>
      <c r="J301" s="151"/>
      <c r="K301" s="151"/>
      <c r="L301" s="151"/>
    </row>
    <row r="302" spans="2:12" x14ac:dyDescent="0.3">
      <c r="B302" s="44"/>
      <c r="C302" s="44"/>
      <c r="D302" s="44"/>
      <c r="E302" s="149"/>
      <c r="F302" s="149"/>
      <c r="G302" s="149"/>
      <c r="H302" s="151"/>
      <c r="I302" s="151"/>
      <c r="J302" s="151"/>
      <c r="K302" s="151"/>
      <c r="L302" s="151"/>
    </row>
    <row r="303" spans="2:12" x14ac:dyDescent="0.3">
      <c r="B303" s="44"/>
      <c r="C303" s="44"/>
      <c r="D303" s="44"/>
      <c r="E303" s="149"/>
      <c r="F303" s="149"/>
      <c r="G303" s="149"/>
      <c r="H303" s="151"/>
      <c r="I303" s="151"/>
      <c r="J303" s="151"/>
      <c r="K303" s="151"/>
      <c r="L303" s="151"/>
    </row>
    <row r="304" spans="2:12" x14ac:dyDescent="0.3">
      <c r="B304" s="44"/>
      <c r="C304" s="44"/>
      <c r="D304" s="44"/>
      <c r="E304" s="149"/>
      <c r="F304" s="149"/>
      <c r="G304" s="149"/>
      <c r="H304" s="151"/>
      <c r="I304" s="151"/>
      <c r="J304" s="151"/>
      <c r="K304" s="151"/>
      <c r="L304" s="151"/>
    </row>
    <row r="305" spans="2:12" x14ac:dyDescent="0.3">
      <c r="B305" s="44"/>
      <c r="C305" s="44"/>
      <c r="D305" s="44"/>
      <c r="E305" s="149"/>
      <c r="F305" s="149"/>
      <c r="G305" s="149"/>
      <c r="H305" s="151"/>
      <c r="I305" s="151"/>
      <c r="J305" s="151"/>
      <c r="K305" s="151"/>
      <c r="L305" s="151"/>
    </row>
    <row r="306" spans="2:12" x14ac:dyDescent="0.3">
      <c r="B306" s="44"/>
      <c r="C306" s="44"/>
      <c r="D306" s="44"/>
      <c r="E306" s="149"/>
      <c r="F306" s="149"/>
      <c r="G306" s="149"/>
      <c r="H306" s="151"/>
      <c r="I306" s="151"/>
      <c r="J306" s="151"/>
      <c r="K306" s="151"/>
      <c r="L306" s="151"/>
    </row>
    <row r="307" spans="2:12" x14ac:dyDescent="0.3">
      <c r="B307" s="44"/>
      <c r="C307" s="44"/>
      <c r="D307" s="44"/>
      <c r="E307" s="149"/>
      <c r="F307" s="149"/>
      <c r="G307" s="149"/>
      <c r="H307" s="151"/>
      <c r="I307" s="151"/>
      <c r="J307" s="151"/>
      <c r="K307" s="151"/>
      <c r="L307" s="151"/>
    </row>
    <row r="308" spans="2:12" x14ac:dyDescent="0.3">
      <c r="B308" s="44"/>
      <c r="C308" s="44"/>
      <c r="D308" s="44"/>
      <c r="E308" s="149"/>
      <c r="F308" s="149"/>
      <c r="G308" s="149"/>
      <c r="H308" s="151"/>
      <c r="I308" s="151"/>
      <c r="J308" s="151"/>
      <c r="K308" s="151"/>
      <c r="L308" s="151"/>
    </row>
    <row r="309" spans="2:12" x14ac:dyDescent="0.3">
      <c r="B309" s="44"/>
      <c r="C309" s="44"/>
      <c r="D309" s="44"/>
      <c r="E309" s="149"/>
      <c r="F309" s="149"/>
      <c r="G309" s="149"/>
      <c r="H309" s="151"/>
      <c r="I309" s="151"/>
      <c r="J309" s="151"/>
      <c r="K309" s="151"/>
      <c r="L309" s="151"/>
    </row>
    <row r="310" spans="2:12" x14ac:dyDescent="0.3">
      <c r="B310" s="44"/>
      <c r="C310" s="44"/>
      <c r="D310" s="44"/>
      <c r="E310" s="149"/>
      <c r="F310" s="149"/>
      <c r="G310" s="149"/>
      <c r="H310" s="151"/>
      <c r="I310" s="151"/>
      <c r="J310" s="151"/>
      <c r="K310" s="151"/>
      <c r="L310" s="151"/>
    </row>
    <row r="311" spans="2:12" x14ac:dyDescent="0.3">
      <c r="B311" s="44"/>
      <c r="C311" s="44"/>
      <c r="D311" s="44"/>
      <c r="E311" s="149"/>
      <c r="F311" s="149"/>
      <c r="G311" s="149"/>
      <c r="H311" s="151"/>
      <c r="I311" s="151"/>
      <c r="J311" s="151"/>
      <c r="K311" s="151"/>
      <c r="L311" s="151"/>
    </row>
    <row r="312" spans="2:12" x14ac:dyDescent="0.3">
      <c r="B312" s="44"/>
      <c r="C312" s="44"/>
      <c r="D312" s="44"/>
      <c r="E312" s="149"/>
      <c r="F312" s="149"/>
      <c r="G312" s="149"/>
      <c r="H312" s="151"/>
      <c r="I312" s="151"/>
      <c r="J312" s="151"/>
      <c r="K312" s="151"/>
      <c r="L312" s="151"/>
    </row>
    <row r="313" spans="2:12" x14ac:dyDescent="0.3">
      <c r="B313" s="44"/>
      <c r="C313" s="44"/>
      <c r="D313" s="44"/>
      <c r="E313" s="149"/>
      <c r="F313" s="149"/>
      <c r="G313" s="149"/>
      <c r="H313" s="151"/>
      <c r="I313" s="151"/>
      <c r="J313" s="151"/>
      <c r="K313" s="151"/>
      <c r="L313" s="151"/>
    </row>
    <row r="314" spans="2:12" x14ac:dyDescent="0.3">
      <c r="B314" s="44"/>
      <c r="C314" s="44"/>
      <c r="D314" s="44"/>
      <c r="E314" s="149"/>
      <c r="F314" s="149"/>
      <c r="G314" s="149"/>
      <c r="H314" s="151"/>
      <c r="I314" s="151"/>
      <c r="J314" s="151"/>
      <c r="K314" s="151"/>
      <c r="L314" s="151"/>
    </row>
    <row r="315" spans="2:12" x14ac:dyDescent="0.3">
      <c r="B315" s="44"/>
      <c r="C315" s="44"/>
      <c r="D315" s="44"/>
      <c r="E315" s="149"/>
      <c r="F315" s="149"/>
      <c r="G315" s="149"/>
      <c r="H315" s="151"/>
      <c r="I315" s="151"/>
      <c r="J315" s="151"/>
      <c r="K315" s="151"/>
      <c r="L315" s="151"/>
    </row>
    <row r="316" spans="2:12" x14ac:dyDescent="0.3">
      <c r="B316" s="44"/>
      <c r="C316" s="44"/>
      <c r="D316" s="44"/>
      <c r="E316" s="149"/>
      <c r="F316" s="149"/>
      <c r="G316" s="149"/>
      <c r="H316" s="151"/>
      <c r="I316" s="151"/>
      <c r="J316" s="151"/>
      <c r="K316" s="151"/>
      <c r="L316" s="151"/>
    </row>
    <row r="317" spans="2:12" x14ac:dyDescent="0.3">
      <c r="B317" s="44"/>
      <c r="C317" s="44"/>
      <c r="D317" s="44"/>
      <c r="E317" s="149"/>
      <c r="F317" s="149"/>
      <c r="G317" s="149"/>
      <c r="H317" s="151"/>
      <c r="I317" s="151"/>
      <c r="J317" s="151"/>
      <c r="K317" s="151"/>
      <c r="L317" s="151"/>
    </row>
    <row r="318" spans="2:12" x14ac:dyDescent="0.3">
      <c r="B318" s="44"/>
      <c r="C318" s="44"/>
      <c r="D318" s="44"/>
      <c r="E318" s="149"/>
      <c r="F318" s="149"/>
      <c r="G318" s="149"/>
      <c r="H318" s="151"/>
      <c r="I318" s="151"/>
      <c r="J318" s="151"/>
      <c r="K318" s="151"/>
      <c r="L318" s="151"/>
    </row>
    <row r="319" spans="2:12" x14ac:dyDescent="0.3">
      <c r="B319" s="44"/>
      <c r="C319" s="44"/>
      <c r="D319" s="44"/>
      <c r="E319" s="149"/>
      <c r="F319" s="149"/>
      <c r="G319" s="149"/>
      <c r="H319" s="151"/>
      <c r="I319" s="151"/>
      <c r="J319" s="151"/>
      <c r="K319" s="151"/>
      <c r="L319" s="151"/>
    </row>
    <row r="320" spans="2:12" x14ac:dyDescent="0.3">
      <c r="B320" s="44"/>
      <c r="C320" s="44"/>
      <c r="D320" s="44"/>
      <c r="E320" s="149"/>
      <c r="F320" s="149"/>
      <c r="G320" s="149"/>
      <c r="H320" s="151"/>
      <c r="I320" s="151"/>
      <c r="J320" s="151"/>
      <c r="K320" s="151"/>
      <c r="L320" s="151"/>
    </row>
    <row r="321" spans="2:12" x14ac:dyDescent="0.3">
      <c r="B321" s="44"/>
      <c r="C321" s="44"/>
      <c r="D321" s="44"/>
      <c r="E321" s="149"/>
      <c r="F321" s="149"/>
      <c r="G321" s="149"/>
      <c r="H321" s="151"/>
      <c r="I321" s="151"/>
      <c r="J321" s="151"/>
      <c r="K321" s="151"/>
      <c r="L321" s="151"/>
    </row>
    <row r="322" spans="2:12" x14ac:dyDescent="0.3">
      <c r="B322" s="44"/>
      <c r="C322" s="44"/>
      <c r="D322" s="44"/>
      <c r="E322" s="149"/>
      <c r="F322" s="149"/>
      <c r="G322" s="149"/>
      <c r="H322" s="151"/>
      <c r="I322" s="151"/>
      <c r="J322" s="151"/>
      <c r="K322" s="151"/>
      <c r="L322" s="151"/>
    </row>
    <row r="323" spans="2:12" x14ac:dyDescent="0.3">
      <c r="B323" s="44"/>
      <c r="C323" s="44"/>
      <c r="D323" s="44"/>
      <c r="E323" s="149"/>
      <c r="F323" s="149"/>
      <c r="G323" s="149"/>
      <c r="H323" s="151"/>
      <c r="I323" s="151"/>
      <c r="J323" s="151"/>
      <c r="K323" s="151"/>
      <c r="L323" s="151"/>
    </row>
    <row r="324" spans="2:12" x14ac:dyDescent="0.3">
      <c r="B324" s="44"/>
      <c r="C324" s="44"/>
      <c r="D324" s="44"/>
      <c r="E324" s="149"/>
      <c r="F324" s="149"/>
      <c r="G324" s="149"/>
      <c r="H324" s="151"/>
      <c r="I324" s="151"/>
      <c r="J324" s="151"/>
      <c r="K324" s="151"/>
      <c r="L324" s="151"/>
    </row>
    <row r="325" spans="2:12" x14ac:dyDescent="0.3">
      <c r="B325" s="44"/>
      <c r="C325" s="44"/>
      <c r="D325" s="44"/>
      <c r="E325" s="149"/>
      <c r="F325" s="149"/>
      <c r="G325" s="149"/>
      <c r="H325" s="151"/>
      <c r="I325" s="151"/>
      <c r="J325" s="151"/>
      <c r="K325" s="151"/>
      <c r="L325" s="151"/>
    </row>
    <row r="326" spans="2:12" x14ac:dyDescent="0.3">
      <c r="B326" s="44"/>
      <c r="C326" s="44"/>
      <c r="D326" s="44"/>
      <c r="E326" s="149"/>
      <c r="F326" s="149"/>
      <c r="G326" s="149"/>
      <c r="H326" s="151"/>
      <c r="I326" s="151"/>
      <c r="J326" s="151"/>
      <c r="K326" s="151"/>
      <c r="L326" s="151"/>
    </row>
    <row r="327" spans="2:12" x14ac:dyDescent="0.3">
      <c r="B327" s="44"/>
      <c r="C327" s="44"/>
      <c r="D327" s="44"/>
      <c r="E327" s="149"/>
      <c r="F327" s="149"/>
      <c r="G327" s="149"/>
      <c r="H327" s="151"/>
      <c r="I327" s="151"/>
      <c r="J327" s="151"/>
      <c r="K327" s="151"/>
      <c r="L327" s="151"/>
    </row>
    <row r="328" spans="2:12" x14ac:dyDescent="0.3">
      <c r="B328" s="44"/>
      <c r="C328" s="44"/>
      <c r="D328" s="44"/>
      <c r="E328" s="149"/>
      <c r="F328" s="149"/>
      <c r="G328" s="149"/>
      <c r="H328" s="151"/>
      <c r="I328" s="151"/>
      <c r="J328" s="151"/>
      <c r="K328" s="151"/>
      <c r="L328" s="151"/>
    </row>
    <row r="329" spans="2:12" x14ac:dyDescent="0.3">
      <c r="B329" s="44"/>
      <c r="C329" s="44"/>
      <c r="D329" s="44"/>
      <c r="E329" s="149"/>
      <c r="F329" s="149"/>
      <c r="G329" s="149"/>
      <c r="H329" s="151"/>
      <c r="I329" s="151"/>
      <c r="J329" s="151"/>
      <c r="K329" s="151"/>
      <c r="L329" s="151"/>
    </row>
    <row r="330" spans="2:12" x14ac:dyDescent="0.3">
      <c r="B330" s="44"/>
      <c r="C330" s="44"/>
      <c r="D330" s="44"/>
      <c r="E330" s="149"/>
      <c r="F330" s="149"/>
      <c r="G330" s="149"/>
      <c r="H330" s="151"/>
      <c r="I330" s="151"/>
      <c r="J330" s="151"/>
      <c r="K330" s="151"/>
      <c r="L330" s="151"/>
    </row>
    <row r="331" spans="2:12" x14ac:dyDescent="0.3">
      <c r="B331" s="44"/>
      <c r="C331" s="44"/>
      <c r="D331" s="44"/>
      <c r="E331" s="149"/>
      <c r="F331" s="149"/>
      <c r="G331" s="149"/>
      <c r="H331" s="151"/>
      <c r="I331" s="151"/>
      <c r="J331" s="151"/>
      <c r="K331" s="151"/>
      <c r="L331" s="151"/>
    </row>
    <row r="332" spans="2:12" x14ac:dyDescent="0.3">
      <c r="B332" s="44"/>
      <c r="C332" s="44"/>
      <c r="D332" s="44"/>
      <c r="E332" s="149"/>
      <c r="F332" s="149"/>
      <c r="G332" s="149"/>
      <c r="H332" s="151"/>
      <c r="I332" s="151"/>
      <c r="J332" s="151"/>
      <c r="K332" s="151"/>
      <c r="L332" s="151"/>
    </row>
    <row r="333" spans="2:12" x14ac:dyDescent="0.3">
      <c r="B333" s="44"/>
      <c r="C333" s="44"/>
      <c r="D333" s="44"/>
      <c r="E333" s="149"/>
      <c r="F333" s="149"/>
      <c r="G333" s="149"/>
      <c r="H333" s="151"/>
      <c r="I333" s="151"/>
      <c r="J333" s="151"/>
      <c r="K333" s="151"/>
      <c r="L333" s="151"/>
    </row>
    <row r="334" spans="2:12" x14ac:dyDescent="0.3">
      <c r="B334" s="44"/>
      <c r="C334" s="44"/>
      <c r="D334" s="44"/>
      <c r="E334" s="149"/>
      <c r="F334" s="149"/>
      <c r="G334" s="149"/>
      <c r="H334" s="151"/>
      <c r="I334" s="151"/>
      <c r="J334" s="151"/>
      <c r="K334" s="151"/>
      <c r="L334" s="151"/>
    </row>
    <row r="335" spans="2:12" x14ac:dyDescent="0.3">
      <c r="B335" s="44"/>
      <c r="C335" s="44"/>
      <c r="D335" s="44"/>
      <c r="E335" s="149"/>
      <c r="F335" s="149"/>
      <c r="G335" s="149"/>
      <c r="H335" s="151"/>
      <c r="I335" s="151"/>
      <c r="J335" s="151"/>
      <c r="K335" s="151"/>
      <c r="L335" s="151"/>
    </row>
    <row r="336" spans="2:12" x14ac:dyDescent="0.3">
      <c r="B336" s="44"/>
      <c r="C336" s="44"/>
      <c r="D336" s="44"/>
      <c r="E336" s="149"/>
      <c r="F336" s="149"/>
      <c r="G336" s="149"/>
      <c r="H336" s="151"/>
      <c r="I336" s="151"/>
      <c r="J336" s="151"/>
      <c r="K336" s="151"/>
      <c r="L336" s="151"/>
    </row>
    <row r="337" spans="2:12" x14ac:dyDescent="0.3">
      <c r="B337" s="44"/>
      <c r="C337" s="44"/>
      <c r="D337" s="44"/>
      <c r="E337" s="149"/>
      <c r="F337" s="149"/>
      <c r="G337" s="149"/>
      <c r="H337" s="151"/>
      <c r="I337" s="151"/>
      <c r="J337" s="151"/>
      <c r="K337" s="151"/>
      <c r="L337" s="151"/>
    </row>
    <row r="338" spans="2:12" x14ac:dyDescent="0.3">
      <c r="B338" s="44"/>
      <c r="C338" s="44"/>
      <c r="D338" s="44"/>
      <c r="E338" s="149"/>
      <c r="F338" s="149"/>
      <c r="G338" s="149"/>
      <c r="H338" s="151"/>
      <c r="I338" s="151"/>
      <c r="J338" s="151"/>
      <c r="K338" s="151"/>
      <c r="L338" s="151"/>
    </row>
    <row r="339" spans="2:12" x14ac:dyDescent="0.3">
      <c r="B339" s="44"/>
      <c r="C339" s="44"/>
      <c r="D339" s="44"/>
      <c r="E339" s="149"/>
      <c r="F339" s="149"/>
      <c r="G339" s="149"/>
      <c r="H339" s="151"/>
      <c r="I339" s="151"/>
      <c r="J339" s="151"/>
      <c r="K339" s="151"/>
      <c r="L339" s="151"/>
    </row>
    <row r="340" spans="2:12" x14ac:dyDescent="0.3">
      <c r="B340" s="44"/>
      <c r="C340" s="44"/>
      <c r="D340" s="44"/>
      <c r="E340" s="149"/>
      <c r="F340" s="149"/>
      <c r="G340" s="149"/>
      <c r="H340" s="151"/>
      <c r="I340" s="151"/>
      <c r="J340" s="151"/>
      <c r="K340" s="151"/>
      <c r="L340" s="151"/>
    </row>
    <row r="341" spans="2:12" x14ac:dyDescent="0.3">
      <c r="B341" s="44"/>
      <c r="C341" s="44"/>
      <c r="D341" s="44"/>
      <c r="E341" s="149"/>
      <c r="F341" s="149"/>
      <c r="G341" s="149"/>
      <c r="H341" s="151"/>
      <c r="I341" s="151"/>
      <c r="J341" s="151"/>
      <c r="K341" s="151"/>
      <c r="L341" s="151"/>
    </row>
    <row r="342" spans="2:12" x14ac:dyDescent="0.3">
      <c r="B342" s="44"/>
      <c r="C342" s="44"/>
      <c r="D342" s="44"/>
      <c r="E342" s="149"/>
      <c r="F342" s="149"/>
      <c r="G342" s="149"/>
      <c r="H342" s="151"/>
      <c r="I342" s="151"/>
      <c r="J342" s="151"/>
      <c r="K342" s="151"/>
      <c r="L342" s="151"/>
    </row>
    <row r="343" spans="2:12" x14ac:dyDescent="0.3">
      <c r="B343" s="44"/>
      <c r="C343" s="44"/>
      <c r="D343" s="44"/>
      <c r="E343" s="149"/>
      <c r="F343" s="149"/>
      <c r="G343" s="149"/>
      <c r="H343" s="151"/>
      <c r="I343" s="151"/>
      <c r="J343" s="151"/>
      <c r="K343" s="151"/>
      <c r="L343" s="151"/>
    </row>
    <row r="344" spans="2:12" x14ac:dyDescent="0.3">
      <c r="B344" s="44"/>
      <c r="C344" s="44"/>
      <c r="D344" s="44"/>
      <c r="E344" s="149"/>
      <c r="F344" s="149"/>
      <c r="G344" s="149"/>
      <c r="H344" s="151"/>
      <c r="I344" s="151"/>
      <c r="J344" s="151"/>
      <c r="K344" s="151"/>
      <c r="L344" s="151"/>
    </row>
    <row r="345" spans="2:12" x14ac:dyDescent="0.3">
      <c r="B345" s="44"/>
      <c r="C345" s="44"/>
      <c r="D345" s="44"/>
      <c r="E345" s="149"/>
      <c r="F345" s="149"/>
      <c r="G345" s="149"/>
      <c r="H345" s="151"/>
      <c r="I345" s="151"/>
      <c r="J345" s="151"/>
      <c r="K345" s="151"/>
      <c r="L345" s="151"/>
    </row>
    <row r="346" spans="2:12" x14ac:dyDescent="0.3">
      <c r="B346" s="44"/>
      <c r="C346" s="44"/>
      <c r="D346" s="44"/>
      <c r="E346" s="149"/>
      <c r="F346" s="149"/>
      <c r="G346" s="149"/>
      <c r="H346" s="151"/>
      <c r="I346" s="151"/>
      <c r="J346" s="151"/>
      <c r="K346" s="151"/>
      <c r="L346" s="151"/>
    </row>
    <row r="347" spans="2:12" x14ac:dyDescent="0.3">
      <c r="B347" s="44"/>
      <c r="C347" s="44"/>
      <c r="D347" s="44"/>
      <c r="E347" s="149"/>
      <c r="F347" s="149"/>
      <c r="G347" s="149"/>
      <c r="H347" s="151"/>
      <c r="I347" s="151"/>
      <c r="J347" s="151"/>
      <c r="K347" s="151"/>
      <c r="L347" s="151"/>
    </row>
    <row r="348" spans="2:12" x14ac:dyDescent="0.3">
      <c r="B348" s="44"/>
      <c r="C348" s="44"/>
      <c r="D348" s="44"/>
      <c r="E348" s="149"/>
      <c r="F348" s="149"/>
      <c r="G348" s="149"/>
      <c r="H348" s="151"/>
      <c r="I348" s="151"/>
      <c r="J348" s="151"/>
      <c r="K348" s="151"/>
      <c r="L348" s="151"/>
    </row>
    <row r="349" spans="2:12" x14ac:dyDescent="0.3">
      <c r="B349" s="44"/>
      <c r="C349" s="44"/>
      <c r="D349" s="44"/>
      <c r="E349" s="149"/>
      <c r="F349" s="149"/>
      <c r="G349" s="149"/>
      <c r="H349" s="151"/>
      <c r="I349" s="151"/>
      <c r="J349" s="151"/>
      <c r="K349" s="151"/>
      <c r="L349" s="151"/>
    </row>
    <row r="350" spans="2:12" x14ac:dyDescent="0.3">
      <c r="B350" s="44"/>
      <c r="C350" s="44"/>
      <c r="D350" s="44"/>
      <c r="E350" s="149"/>
      <c r="F350" s="149"/>
      <c r="G350" s="149"/>
      <c r="H350" s="151"/>
      <c r="I350" s="151"/>
      <c r="J350" s="151"/>
      <c r="K350" s="151"/>
      <c r="L350" s="151"/>
    </row>
    <row r="351" spans="2:12" x14ac:dyDescent="0.3">
      <c r="B351" s="44"/>
      <c r="C351" s="44"/>
      <c r="D351" s="44"/>
      <c r="E351" s="149"/>
      <c r="F351" s="149"/>
      <c r="G351" s="149"/>
      <c r="H351" s="151"/>
      <c r="I351" s="151"/>
      <c r="J351" s="151"/>
      <c r="K351" s="151"/>
      <c r="L351" s="151"/>
    </row>
    <row r="352" spans="2:12" x14ac:dyDescent="0.3">
      <c r="B352" s="44"/>
      <c r="C352" s="44"/>
      <c r="D352" s="44"/>
      <c r="E352" s="149"/>
      <c r="F352" s="149"/>
      <c r="G352" s="149"/>
      <c r="H352" s="151"/>
      <c r="I352" s="151"/>
      <c r="J352" s="151"/>
      <c r="K352" s="151"/>
      <c r="L352" s="151"/>
    </row>
    <row r="353" spans="2:12" x14ac:dyDescent="0.3">
      <c r="B353" s="44"/>
      <c r="C353" s="44"/>
      <c r="D353" s="44"/>
      <c r="E353" s="149"/>
      <c r="F353" s="149"/>
      <c r="G353" s="149"/>
      <c r="H353" s="151"/>
      <c r="I353" s="151"/>
      <c r="J353" s="151"/>
      <c r="K353" s="151"/>
      <c r="L353" s="151"/>
    </row>
    <row r="354" spans="2:12" x14ac:dyDescent="0.3">
      <c r="B354" s="44"/>
      <c r="C354" s="44"/>
      <c r="D354" s="44"/>
      <c r="E354" s="149"/>
      <c r="F354" s="149"/>
      <c r="G354" s="149"/>
      <c r="H354" s="151"/>
      <c r="I354" s="151"/>
      <c r="J354" s="151"/>
      <c r="K354" s="151"/>
      <c r="L354" s="151"/>
    </row>
    <row r="355" spans="2:12" x14ac:dyDescent="0.3">
      <c r="B355" s="44"/>
      <c r="C355" s="44"/>
      <c r="D355" s="44"/>
      <c r="E355" s="149"/>
      <c r="F355" s="149"/>
      <c r="G355" s="149"/>
      <c r="H355" s="151"/>
      <c r="I355" s="151"/>
      <c r="J355" s="151"/>
      <c r="K355" s="151"/>
      <c r="L355" s="151"/>
    </row>
    <row r="356" spans="2:12" x14ac:dyDescent="0.3">
      <c r="B356" s="44"/>
      <c r="C356" s="44"/>
      <c r="D356" s="44"/>
      <c r="E356" s="149"/>
      <c r="F356" s="149"/>
      <c r="G356" s="149"/>
      <c r="H356" s="151"/>
      <c r="I356" s="151"/>
      <c r="J356" s="151"/>
      <c r="K356" s="151"/>
      <c r="L356" s="151"/>
    </row>
    <row r="357" spans="2:12" x14ac:dyDescent="0.3">
      <c r="B357" s="44"/>
      <c r="C357" s="44"/>
      <c r="D357" s="44"/>
      <c r="E357" s="149"/>
      <c r="F357" s="149"/>
      <c r="G357" s="149"/>
      <c r="H357" s="151"/>
      <c r="I357" s="151"/>
      <c r="J357" s="151"/>
      <c r="K357" s="151"/>
      <c r="L357" s="151"/>
    </row>
    <row r="358" spans="2:12" x14ac:dyDescent="0.3">
      <c r="B358" s="44"/>
      <c r="C358" s="44"/>
      <c r="D358" s="44"/>
      <c r="E358" s="149"/>
      <c r="F358" s="149"/>
      <c r="G358" s="149"/>
      <c r="H358" s="151"/>
      <c r="I358" s="151"/>
      <c r="J358" s="151"/>
      <c r="K358" s="151"/>
      <c r="L358" s="151"/>
    </row>
    <row r="359" spans="2:12" x14ac:dyDescent="0.3">
      <c r="B359" s="44"/>
      <c r="C359" s="44"/>
      <c r="D359" s="44"/>
      <c r="E359" s="149"/>
      <c r="F359" s="149"/>
      <c r="G359" s="149"/>
      <c r="H359" s="151"/>
      <c r="I359" s="151"/>
      <c r="J359" s="151"/>
      <c r="K359" s="151"/>
      <c r="L359" s="151"/>
    </row>
    <row r="360" spans="2:12" x14ac:dyDescent="0.3">
      <c r="B360" s="44"/>
      <c r="C360" s="44"/>
      <c r="D360" s="44"/>
      <c r="E360" s="149"/>
      <c r="F360" s="149"/>
      <c r="G360" s="149"/>
      <c r="H360" s="151"/>
      <c r="I360" s="151"/>
      <c r="J360" s="151"/>
      <c r="K360" s="151"/>
      <c r="L360" s="151"/>
    </row>
    <row r="361" spans="2:12" x14ac:dyDescent="0.3">
      <c r="B361" s="44"/>
      <c r="C361" s="44"/>
      <c r="D361" s="44"/>
      <c r="E361" s="149"/>
      <c r="F361" s="149"/>
      <c r="G361" s="149"/>
      <c r="H361" s="151"/>
      <c r="I361" s="151"/>
      <c r="J361" s="151"/>
      <c r="K361" s="151"/>
      <c r="L361" s="151"/>
    </row>
    <row r="362" spans="2:12" x14ac:dyDescent="0.3">
      <c r="B362" s="44"/>
      <c r="C362" s="44"/>
      <c r="D362" s="44"/>
      <c r="E362" s="149"/>
      <c r="F362" s="149"/>
      <c r="G362" s="149"/>
      <c r="H362" s="151"/>
      <c r="I362" s="151"/>
      <c r="J362" s="151"/>
      <c r="K362" s="151"/>
      <c r="L362" s="151"/>
    </row>
    <row r="363" spans="2:12" x14ac:dyDescent="0.3">
      <c r="B363" s="44"/>
      <c r="C363" s="44"/>
      <c r="D363" s="44"/>
      <c r="E363" s="149"/>
      <c r="F363" s="149"/>
      <c r="G363" s="149"/>
      <c r="H363" s="151"/>
      <c r="I363" s="151"/>
      <c r="J363" s="151"/>
      <c r="K363" s="151"/>
      <c r="L363" s="151"/>
    </row>
    <row r="364" spans="2:12" x14ac:dyDescent="0.3">
      <c r="B364" s="44"/>
      <c r="C364" s="44"/>
      <c r="D364" s="44"/>
      <c r="E364" s="149"/>
      <c r="F364" s="149"/>
      <c r="G364" s="149"/>
      <c r="H364" s="151"/>
      <c r="I364" s="151"/>
      <c r="J364" s="151"/>
      <c r="K364" s="151"/>
      <c r="L364" s="151"/>
    </row>
    <row r="365" spans="2:12" x14ac:dyDescent="0.3">
      <c r="B365" s="44"/>
      <c r="C365" s="44"/>
      <c r="D365" s="44"/>
      <c r="E365" s="149"/>
      <c r="F365" s="149"/>
      <c r="G365" s="149"/>
      <c r="H365" s="151"/>
      <c r="I365" s="151"/>
      <c r="J365" s="151"/>
      <c r="K365" s="151"/>
      <c r="L365" s="151"/>
    </row>
    <row r="366" spans="2:12" x14ac:dyDescent="0.3">
      <c r="B366" s="44"/>
      <c r="C366" s="44"/>
      <c r="D366" s="44"/>
      <c r="E366" s="149"/>
      <c r="F366" s="149"/>
      <c r="G366" s="149"/>
      <c r="H366" s="151"/>
      <c r="I366" s="151"/>
      <c r="J366" s="151"/>
      <c r="K366" s="151"/>
      <c r="L366" s="151"/>
    </row>
    <row r="367" spans="2:12" x14ac:dyDescent="0.3">
      <c r="B367" s="44"/>
      <c r="C367" s="44"/>
      <c r="D367" s="44"/>
      <c r="E367" s="149"/>
      <c r="F367" s="149"/>
      <c r="G367" s="149"/>
      <c r="H367" s="151"/>
      <c r="I367" s="151"/>
      <c r="J367" s="151"/>
      <c r="K367" s="151"/>
      <c r="L367" s="151"/>
    </row>
    <row r="368" spans="2:12" x14ac:dyDescent="0.3">
      <c r="B368" s="44"/>
      <c r="C368" s="44"/>
      <c r="D368" s="44"/>
      <c r="E368" s="149"/>
      <c r="F368" s="149"/>
      <c r="G368" s="149"/>
      <c r="H368" s="151"/>
      <c r="I368" s="151"/>
      <c r="J368" s="151"/>
      <c r="K368" s="151"/>
      <c r="L368" s="151"/>
    </row>
    <row r="369" spans="2:12" x14ac:dyDescent="0.3">
      <c r="B369" s="44"/>
      <c r="C369" s="44"/>
      <c r="D369" s="44"/>
      <c r="E369" s="149"/>
      <c r="F369" s="149"/>
      <c r="G369" s="149"/>
      <c r="H369" s="151"/>
      <c r="I369" s="151"/>
      <c r="J369" s="151"/>
      <c r="K369" s="151"/>
      <c r="L369" s="151"/>
    </row>
    <row r="370" spans="2:12" x14ac:dyDescent="0.3">
      <c r="B370" s="44"/>
      <c r="C370" s="44"/>
      <c r="D370" s="44"/>
      <c r="E370" s="149"/>
      <c r="F370" s="149"/>
      <c r="G370" s="149"/>
      <c r="H370" s="151"/>
      <c r="I370" s="151"/>
      <c r="J370" s="151"/>
      <c r="K370" s="151"/>
      <c r="L370" s="151"/>
    </row>
    <row r="371" spans="2:12" x14ac:dyDescent="0.3">
      <c r="B371" s="44"/>
      <c r="C371" s="44"/>
      <c r="D371" s="44"/>
      <c r="E371" s="149"/>
      <c r="F371" s="149"/>
      <c r="G371" s="149"/>
      <c r="H371" s="151"/>
      <c r="I371" s="151"/>
      <c r="J371" s="151"/>
      <c r="K371" s="151"/>
      <c r="L371" s="151"/>
    </row>
    <row r="372" spans="2:12" x14ac:dyDescent="0.3">
      <c r="B372" s="44"/>
      <c r="C372" s="44"/>
      <c r="D372" s="44"/>
      <c r="E372" s="149"/>
      <c r="F372" s="149"/>
      <c r="G372" s="149"/>
      <c r="H372" s="151"/>
      <c r="I372" s="151"/>
      <c r="J372" s="151"/>
      <c r="K372" s="151"/>
      <c r="L372" s="151"/>
    </row>
    <row r="373" spans="2:12" x14ac:dyDescent="0.3">
      <c r="B373" s="44"/>
      <c r="C373" s="44"/>
      <c r="D373" s="44"/>
      <c r="E373" s="149"/>
      <c r="F373" s="149"/>
      <c r="G373" s="149"/>
      <c r="H373" s="151"/>
      <c r="I373" s="151"/>
      <c r="J373" s="151"/>
      <c r="K373" s="151"/>
      <c r="L373" s="151"/>
    </row>
    <row r="374" spans="2:12" x14ac:dyDescent="0.3">
      <c r="B374" s="44"/>
      <c r="C374" s="44"/>
      <c r="D374" s="44"/>
      <c r="E374" s="149"/>
      <c r="F374" s="149"/>
      <c r="G374" s="149"/>
      <c r="H374" s="151"/>
      <c r="I374" s="151"/>
      <c r="J374" s="151"/>
      <c r="K374" s="151"/>
      <c r="L374" s="151"/>
    </row>
    <row r="375" spans="2:12" x14ac:dyDescent="0.3">
      <c r="B375" s="44"/>
      <c r="C375" s="44"/>
      <c r="D375" s="44"/>
      <c r="E375" s="149"/>
      <c r="F375" s="149"/>
      <c r="G375" s="149"/>
      <c r="H375" s="151"/>
      <c r="I375" s="151"/>
      <c r="J375" s="151"/>
      <c r="K375" s="151"/>
      <c r="L375" s="151"/>
    </row>
    <row r="376" spans="2:12" x14ac:dyDescent="0.3">
      <c r="B376" s="44"/>
      <c r="C376" s="44"/>
      <c r="D376" s="44"/>
      <c r="E376" s="149"/>
      <c r="F376" s="149"/>
      <c r="G376" s="149"/>
      <c r="H376" s="151"/>
      <c r="I376" s="151"/>
      <c r="J376" s="151"/>
      <c r="K376" s="151"/>
      <c r="L376" s="151"/>
    </row>
    <row r="377" spans="2:12" x14ac:dyDescent="0.3">
      <c r="B377" s="44"/>
      <c r="C377" s="44"/>
      <c r="D377" s="44"/>
      <c r="E377" s="149"/>
      <c r="F377" s="149"/>
      <c r="G377" s="149"/>
      <c r="H377" s="151"/>
      <c r="I377" s="151"/>
      <c r="J377" s="151"/>
      <c r="K377" s="151"/>
      <c r="L377" s="151"/>
    </row>
    <row r="378" spans="2:12" x14ac:dyDescent="0.3">
      <c r="B378" s="44"/>
      <c r="C378" s="44"/>
      <c r="D378" s="44"/>
      <c r="E378" s="149"/>
      <c r="F378" s="149"/>
      <c r="G378" s="149"/>
      <c r="H378" s="151"/>
      <c r="I378" s="151"/>
      <c r="J378" s="151"/>
      <c r="K378" s="151"/>
      <c r="L378" s="151"/>
    </row>
    <row r="379" spans="2:12" x14ac:dyDescent="0.3">
      <c r="B379" s="44"/>
      <c r="C379" s="44"/>
      <c r="D379" s="44"/>
      <c r="E379" s="149"/>
      <c r="F379" s="149"/>
      <c r="G379" s="149"/>
      <c r="H379" s="151"/>
      <c r="I379" s="151"/>
      <c r="J379" s="151"/>
      <c r="K379" s="151"/>
      <c r="L379" s="151"/>
    </row>
    <row r="380" spans="2:12" x14ac:dyDescent="0.3">
      <c r="B380" s="44"/>
      <c r="C380" s="44"/>
      <c r="D380" s="44"/>
      <c r="E380" s="149"/>
      <c r="F380" s="149"/>
      <c r="G380" s="149"/>
      <c r="H380" s="151"/>
      <c r="I380" s="151"/>
      <c r="J380" s="151"/>
      <c r="K380" s="151"/>
      <c r="L380" s="151"/>
    </row>
    <row r="381" spans="2:12" x14ac:dyDescent="0.3">
      <c r="B381" s="44"/>
      <c r="C381" s="44"/>
      <c r="D381" s="44"/>
      <c r="E381" s="149"/>
      <c r="F381" s="149"/>
      <c r="G381" s="149"/>
      <c r="H381" s="151"/>
      <c r="I381" s="151"/>
      <c r="J381" s="151"/>
      <c r="K381" s="151"/>
      <c r="L381" s="151"/>
    </row>
    <row r="382" spans="2:12" x14ac:dyDescent="0.3">
      <c r="B382" s="44"/>
      <c r="C382" s="44"/>
      <c r="D382" s="44"/>
      <c r="E382" s="149"/>
      <c r="F382" s="149"/>
      <c r="G382" s="149"/>
      <c r="H382" s="151"/>
      <c r="I382" s="151"/>
      <c r="J382" s="151"/>
      <c r="K382" s="151"/>
      <c r="L382" s="151"/>
    </row>
    <row r="383" spans="2:12" x14ac:dyDescent="0.3">
      <c r="B383" s="44"/>
      <c r="C383" s="44"/>
      <c r="D383" s="44"/>
      <c r="E383" s="149"/>
      <c r="F383" s="149"/>
      <c r="G383" s="149"/>
      <c r="H383" s="151"/>
      <c r="I383" s="151"/>
      <c r="J383" s="151"/>
      <c r="K383" s="151"/>
      <c r="L383" s="151"/>
    </row>
    <row r="384" spans="2:12" x14ac:dyDescent="0.3">
      <c r="B384" s="44"/>
      <c r="C384" s="44"/>
      <c r="D384" s="44"/>
      <c r="E384" s="149"/>
      <c r="F384" s="149"/>
      <c r="G384" s="149"/>
      <c r="H384" s="151"/>
      <c r="I384" s="151"/>
      <c r="J384" s="151"/>
      <c r="K384" s="151"/>
      <c r="L384" s="151"/>
    </row>
    <row r="385" spans="2:12" x14ac:dyDescent="0.3">
      <c r="B385" s="44"/>
      <c r="C385" s="44"/>
      <c r="D385" s="44"/>
      <c r="E385" s="149"/>
      <c r="F385" s="149"/>
      <c r="G385" s="149"/>
      <c r="H385" s="151"/>
      <c r="I385" s="151"/>
      <c r="J385" s="151"/>
      <c r="K385" s="151"/>
      <c r="L385" s="151"/>
    </row>
    <row r="386" spans="2:12" x14ac:dyDescent="0.3">
      <c r="B386" s="44"/>
      <c r="C386" s="44"/>
      <c r="D386" s="44"/>
      <c r="E386" s="149"/>
      <c r="F386" s="149"/>
      <c r="G386" s="149"/>
      <c r="H386" s="151"/>
      <c r="I386" s="151"/>
      <c r="J386" s="151"/>
      <c r="K386" s="151"/>
      <c r="L386" s="151"/>
    </row>
    <row r="387" spans="2:12" x14ac:dyDescent="0.3">
      <c r="B387" s="44"/>
      <c r="C387" s="44"/>
      <c r="D387" s="44"/>
      <c r="E387" s="149"/>
      <c r="F387" s="149"/>
      <c r="G387" s="149"/>
      <c r="H387" s="151"/>
      <c r="I387" s="151"/>
      <c r="J387" s="151"/>
      <c r="K387" s="151"/>
      <c r="L387" s="151"/>
    </row>
    <row r="388" spans="2:12" x14ac:dyDescent="0.3">
      <c r="B388" s="44"/>
      <c r="C388" s="44"/>
      <c r="D388" s="44"/>
      <c r="E388" s="149"/>
      <c r="F388" s="149"/>
      <c r="G388" s="149"/>
      <c r="H388" s="151"/>
      <c r="I388" s="151"/>
      <c r="J388" s="151"/>
      <c r="K388" s="151"/>
      <c r="L388" s="151"/>
    </row>
    <row r="389" spans="2:12" x14ac:dyDescent="0.3">
      <c r="B389" s="44"/>
      <c r="C389" s="44"/>
      <c r="D389" s="44"/>
      <c r="E389" s="149"/>
      <c r="F389" s="149"/>
      <c r="G389" s="149"/>
      <c r="H389" s="151"/>
      <c r="I389" s="151"/>
      <c r="J389" s="151"/>
      <c r="K389" s="151"/>
      <c r="L389" s="151"/>
    </row>
    <row r="426" spans="13:13" x14ac:dyDescent="0.3">
      <c r="M426" s="26"/>
    </row>
  </sheetData>
  <mergeCells count="15">
    <mergeCell ref="B1:M1"/>
    <mergeCell ref="M26:N26"/>
    <mergeCell ref="P26:Q26"/>
    <mergeCell ref="S26:T26"/>
    <mergeCell ref="V26:W26"/>
    <mergeCell ref="M3:M4"/>
    <mergeCell ref="Y26:Z26"/>
    <mergeCell ref="AT26:AU26"/>
    <mergeCell ref="T60:V60"/>
    <mergeCell ref="AB26:AC26"/>
    <mergeCell ref="AE26:AF26"/>
    <mergeCell ref="AH26:AI26"/>
    <mergeCell ref="AK26:AL26"/>
    <mergeCell ref="AN26:AO26"/>
    <mergeCell ref="AQ26:AR26"/>
  </mergeCells>
  <phoneticPr fontId="3" type="noConversion"/>
  <conditionalFormatting sqref="C7:O16">
    <cfRule type="expression" dxfId="88" priority="1">
      <formula>$I7=0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9" orientation="portrait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7030A0"/>
    <pageSetUpPr autoPageBreaks="0" fitToPage="1"/>
  </sheetPr>
  <dimension ref="A1:AZ426"/>
  <sheetViews>
    <sheetView showGridLines="0" zoomScaleNormal="100" workbookViewId="0">
      <selection activeCell="E11" sqref="E11"/>
    </sheetView>
  </sheetViews>
  <sheetFormatPr defaultRowHeight="16.5" x14ac:dyDescent="0.3"/>
  <cols>
    <col min="1" max="1" width="4.625" customWidth="1"/>
    <col min="2" max="2" width="4.625" style="25" customWidth="1"/>
    <col min="3" max="3" width="10.625" style="25" customWidth="1"/>
    <col min="4" max="5" width="20.375" style="25" customWidth="1"/>
    <col min="6" max="8" width="10.625" style="147" customWidth="1"/>
    <col min="9" max="14" width="10.625" style="150" customWidth="1"/>
    <col min="15" max="16" width="10.625" style="158" customWidth="1"/>
    <col min="17" max="19" width="10.625" customWidth="1"/>
    <col min="20" max="20" width="4.625" customWidth="1"/>
    <col min="21" max="52" width="9.375" customWidth="1"/>
    <col min="53" max="53" width="4.75" customWidth="1"/>
  </cols>
  <sheetData>
    <row r="1" spans="1:41" ht="40.5" customHeight="1" x14ac:dyDescent="0.3">
      <c r="A1" s="10"/>
      <c r="B1" s="543" t="s">
        <v>153</v>
      </c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10"/>
      <c r="S1" s="10"/>
      <c r="T1" s="10"/>
    </row>
    <row r="2" spans="1:41" ht="16.5" customHeight="1" thickBot="1" x14ac:dyDescent="0.35">
      <c r="O2" s="161"/>
      <c r="P2" s="161"/>
    </row>
    <row r="3" spans="1:41" ht="24.95" customHeight="1" x14ac:dyDescent="0.3">
      <c r="O3" s="161"/>
      <c r="P3" s="161"/>
      <c r="Q3" s="584" t="s">
        <v>57</v>
      </c>
      <c r="R3" s="156" t="s">
        <v>166</v>
      </c>
      <c r="S3" s="155" t="s">
        <v>79</v>
      </c>
    </row>
    <row r="4" spans="1:41" ht="24.95" customHeight="1" thickBot="1" x14ac:dyDescent="0.35">
      <c r="O4" s="161"/>
      <c r="P4" s="161"/>
      <c r="Q4" s="585"/>
      <c r="R4" s="163">
        <f ca="1">SUM($P$7:$P$16)</f>
        <v>41100000</v>
      </c>
      <c r="S4" s="162">
        <f>SUM($S$7:$S$16)</f>
        <v>109284218</v>
      </c>
    </row>
    <row r="5" spans="1:41" ht="16.5" customHeight="1" thickBot="1" x14ac:dyDescent="0.35">
      <c r="O5" s="161"/>
      <c r="P5" s="161"/>
    </row>
    <row r="6" spans="1:41" ht="24.95" customHeight="1" thickBot="1" x14ac:dyDescent="0.35">
      <c r="B6" s="29" t="s">
        <v>139</v>
      </c>
      <c r="C6" s="29" t="s">
        <v>142</v>
      </c>
      <c r="D6" s="29" t="s">
        <v>144</v>
      </c>
      <c r="E6" s="29" t="s">
        <v>54</v>
      </c>
      <c r="F6" s="30" t="s">
        <v>73</v>
      </c>
      <c r="G6" s="30" t="s">
        <v>74</v>
      </c>
      <c r="H6" s="30" t="s">
        <v>75</v>
      </c>
      <c r="I6" s="30" t="s">
        <v>48</v>
      </c>
      <c r="J6" s="30" t="s">
        <v>51</v>
      </c>
      <c r="K6" s="30" t="s">
        <v>150</v>
      </c>
      <c r="L6" s="29" t="s">
        <v>47</v>
      </c>
      <c r="M6" s="30" t="s">
        <v>46</v>
      </c>
      <c r="N6" s="30" t="s">
        <v>151</v>
      </c>
      <c r="O6" s="160" t="s">
        <v>167</v>
      </c>
      <c r="P6" s="160" t="s">
        <v>166</v>
      </c>
      <c r="Q6" s="30" t="s">
        <v>117</v>
      </c>
      <c r="R6" s="30" t="s">
        <v>118</v>
      </c>
      <c r="S6" s="31" t="s">
        <v>79</v>
      </c>
    </row>
    <row r="7" spans="1:41" ht="24.95" customHeight="1" x14ac:dyDescent="0.3">
      <c r="B7" s="140">
        <v>1</v>
      </c>
      <c r="C7" s="140" t="s">
        <v>231</v>
      </c>
      <c r="D7" s="140" t="s">
        <v>230</v>
      </c>
      <c r="E7" s="357"/>
      <c r="F7" s="148">
        <v>44594</v>
      </c>
      <c r="G7" s="148">
        <v>46055</v>
      </c>
      <c r="H7" s="192" t="str">
        <f>IF(I7="","",IF(I7&gt;37,"장기",IF(I7&lt;36,"단기","중기")))</f>
        <v>장기</v>
      </c>
      <c r="I7" s="188">
        <f>IF(G7="","",DATEDIF(F7,G7+1,"m"))</f>
        <v>48</v>
      </c>
      <c r="J7" s="188">
        <f ca="1">IF(G7="","",IF(G7&lt;TODAY(),0,DATEDIF(TODAY(),G7,"m")))</f>
        <v>2</v>
      </c>
      <c r="K7" s="40">
        <v>500000</v>
      </c>
      <c r="L7" s="130">
        <v>0.05</v>
      </c>
      <c r="M7" s="189">
        <v>0</v>
      </c>
      <c r="N7" s="193" t="s">
        <v>232</v>
      </c>
      <c r="O7" s="194">
        <f>IF(K7="","",I7*K7)</f>
        <v>24000000</v>
      </c>
      <c r="P7" s="194">
        <f ca="1">IF(K7="","",(K7*I7)-(K7*J7))</f>
        <v>23000000</v>
      </c>
      <c r="Q7" s="190">
        <f>IF(L7="","",IF(N7="단리",K7*((I7*(I7+1))/2*(L7/12)),IF(N7="월복리",-FV(L7/12,I7,K7,0,1)-K7*I7,"")))</f>
        <v>2450000</v>
      </c>
      <c r="R7" s="190">
        <f t="shared" ref="R7:R8" si="0">IF(Q7="","",Q7-(Q7*M7))</f>
        <v>2450000</v>
      </c>
      <c r="S7" s="196">
        <f>IF(L7="","",O7+R7)</f>
        <v>26450000</v>
      </c>
    </row>
    <row r="8" spans="1:41" ht="24.95" customHeight="1" x14ac:dyDescent="0.2">
      <c r="B8" s="140">
        <v>2</v>
      </c>
      <c r="C8" s="140" t="s">
        <v>233</v>
      </c>
      <c r="D8" s="140" t="s">
        <v>234</v>
      </c>
      <c r="E8" s="357"/>
      <c r="F8" s="148">
        <v>40476</v>
      </c>
      <c r="G8" s="148">
        <v>56912</v>
      </c>
      <c r="H8" s="192" t="str">
        <f t="shared" ref="H8:H16" si="1">IF(I8="","",IF(I8&gt;37,"장기",IF(I8&lt;36,"단기","중기")))</f>
        <v>장기</v>
      </c>
      <c r="I8" s="188">
        <f>IF(G8="","",DATEDIF(F8,G8+1,"m"))</f>
        <v>540</v>
      </c>
      <c r="J8" s="188">
        <f t="shared" ref="J8:J16" ca="1" si="2">IF(G8="","",IF(G8&lt;TODAY(),0,DATEDIF(TODAY(),G8,"m")))</f>
        <v>359</v>
      </c>
      <c r="K8" s="40">
        <v>100000</v>
      </c>
      <c r="L8" s="130">
        <v>2.8000000000000001E-2</v>
      </c>
      <c r="M8" s="189">
        <v>0.154</v>
      </c>
      <c r="N8" s="193" t="s">
        <v>232</v>
      </c>
      <c r="O8" s="194">
        <f t="shared" ref="O8:O16" si="3">IF(K8="","",I8*K8)</f>
        <v>54000000</v>
      </c>
      <c r="P8" s="194">
        <f ca="1">IF(K8="","",(K8*I8)-(K8*J8))</f>
        <v>18100000</v>
      </c>
      <c r="Q8" s="190">
        <f t="shared" ref="Q8:Q16" si="4">IF(L8="","",IF(N8="단리",K8*((I8*(I8+1))/2*(L8/12)),IF(N8="월복리",-FV(L8/12,I8,K8,0,1)-K8*I8,"")))</f>
        <v>34083000.000000007</v>
      </c>
      <c r="R8" s="190">
        <f t="shared" si="0"/>
        <v>28834218.000000007</v>
      </c>
      <c r="S8" s="196">
        <f t="shared" ref="S8:S16" si="5">IF(L8="","",O8+R8)</f>
        <v>82834218</v>
      </c>
      <c r="AF8" s="28"/>
      <c r="AO8" s="43"/>
    </row>
    <row r="9" spans="1:41" ht="24.95" customHeight="1" x14ac:dyDescent="0.3">
      <c r="B9" s="140">
        <v>3</v>
      </c>
      <c r="C9" s="140"/>
      <c r="D9" s="140"/>
      <c r="E9" s="357"/>
      <c r="F9" s="148"/>
      <c r="G9" s="148"/>
      <c r="H9" s="192" t="str">
        <f t="shared" si="1"/>
        <v/>
      </c>
      <c r="I9" s="188" t="str">
        <f>IF(G9="","",DATEDIF(F9,G9+1,"m"))</f>
        <v/>
      </c>
      <c r="J9" s="188" t="str">
        <f t="shared" ca="1" si="2"/>
        <v/>
      </c>
      <c r="K9" s="40"/>
      <c r="L9" s="130"/>
      <c r="M9" s="189"/>
      <c r="N9" s="193"/>
      <c r="O9" s="194" t="str">
        <f t="shared" si="3"/>
        <v/>
      </c>
      <c r="P9" s="194" t="str">
        <f t="shared" ref="P9:P16" si="6">IF(K9="","",(K9*I9)-(K9*J9))</f>
        <v/>
      </c>
      <c r="Q9" s="190" t="str">
        <f t="shared" si="4"/>
        <v/>
      </c>
      <c r="R9" s="190" t="str">
        <f>IF(Q9="","",Q9-(Q9*M9))</f>
        <v/>
      </c>
      <c r="S9" s="196" t="str">
        <f t="shared" si="5"/>
        <v/>
      </c>
    </row>
    <row r="10" spans="1:41" ht="24.95" customHeight="1" x14ac:dyDescent="0.3">
      <c r="B10" s="140">
        <v>4</v>
      </c>
      <c r="C10" s="140"/>
      <c r="D10" s="140"/>
      <c r="E10" s="357"/>
      <c r="F10" s="148"/>
      <c r="G10" s="148"/>
      <c r="H10" s="192" t="str">
        <f t="shared" si="1"/>
        <v/>
      </c>
      <c r="I10" s="188" t="str">
        <f t="shared" ref="I10:I16" si="7">IF(G10="","",DATEDIF(F10,G10+1,"m"))</f>
        <v/>
      </c>
      <c r="J10" s="188" t="str">
        <f t="shared" ca="1" si="2"/>
        <v/>
      </c>
      <c r="K10" s="40"/>
      <c r="L10" s="130"/>
      <c r="M10" s="189"/>
      <c r="N10" s="193"/>
      <c r="O10" s="194" t="str">
        <f t="shared" si="3"/>
        <v/>
      </c>
      <c r="P10" s="194" t="str">
        <f>IF(K10="","",(K10*I10)-(K10*J10))</f>
        <v/>
      </c>
      <c r="Q10" s="190" t="str">
        <f t="shared" si="4"/>
        <v/>
      </c>
      <c r="R10" s="190" t="str">
        <f t="shared" ref="R10:R16" si="8">IF(Q10="","",Q10-(Q10*M10))</f>
        <v/>
      </c>
      <c r="S10" s="196" t="str">
        <f t="shared" si="5"/>
        <v/>
      </c>
    </row>
    <row r="11" spans="1:41" ht="24.95" customHeight="1" x14ac:dyDescent="0.3">
      <c r="B11" s="140">
        <v>5</v>
      </c>
      <c r="C11" s="140"/>
      <c r="D11" s="140"/>
      <c r="E11" s="357"/>
      <c r="F11" s="148"/>
      <c r="G11" s="148"/>
      <c r="H11" s="192" t="str">
        <f t="shared" si="1"/>
        <v/>
      </c>
      <c r="I11" s="188" t="str">
        <f t="shared" si="7"/>
        <v/>
      </c>
      <c r="J11" s="188" t="str">
        <f t="shared" ca="1" si="2"/>
        <v/>
      </c>
      <c r="K11" s="40"/>
      <c r="L11" s="130"/>
      <c r="M11" s="189"/>
      <c r="N11" s="193"/>
      <c r="O11" s="194" t="str">
        <f t="shared" si="3"/>
        <v/>
      </c>
      <c r="P11" s="194" t="str">
        <f t="shared" si="6"/>
        <v/>
      </c>
      <c r="Q11" s="190" t="str">
        <f t="shared" si="4"/>
        <v/>
      </c>
      <c r="R11" s="190" t="str">
        <f t="shared" si="8"/>
        <v/>
      </c>
      <c r="S11" s="196" t="str">
        <f t="shared" si="5"/>
        <v/>
      </c>
    </row>
    <row r="12" spans="1:41" ht="24.95" customHeight="1" x14ac:dyDescent="0.3">
      <c r="B12" s="466">
        <v>6</v>
      </c>
      <c r="C12" s="466"/>
      <c r="D12" s="466"/>
      <c r="E12" s="467"/>
      <c r="F12" s="164"/>
      <c r="G12" s="164"/>
      <c r="H12" s="192" t="str">
        <f t="shared" si="1"/>
        <v/>
      </c>
      <c r="I12" s="468" t="str">
        <f t="shared" si="7"/>
        <v/>
      </c>
      <c r="J12" s="468" t="str">
        <f t="shared" ca="1" si="2"/>
        <v/>
      </c>
      <c r="K12" s="41"/>
      <c r="L12" s="469"/>
      <c r="M12" s="470"/>
      <c r="N12" s="471"/>
      <c r="O12" s="472" t="str">
        <f t="shared" si="3"/>
        <v/>
      </c>
      <c r="P12" s="472" t="str">
        <f t="shared" si="6"/>
        <v/>
      </c>
      <c r="Q12" s="195" t="str">
        <f t="shared" si="4"/>
        <v/>
      </c>
      <c r="R12" s="195" t="str">
        <f t="shared" si="8"/>
        <v/>
      </c>
      <c r="S12" s="473" t="str">
        <f t="shared" si="5"/>
        <v/>
      </c>
    </row>
    <row r="13" spans="1:41" ht="24.95" customHeight="1" x14ac:dyDescent="0.3">
      <c r="B13" s="140">
        <v>7</v>
      </c>
      <c r="C13" s="140"/>
      <c r="D13" s="140"/>
      <c r="E13" s="357"/>
      <c r="F13" s="148"/>
      <c r="G13" s="148"/>
      <c r="H13" s="192" t="str">
        <f t="shared" si="1"/>
        <v/>
      </c>
      <c r="I13" s="188" t="str">
        <f t="shared" si="7"/>
        <v/>
      </c>
      <c r="J13" s="188" t="str">
        <f t="shared" ca="1" si="2"/>
        <v/>
      </c>
      <c r="K13" s="40"/>
      <c r="L13" s="130"/>
      <c r="M13" s="189"/>
      <c r="N13" s="193"/>
      <c r="O13" s="194" t="str">
        <f t="shared" si="3"/>
        <v/>
      </c>
      <c r="P13" s="194" t="str">
        <f>IF(K13="","",(K13*I13)-(K13*J13))</f>
        <v/>
      </c>
      <c r="Q13" s="190" t="str">
        <f t="shared" si="4"/>
        <v/>
      </c>
      <c r="R13" s="190" t="str">
        <f t="shared" si="8"/>
        <v/>
      </c>
      <c r="S13" s="196" t="str">
        <f t="shared" si="5"/>
        <v/>
      </c>
    </row>
    <row r="14" spans="1:41" ht="24.95" customHeight="1" x14ac:dyDescent="0.3">
      <c r="B14" s="140">
        <v>8</v>
      </c>
      <c r="C14" s="140"/>
      <c r="D14" s="140"/>
      <c r="E14" s="357"/>
      <c r="F14" s="148"/>
      <c r="G14" s="148"/>
      <c r="H14" s="192" t="str">
        <f t="shared" si="1"/>
        <v/>
      </c>
      <c r="I14" s="188" t="str">
        <f t="shared" si="7"/>
        <v/>
      </c>
      <c r="J14" s="188" t="str">
        <f t="shared" ca="1" si="2"/>
        <v/>
      </c>
      <c r="K14" s="40"/>
      <c r="L14" s="130"/>
      <c r="M14" s="189"/>
      <c r="N14" s="193"/>
      <c r="O14" s="194" t="str">
        <f t="shared" si="3"/>
        <v/>
      </c>
      <c r="P14" s="194" t="str">
        <f t="shared" si="6"/>
        <v/>
      </c>
      <c r="Q14" s="190" t="str">
        <f t="shared" si="4"/>
        <v/>
      </c>
      <c r="R14" s="190" t="str">
        <f t="shared" si="8"/>
        <v/>
      </c>
      <c r="S14" s="196" t="str">
        <f t="shared" si="5"/>
        <v/>
      </c>
    </row>
    <row r="15" spans="1:41" ht="24.95" customHeight="1" x14ac:dyDescent="0.3">
      <c r="B15" s="140">
        <v>9</v>
      </c>
      <c r="C15" s="140"/>
      <c r="D15" s="140"/>
      <c r="E15" s="357"/>
      <c r="F15" s="148"/>
      <c r="G15" s="148"/>
      <c r="H15" s="192" t="str">
        <f t="shared" si="1"/>
        <v/>
      </c>
      <c r="I15" s="188" t="str">
        <f t="shared" si="7"/>
        <v/>
      </c>
      <c r="J15" s="188" t="str">
        <f t="shared" ca="1" si="2"/>
        <v/>
      </c>
      <c r="K15" s="40"/>
      <c r="L15" s="130"/>
      <c r="M15" s="189"/>
      <c r="N15" s="193"/>
      <c r="O15" s="194" t="str">
        <f t="shared" si="3"/>
        <v/>
      </c>
      <c r="P15" s="194" t="str">
        <f t="shared" si="6"/>
        <v/>
      </c>
      <c r="Q15" s="190" t="str">
        <f t="shared" si="4"/>
        <v/>
      </c>
      <c r="R15" s="190" t="str">
        <f t="shared" si="8"/>
        <v/>
      </c>
      <c r="S15" s="196" t="str">
        <f t="shared" si="5"/>
        <v/>
      </c>
    </row>
    <row r="16" spans="1:41" ht="24.95" customHeight="1" x14ac:dyDescent="0.3">
      <c r="B16" s="140">
        <v>10</v>
      </c>
      <c r="C16" s="140"/>
      <c r="D16" s="140"/>
      <c r="E16" s="357"/>
      <c r="F16" s="148"/>
      <c r="G16" s="148"/>
      <c r="H16" s="192" t="str">
        <f t="shared" si="1"/>
        <v/>
      </c>
      <c r="I16" s="188" t="str">
        <f t="shared" si="7"/>
        <v/>
      </c>
      <c r="J16" s="188" t="str">
        <f t="shared" ca="1" si="2"/>
        <v/>
      </c>
      <c r="K16" s="40"/>
      <c r="L16" s="130"/>
      <c r="M16" s="189"/>
      <c r="N16" s="193"/>
      <c r="O16" s="194" t="str">
        <f t="shared" si="3"/>
        <v/>
      </c>
      <c r="P16" s="194" t="str">
        <f t="shared" si="6"/>
        <v/>
      </c>
      <c r="Q16" s="190" t="str">
        <f t="shared" si="4"/>
        <v/>
      </c>
      <c r="R16" s="190" t="str">
        <f t="shared" si="8"/>
        <v/>
      </c>
      <c r="S16" s="196" t="str">
        <f t="shared" si="5"/>
        <v/>
      </c>
    </row>
    <row r="17" spans="2:52" ht="24.95" customHeight="1" x14ac:dyDescent="0.3">
      <c r="B17" s="44"/>
      <c r="C17" s="44"/>
      <c r="D17" s="44"/>
      <c r="E17" s="44"/>
      <c r="F17" s="149"/>
      <c r="G17" s="149"/>
      <c r="H17" s="149"/>
      <c r="I17" s="151"/>
      <c r="J17" s="151"/>
      <c r="K17" s="151"/>
      <c r="L17" s="151"/>
      <c r="M17" s="151"/>
      <c r="N17" s="151"/>
      <c r="O17" s="378"/>
      <c r="P17" s="159"/>
    </row>
    <row r="18" spans="2:52" ht="24.95" customHeight="1" x14ac:dyDescent="0.3">
      <c r="F18" s="25"/>
      <c r="G18" s="25"/>
      <c r="H18" s="25"/>
      <c r="I18" s="25"/>
      <c r="J18" s="25"/>
      <c r="K18" s="151"/>
      <c r="L18" s="151"/>
      <c r="M18" s="151"/>
      <c r="N18" s="151"/>
      <c r="O18" s="378"/>
      <c r="P18" s="159"/>
    </row>
    <row r="19" spans="2:52" ht="24.95" customHeight="1" x14ac:dyDescent="0.3">
      <c r="F19" s="25"/>
      <c r="G19" s="25"/>
      <c r="H19" s="25"/>
      <c r="I19" s="25"/>
      <c r="J19" s="25"/>
      <c r="K19" s="151"/>
      <c r="L19" s="151"/>
      <c r="M19" s="151"/>
      <c r="N19" s="151"/>
      <c r="O19" s="159"/>
      <c r="P19" s="159"/>
    </row>
    <row r="20" spans="2:52" ht="24.95" customHeight="1" x14ac:dyDescent="0.3">
      <c r="F20" s="25"/>
      <c r="G20" s="25"/>
      <c r="H20" s="25"/>
      <c r="I20" s="25"/>
      <c r="J20" s="25"/>
      <c r="K20" s="151"/>
      <c r="L20" s="151"/>
      <c r="M20" s="151"/>
      <c r="N20" s="151"/>
      <c r="O20" s="159"/>
      <c r="P20" s="159"/>
    </row>
    <row r="21" spans="2:52" ht="24.95" customHeight="1" x14ac:dyDescent="0.3">
      <c r="F21" s="25"/>
      <c r="G21" s="25"/>
      <c r="H21" s="25"/>
      <c r="I21" s="25"/>
      <c r="J21" s="25"/>
      <c r="K21" s="151"/>
      <c r="L21" s="151"/>
      <c r="M21" s="151"/>
      <c r="N21" s="151"/>
      <c r="O21" s="159"/>
      <c r="P21" s="159"/>
    </row>
    <row r="22" spans="2:52" ht="24.95" customHeight="1" x14ac:dyDescent="0.3">
      <c r="F22" s="25"/>
      <c r="G22" s="25"/>
      <c r="H22" s="25"/>
      <c r="I22" s="25"/>
      <c r="J22" s="25"/>
      <c r="K22" s="151"/>
      <c r="L22" s="151"/>
      <c r="M22" s="151"/>
      <c r="N22" s="151"/>
      <c r="O22" s="159"/>
      <c r="P22" s="159"/>
      <c r="W22" s="1"/>
      <c r="X22" s="1"/>
      <c r="Y22" s="1"/>
    </row>
    <row r="23" spans="2:52" ht="24.95" customHeight="1" x14ac:dyDescent="0.3">
      <c r="B23" s="44"/>
      <c r="C23" s="44"/>
      <c r="D23" s="44"/>
      <c r="E23" s="44"/>
      <c r="F23" s="149"/>
      <c r="G23" s="149"/>
      <c r="H23" s="149"/>
      <c r="I23" s="151"/>
      <c r="J23" s="151"/>
      <c r="K23" s="151"/>
      <c r="L23" s="151"/>
      <c r="M23" s="151"/>
      <c r="N23" s="151"/>
      <c r="O23" s="159"/>
      <c r="P23" s="159"/>
      <c r="Q23" s="44"/>
      <c r="W23" s="1"/>
      <c r="X23" s="1"/>
      <c r="Y23" s="1"/>
    </row>
    <row r="24" spans="2:52" ht="24.95" customHeight="1" x14ac:dyDescent="0.3">
      <c r="B24" s="44"/>
      <c r="C24" s="44"/>
      <c r="D24" s="44"/>
      <c r="E24" s="44"/>
      <c r="F24" s="149"/>
      <c r="G24" s="149"/>
      <c r="H24" s="149"/>
      <c r="I24" s="151"/>
      <c r="J24" s="151"/>
      <c r="K24" s="151"/>
      <c r="L24" s="151"/>
      <c r="M24" s="151"/>
      <c r="N24" s="151"/>
      <c r="O24" s="159"/>
      <c r="P24" s="159"/>
      <c r="W24" s="1"/>
      <c r="X24" s="1"/>
      <c r="Y24" s="1"/>
      <c r="AC24" s="45"/>
      <c r="AD24" s="1"/>
      <c r="AE24" s="1"/>
      <c r="AI24" s="1"/>
      <c r="AJ24" s="1"/>
      <c r="AK24" s="1"/>
      <c r="AR24" s="45"/>
      <c r="AS24" s="1"/>
      <c r="AT24" s="1"/>
      <c r="AX24" s="1"/>
      <c r="AY24" s="1"/>
      <c r="AZ24" s="1"/>
    </row>
    <row r="25" spans="2:52" ht="24.95" customHeight="1" x14ac:dyDescent="0.3">
      <c r="B25" s="44"/>
      <c r="C25" s="44"/>
      <c r="D25" s="44"/>
      <c r="E25" s="44"/>
      <c r="F25" s="149"/>
      <c r="G25" s="149"/>
      <c r="H25" s="149"/>
      <c r="I25" s="151"/>
      <c r="J25" s="151"/>
      <c r="K25" s="151"/>
      <c r="L25" s="151"/>
      <c r="M25" s="151"/>
      <c r="N25" s="151"/>
      <c r="O25" s="159"/>
      <c r="P25" s="159"/>
      <c r="Q25" s="44"/>
      <c r="T25" s="44"/>
      <c r="W25" s="44"/>
      <c r="Z25" s="44"/>
      <c r="AC25" s="44"/>
      <c r="AF25" s="44"/>
      <c r="AI25" s="44"/>
      <c r="AL25" s="44"/>
      <c r="AO25" s="44"/>
      <c r="AR25" s="44"/>
      <c r="AU25" s="44"/>
      <c r="AX25" s="44"/>
    </row>
    <row r="26" spans="2:52" ht="24.95" customHeight="1" x14ac:dyDescent="0.3">
      <c r="B26" s="44"/>
      <c r="C26" s="44"/>
      <c r="D26" s="44"/>
      <c r="E26" s="44"/>
      <c r="F26" s="149"/>
      <c r="G26" s="149"/>
      <c r="H26" s="149"/>
      <c r="I26" s="151"/>
      <c r="J26" s="151"/>
      <c r="K26" s="151"/>
      <c r="L26" s="151"/>
      <c r="M26" s="151"/>
      <c r="N26" s="151"/>
      <c r="O26" s="159"/>
      <c r="P26" s="159"/>
      <c r="Q26" s="578"/>
      <c r="R26" s="578"/>
      <c r="T26" s="578"/>
      <c r="U26" s="578"/>
      <c r="W26" s="578"/>
      <c r="X26" s="578"/>
      <c r="Z26" s="578"/>
      <c r="AA26" s="578"/>
      <c r="AC26" s="578"/>
      <c r="AD26" s="578"/>
      <c r="AF26" s="578"/>
      <c r="AG26" s="578"/>
      <c r="AI26" s="578"/>
      <c r="AJ26" s="578"/>
      <c r="AK26" s="46"/>
      <c r="AL26" s="578"/>
      <c r="AM26" s="578"/>
      <c r="AN26" s="46"/>
      <c r="AO26" s="578"/>
      <c r="AP26" s="578"/>
      <c r="AQ26" s="46"/>
      <c r="AR26" s="578"/>
      <c r="AS26" s="578"/>
      <c r="AT26" s="46"/>
      <c r="AU26" s="578"/>
      <c r="AV26" s="578"/>
      <c r="AW26" s="46"/>
      <c r="AX26" s="578"/>
      <c r="AY26" s="578"/>
      <c r="AZ26" s="46"/>
    </row>
    <row r="27" spans="2:52" ht="24.95" customHeight="1" x14ac:dyDescent="0.3">
      <c r="B27" s="44"/>
      <c r="C27" s="44"/>
      <c r="D27" s="44"/>
      <c r="E27" s="44"/>
      <c r="F27" s="149"/>
      <c r="G27" s="149"/>
      <c r="H27" s="149"/>
      <c r="I27" s="151"/>
      <c r="J27" s="151"/>
      <c r="K27" s="151"/>
      <c r="L27" s="151"/>
      <c r="M27" s="151"/>
      <c r="N27" s="151"/>
      <c r="O27" s="159"/>
      <c r="P27" s="159"/>
    </row>
    <row r="28" spans="2:52" ht="24.95" customHeight="1" x14ac:dyDescent="0.3">
      <c r="B28" s="44"/>
      <c r="C28" s="44"/>
      <c r="D28" s="44"/>
      <c r="E28" s="44"/>
      <c r="F28" s="149"/>
      <c r="G28" s="149"/>
      <c r="H28" s="149"/>
      <c r="I28" s="151"/>
      <c r="J28" s="151"/>
      <c r="K28" s="151"/>
      <c r="L28" s="151"/>
      <c r="M28" s="151"/>
      <c r="N28" s="151"/>
      <c r="O28" s="159"/>
      <c r="P28" s="159"/>
    </row>
    <row r="29" spans="2:52" ht="24.95" customHeight="1" x14ac:dyDescent="0.3">
      <c r="B29" s="44"/>
      <c r="C29" s="44"/>
      <c r="D29" s="44"/>
      <c r="E29" s="44"/>
      <c r="F29" s="149"/>
      <c r="G29" s="149"/>
      <c r="H29" s="149"/>
      <c r="I29" s="151"/>
      <c r="J29" s="151"/>
      <c r="K29" s="151"/>
      <c r="L29" s="151"/>
      <c r="M29" s="151"/>
      <c r="N29" s="151"/>
      <c r="O29" s="159"/>
      <c r="P29" s="159"/>
    </row>
    <row r="30" spans="2:52" ht="24.95" customHeight="1" x14ac:dyDescent="0.3">
      <c r="B30" s="44"/>
      <c r="C30" s="44"/>
      <c r="D30" s="44"/>
      <c r="E30" s="44"/>
      <c r="F30" s="149"/>
      <c r="G30" s="149"/>
      <c r="H30" s="149"/>
      <c r="I30" s="151"/>
      <c r="J30" s="151"/>
      <c r="K30" s="151"/>
      <c r="L30" s="151"/>
      <c r="M30" s="151"/>
      <c r="N30" s="151"/>
      <c r="O30" s="159"/>
      <c r="P30" s="159"/>
    </row>
    <row r="31" spans="2:52" ht="24.95" customHeight="1" x14ac:dyDescent="0.3">
      <c r="B31" s="44"/>
      <c r="C31" s="44"/>
      <c r="D31" s="44"/>
      <c r="E31" s="44"/>
      <c r="F31" s="149"/>
      <c r="G31" s="149"/>
      <c r="H31" s="149"/>
      <c r="I31" s="151"/>
      <c r="J31" s="151"/>
      <c r="K31" s="151"/>
      <c r="L31" s="151"/>
      <c r="M31" s="151"/>
      <c r="N31" s="151"/>
      <c r="O31" s="159"/>
      <c r="P31" s="159"/>
    </row>
    <row r="32" spans="2:52" ht="24.95" customHeight="1" x14ac:dyDescent="0.3">
      <c r="B32" s="44"/>
      <c r="C32" s="44"/>
      <c r="D32" s="44"/>
      <c r="E32" s="44"/>
      <c r="F32" s="149"/>
      <c r="G32" s="149"/>
      <c r="H32" s="149"/>
      <c r="I32" s="151"/>
      <c r="J32" s="151"/>
      <c r="K32" s="151"/>
      <c r="L32" s="151"/>
      <c r="M32" s="151"/>
      <c r="N32" s="151"/>
      <c r="O32" s="159"/>
      <c r="P32" s="159"/>
    </row>
    <row r="33" spans="2:16" ht="24.95" customHeight="1" x14ac:dyDescent="0.3">
      <c r="B33" s="44"/>
      <c r="C33" s="44"/>
      <c r="D33" s="44"/>
      <c r="E33" s="44"/>
      <c r="F33" s="149"/>
      <c r="G33" s="149"/>
      <c r="H33" s="149"/>
      <c r="I33" s="151"/>
      <c r="J33" s="151"/>
      <c r="K33" s="151"/>
      <c r="L33" s="151"/>
      <c r="M33" s="151"/>
      <c r="N33" s="151"/>
      <c r="O33" s="159"/>
      <c r="P33" s="159"/>
    </row>
    <row r="34" spans="2:16" ht="24.95" customHeight="1" x14ac:dyDescent="0.3">
      <c r="B34" s="44"/>
      <c r="C34" s="44"/>
      <c r="D34" s="44"/>
      <c r="E34" s="44"/>
      <c r="F34" s="149"/>
      <c r="G34" s="149"/>
      <c r="H34" s="149"/>
      <c r="I34" s="151"/>
      <c r="J34" s="151"/>
      <c r="K34" s="151"/>
      <c r="L34" s="151"/>
      <c r="M34" s="151"/>
      <c r="N34" s="151"/>
      <c r="O34" s="159"/>
      <c r="P34" s="159"/>
    </row>
    <row r="35" spans="2:16" ht="24.95" customHeight="1" x14ac:dyDescent="0.3">
      <c r="B35" s="44"/>
      <c r="C35" s="44"/>
      <c r="D35" s="44"/>
      <c r="E35" s="44"/>
      <c r="F35" s="149"/>
      <c r="G35" s="149"/>
      <c r="H35" s="149"/>
      <c r="I35" s="151"/>
      <c r="J35" s="151"/>
      <c r="K35" s="151"/>
      <c r="L35" s="151"/>
      <c r="M35" s="151"/>
      <c r="N35" s="151"/>
      <c r="O35" s="159"/>
      <c r="P35" s="159"/>
    </row>
    <row r="36" spans="2:16" ht="24.95" customHeight="1" x14ac:dyDescent="0.3">
      <c r="B36" s="44"/>
      <c r="C36" s="44"/>
      <c r="D36" s="44"/>
      <c r="E36" s="44"/>
      <c r="F36" s="149"/>
      <c r="G36" s="149"/>
      <c r="H36" s="149"/>
      <c r="I36" s="151"/>
      <c r="J36" s="151"/>
      <c r="K36" s="151"/>
      <c r="L36" s="151"/>
      <c r="M36" s="151"/>
      <c r="N36" s="151"/>
      <c r="O36" s="159"/>
      <c r="P36" s="159"/>
    </row>
    <row r="37" spans="2:16" ht="24.95" customHeight="1" x14ac:dyDescent="0.3">
      <c r="B37" s="44"/>
      <c r="C37" s="44"/>
      <c r="D37" s="44"/>
      <c r="E37" s="44"/>
      <c r="F37" s="149"/>
      <c r="G37" s="149"/>
      <c r="H37" s="149"/>
      <c r="I37" s="151"/>
      <c r="J37" s="151"/>
      <c r="K37" s="151"/>
      <c r="L37" s="151"/>
      <c r="M37" s="151"/>
      <c r="N37" s="151"/>
      <c r="O37" s="159"/>
      <c r="P37" s="159"/>
    </row>
    <row r="38" spans="2:16" ht="24.95" customHeight="1" x14ac:dyDescent="0.3">
      <c r="B38" s="44"/>
      <c r="C38" s="44"/>
      <c r="D38" s="44"/>
      <c r="E38" s="44"/>
      <c r="F38" s="149"/>
      <c r="G38" s="149"/>
      <c r="H38" s="149"/>
      <c r="I38" s="151"/>
      <c r="J38" s="151"/>
      <c r="K38" s="151"/>
      <c r="L38" s="151"/>
      <c r="M38" s="151"/>
      <c r="N38" s="151"/>
      <c r="O38" s="159"/>
      <c r="P38" s="159"/>
    </row>
    <row r="39" spans="2:16" ht="24.95" customHeight="1" x14ac:dyDescent="0.3">
      <c r="B39" s="44"/>
      <c r="C39" s="44"/>
      <c r="D39" s="44"/>
      <c r="E39" s="44"/>
      <c r="F39" s="149"/>
      <c r="G39" s="149"/>
      <c r="H39" s="149"/>
      <c r="I39" s="151"/>
      <c r="J39" s="151"/>
      <c r="K39" s="151"/>
      <c r="L39" s="151"/>
      <c r="M39" s="151"/>
      <c r="N39" s="151"/>
      <c r="O39" s="159"/>
      <c r="P39" s="159"/>
    </row>
    <row r="40" spans="2:16" ht="24.95" customHeight="1" x14ac:dyDescent="0.3">
      <c r="B40" s="44"/>
      <c r="C40" s="44"/>
      <c r="D40" s="44"/>
      <c r="E40" s="44"/>
      <c r="F40" s="149"/>
      <c r="G40" s="149"/>
      <c r="H40" s="149"/>
      <c r="I40" s="151"/>
      <c r="J40" s="151"/>
      <c r="K40" s="151"/>
      <c r="L40" s="151"/>
      <c r="M40" s="151"/>
      <c r="N40" s="151"/>
      <c r="O40" s="159"/>
      <c r="P40" s="159"/>
    </row>
    <row r="41" spans="2:16" ht="24.95" customHeight="1" x14ac:dyDescent="0.3">
      <c r="B41" s="44"/>
      <c r="C41" s="44"/>
      <c r="D41" s="44"/>
      <c r="E41" s="44"/>
      <c r="F41" s="149"/>
      <c r="G41" s="149"/>
      <c r="H41" s="149"/>
      <c r="I41" s="151"/>
      <c r="J41" s="151"/>
      <c r="K41" s="151"/>
      <c r="L41" s="151"/>
      <c r="M41" s="151"/>
      <c r="N41" s="151"/>
      <c r="O41" s="159"/>
      <c r="P41" s="159"/>
    </row>
    <row r="42" spans="2:16" ht="24.95" customHeight="1" x14ac:dyDescent="0.3">
      <c r="B42" s="44"/>
      <c r="C42" s="44"/>
      <c r="D42" s="44"/>
      <c r="E42" s="44"/>
      <c r="F42" s="149"/>
      <c r="G42" s="149"/>
      <c r="H42" s="149"/>
      <c r="I42" s="151"/>
      <c r="J42" s="151"/>
      <c r="K42" s="151"/>
      <c r="L42" s="151"/>
      <c r="M42" s="151"/>
      <c r="N42" s="151"/>
      <c r="O42" s="159"/>
      <c r="P42" s="159"/>
    </row>
    <row r="43" spans="2:16" ht="24.95" customHeight="1" x14ac:dyDescent="0.3">
      <c r="B43" s="44"/>
      <c r="C43" s="44"/>
      <c r="D43" s="44"/>
      <c r="E43" s="44"/>
      <c r="F43" s="149"/>
      <c r="G43" s="149"/>
      <c r="H43" s="149"/>
      <c r="I43" s="151"/>
      <c r="J43" s="151"/>
      <c r="K43" s="151"/>
      <c r="L43" s="151"/>
      <c r="M43" s="151"/>
      <c r="N43" s="151"/>
      <c r="O43" s="159"/>
      <c r="P43" s="159"/>
    </row>
    <row r="44" spans="2:16" ht="24.95" customHeight="1" x14ac:dyDescent="0.3">
      <c r="B44" s="44"/>
      <c r="C44" s="44"/>
      <c r="D44" s="44"/>
      <c r="E44" s="44"/>
      <c r="F44" s="149"/>
      <c r="G44" s="149"/>
      <c r="H44" s="149"/>
      <c r="I44" s="151"/>
      <c r="J44" s="151"/>
      <c r="K44" s="151"/>
      <c r="L44" s="151"/>
      <c r="M44" s="151"/>
      <c r="N44" s="151"/>
      <c r="O44" s="159"/>
      <c r="P44" s="159"/>
    </row>
    <row r="45" spans="2:16" ht="24.95" customHeight="1" x14ac:dyDescent="0.3">
      <c r="B45" s="44"/>
      <c r="C45" s="44"/>
      <c r="D45" s="44"/>
      <c r="E45" s="44"/>
      <c r="F45" s="149"/>
      <c r="G45" s="149"/>
      <c r="H45" s="149"/>
      <c r="I45" s="151"/>
      <c r="J45" s="151"/>
      <c r="K45" s="151"/>
      <c r="L45" s="151"/>
      <c r="M45" s="151"/>
      <c r="N45" s="151"/>
      <c r="O45" s="159"/>
      <c r="P45" s="159"/>
    </row>
    <row r="46" spans="2:16" ht="24.95" customHeight="1" x14ac:dyDescent="0.3">
      <c r="B46" s="44"/>
      <c r="C46" s="44"/>
      <c r="D46" s="44"/>
      <c r="E46" s="44"/>
      <c r="F46" s="149"/>
      <c r="G46" s="149"/>
      <c r="H46" s="149"/>
      <c r="I46" s="151"/>
      <c r="J46" s="151"/>
      <c r="K46" s="151"/>
      <c r="L46" s="151"/>
      <c r="M46" s="151"/>
      <c r="N46" s="151"/>
      <c r="O46" s="159"/>
      <c r="P46" s="159"/>
    </row>
    <row r="47" spans="2:16" ht="24.95" customHeight="1" x14ac:dyDescent="0.3">
      <c r="B47" s="44"/>
      <c r="C47" s="44"/>
      <c r="D47" s="44"/>
      <c r="E47" s="44"/>
      <c r="F47" s="149"/>
      <c r="G47" s="149"/>
      <c r="H47" s="149"/>
      <c r="I47" s="151"/>
      <c r="J47" s="151"/>
      <c r="K47" s="151"/>
      <c r="L47" s="151"/>
      <c r="M47" s="151"/>
      <c r="N47" s="151"/>
      <c r="O47" s="159"/>
      <c r="P47" s="159"/>
    </row>
    <row r="48" spans="2:16" ht="24.95" customHeight="1" x14ac:dyDescent="0.3">
      <c r="B48" s="44"/>
      <c r="C48" s="44"/>
      <c r="D48" s="44"/>
      <c r="E48" s="44"/>
      <c r="F48" s="149"/>
      <c r="G48" s="149"/>
      <c r="H48" s="149"/>
      <c r="I48" s="151"/>
      <c r="J48" s="151"/>
      <c r="K48" s="151"/>
      <c r="L48" s="151"/>
      <c r="M48" s="151"/>
      <c r="N48" s="151"/>
      <c r="O48" s="159"/>
      <c r="P48" s="159"/>
    </row>
    <row r="49" spans="2:28" ht="24.95" customHeight="1" x14ac:dyDescent="0.3">
      <c r="B49" s="44"/>
      <c r="C49" s="44"/>
      <c r="D49" s="44"/>
      <c r="E49" s="44"/>
      <c r="F49" s="149"/>
      <c r="G49" s="149"/>
      <c r="H49" s="149"/>
      <c r="I49" s="151"/>
      <c r="J49" s="151"/>
      <c r="K49" s="151"/>
      <c r="L49" s="151"/>
      <c r="M49" s="151"/>
      <c r="N49" s="151"/>
      <c r="O49" s="159"/>
      <c r="P49" s="159"/>
    </row>
    <row r="50" spans="2:28" ht="24.95" customHeight="1" x14ac:dyDescent="0.3">
      <c r="B50" s="44"/>
      <c r="C50" s="44"/>
      <c r="D50" s="44"/>
      <c r="E50" s="44"/>
      <c r="F50" s="149"/>
      <c r="G50" s="149"/>
      <c r="H50" s="149"/>
      <c r="I50" s="151"/>
      <c r="J50" s="151"/>
      <c r="K50" s="151"/>
      <c r="L50" s="151"/>
      <c r="M50" s="151"/>
      <c r="N50" s="151"/>
      <c r="O50" s="159"/>
      <c r="P50" s="159"/>
    </row>
    <row r="51" spans="2:28" ht="24.95" customHeight="1" x14ac:dyDescent="0.3">
      <c r="B51" s="44"/>
      <c r="C51" s="44"/>
      <c r="D51" s="44"/>
      <c r="E51" s="44"/>
      <c r="F51" s="149"/>
      <c r="G51" s="149"/>
      <c r="H51" s="149"/>
      <c r="I51" s="151"/>
      <c r="J51" s="151"/>
      <c r="K51" s="151"/>
      <c r="L51" s="151"/>
      <c r="M51" s="151"/>
      <c r="N51" s="151"/>
      <c r="O51" s="159"/>
      <c r="P51" s="159"/>
    </row>
    <row r="52" spans="2:28" ht="24.95" customHeight="1" x14ac:dyDescent="0.3">
      <c r="B52" s="44"/>
      <c r="C52" s="44"/>
      <c r="D52" s="44"/>
      <c r="E52" s="44"/>
      <c r="F52" s="149"/>
      <c r="G52" s="149"/>
      <c r="H52" s="149"/>
      <c r="I52" s="151"/>
      <c r="J52" s="151"/>
      <c r="K52" s="151"/>
      <c r="L52" s="151"/>
      <c r="M52" s="151"/>
      <c r="N52" s="151"/>
      <c r="O52" s="159"/>
      <c r="P52" s="159"/>
    </row>
    <row r="53" spans="2:28" ht="24.95" customHeight="1" x14ac:dyDescent="0.3">
      <c r="B53" s="44"/>
      <c r="C53" s="44"/>
      <c r="D53" s="44"/>
      <c r="E53" s="44"/>
      <c r="F53" s="149"/>
      <c r="G53" s="149"/>
      <c r="H53" s="149"/>
      <c r="I53" s="151"/>
      <c r="J53" s="151"/>
      <c r="K53" s="151"/>
      <c r="L53" s="151"/>
      <c r="M53" s="151"/>
      <c r="N53" s="151"/>
      <c r="O53" s="159"/>
      <c r="P53" s="159"/>
    </row>
    <row r="54" spans="2:28" ht="24.95" customHeight="1" x14ac:dyDescent="0.3">
      <c r="B54" s="44"/>
      <c r="C54" s="44"/>
      <c r="D54" s="44"/>
      <c r="E54" s="44"/>
      <c r="F54" s="149"/>
      <c r="G54" s="149"/>
      <c r="H54" s="149"/>
      <c r="I54" s="151"/>
      <c r="J54" s="151"/>
      <c r="K54" s="151"/>
      <c r="L54" s="151"/>
      <c r="M54" s="151"/>
      <c r="N54" s="151"/>
      <c r="O54" s="159"/>
      <c r="P54" s="159"/>
    </row>
    <row r="55" spans="2:28" ht="24.95" customHeight="1" x14ac:dyDescent="0.3">
      <c r="B55" s="44"/>
      <c r="C55" s="44"/>
      <c r="D55" s="44"/>
      <c r="E55" s="44"/>
      <c r="F55" s="149"/>
      <c r="G55" s="149"/>
      <c r="H55" s="149"/>
      <c r="I55" s="151"/>
      <c r="J55" s="151"/>
      <c r="K55" s="151"/>
      <c r="L55" s="151"/>
      <c r="M55" s="151"/>
      <c r="N55" s="151"/>
      <c r="O55" s="159"/>
      <c r="P55" s="159"/>
    </row>
    <row r="56" spans="2:28" ht="24.95" customHeight="1" x14ac:dyDescent="0.3">
      <c r="B56" s="44"/>
      <c r="C56" s="44"/>
      <c r="D56" s="44"/>
      <c r="E56" s="44"/>
      <c r="F56" s="149"/>
      <c r="G56" s="149"/>
      <c r="H56" s="149"/>
      <c r="I56" s="151"/>
      <c r="J56" s="151"/>
      <c r="K56" s="151"/>
      <c r="L56" s="151"/>
      <c r="M56" s="151"/>
      <c r="N56" s="151"/>
      <c r="O56" s="159"/>
      <c r="P56" s="159"/>
    </row>
    <row r="57" spans="2:28" x14ac:dyDescent="0.3">
      <c r="B57" s="44"/>
      <c r="C57" s="44"/>
      <c r="D57" s="44"/>
      <c r="E57" s="44"/>
      <c r="F57" s="149"/>
      <c r="G57" s="149"/>
      <c r="H57" s="149"/>
      <c r="I57" s="151"/>
      <c r="J57" s="151"/>
      <c r="K57" s="151"/>
      <c r="L57" s="151"/>
      <c r="M57" s="151"/>
      <c r="N57" s="151"/>
      <c r="O57" s="159"/>
      <c r="P57" s="159"/>
    </row>
    <row r="58" spans="2:28" x14ac:dyDescent="0.3">
      <c r="B58" s="44"/>
      <c r="C58" s="44"/>
      <c r="D58" s="44"/>
      <c r="E58" s="44"/>
      <c r="F58" s="149"/>
      <c r="G58" s="149"/>
      <c r="H58" s="149"/>
      <c r="I58" s="151"/>
      <c r="J58" s="151"/>
      <c r="K58" s="151"/>
      <c r="L58" s="151"/>
      <c r="M58" s="151"/>
      <c r="N58" s="151"/>
      <c r="O58" s="159"/>
      <c r="P58" s="159"/>
    </row>
    <row r="59" spans="2:28" x14ac:dyDescent="0.3">
      <c r="B59" s="44"/>
      <c r="C59" s="44"/>
      <c r="D59" s="44"/>
      <c r="E59" s="44"/>
      <c r="F59" s="149"/>
      <c r="G59" s="149"/>
      <c r="H59" s="149"/>
      <c r="I59" s="151"/>
      <c r="J59" s="151"/>
      <c r="K59" s="151"/>
      <c r="L59" s="151"/>
      <c r="M59" s="151"/>
      <c r="N59" s="151"/>
      <c r="O59" s="159"/>
      <c r="P59" s="159"/>
    </row>
    <row r="60" spans="2:28" x14ac:dyDescent="0.2">
      <c r="B60" s="44"/>
      <c r="C60" s="44"/>
      <c r="D60" s="44"/>
      <c r="E60" s="44"/>
      <c r="F60" s="149"/>
      <c r="G60" s="149"/>
      <c r="H60" s="149"/>
      <c r="I60" s="151"/>
      <c r="J60" s="151"/>
      <c r="K60" s="151"/>
      <c r="L60" s="151"/>
      <c r="M60" s="151"/>
      <c r="N60" s="151"/>
      <c r="O60" s="159"/>
      <c r="P60" s="159"/>
      <c r="W60" s="1"/>
      <c r="X60" s="579"/>
      <c r="Y60" s="580"/>
      <c r="Z60" s="581"/>
      <c r="AA60" s="1"/>
      <c r="AB60" s="1"/>
    </row>
    <row r="61" spans="2:28" x14ac:dyDescent="0.3">
      <c r="B61" s="44"/>
      <c r="C61" s="44"/>
      <c r="D61" s="44"/>
      <c r="E61" s="44"/>
      <c r="F61" s="149"/>
      <c r="G61" s="149"/>
      <c r="H61" s="149"/>
      <c r="I61" s="151"/>
      <c r="J61" s="151"/>
      <c r="K61" s="151"/>
      <c r="L61" s="151"/>
      <c r="M61" s="151"/>
      <c r="N61" s="151"/>
      <c r="O61" s="159"/>
      <c r="P61" s="159"/>
      <c r="W61" s="1"/>
      <c r="X61" s="1"/>
      <c r="Y61" s="1"/>
      <c r="Z61" s="1"/>
      <c r="AA61" s="1"/>
      <c r="AB61" s="1"/>
    </row>
    <row r="62" spans="2:28" x14ac:dyDescent="0.3">
      <c r="B62" s="44"/>
      <c r="C62" s="44"/>
      <c r="D62" s="44"/>
      <c r="E62" s="44"/>
      <c r="F62" s="149"/>
      <c r="G62" s="149"/>
      <c r="H62" s="149"/>
      <c r="I62" s="151"/>
      <c r="J62" s="151"/>
      <c r="K62" s="151"/>
      <c r="L62" s="151"/>
      <c r="M62" s="151"/>
      <c r="N62" s="151"/>
      <c r="O62" s="159"/>
      <c r="P62" s="159"/>
      <c r="W62" s="1"/>
      <c r="X62" s="1"/>
      <c r="Y62" s="1"/>
      <c r="Z62" s="1"/>
      <c r="AA62" s="1"/>
      <c r="AB62" s="1"/>
    </row>
    <row r="63" spans="2:28" x14ac:dyDescent="0.3">
      <c r="B63" s="44"/>
      <c r="C63" s="44"/>
      <c r="D63" s="44"/>
      <c r="E63" s="44"/>
      <c r="F63" s="149"/>
      <c r="G63" s="149"/>
      <c r="H63" s="149"/>
      <c r="I63" s="151"/>
      <c r="J63" s="151"/>
      <c r="K63" s="151"/>
      <c r="L63" s="151"/>
      <c r="M63" s="151"/>
      <c r="N63" s="151"/>
      <c r="O63" s="159"/>
      <c r="P63" s="159"/>
      <c r="W63" s="1"/>
      <c r="X63" s="1"/>
      <c r="Y63" s="1"/>
      <c r="Z63" s="1"/>
      <c r="AA63" s="1"/>
      <c r="AB63" s="1"/>
    </row>
    <row r="64" spans="2:28" x14ac:dyDescent="0.3">
      <c r="B64" s="44"/>
      <c r="C64" s="44"/>
      <c r="D64" s="44"/>
      <c r="E64" s="44"/>
      <c r="F64" s="149"/>
      <c r="G64" s="149"/>
      <c r="H64" s="149"/>
      <c r="I64" s="151"/>
      <c r="J64" s="151"/>
      <c r="K64" s="151"/>
      <c r="L64" s="151"/>
      <c r="M64" s="151"/>
      <c r="N64" s="151"/>
      <c r="O64" s="159"/>
      <c r="P64" s="159"/>
      <c r="W64" s="1"/>
      <c r="X64" s="1"/>
      <c r="Y64" s="1"/>
      <c r="Z64" s="1"/>
      <c r="AA64" s="1"/>
      <c r="AB64" s="1"/>
    </row>
    <row r="65" spans="2:28" x14ac:dyDescent="0.3">
      <c r="B65" s="44"/>
      <c r="C65" s="44"/>
      <c r="D65" s="44"/>
      <c r="E65" s="44"/>
      <c r="F65" s="149"/>
      <c r="G65" s="149"/>
      <c r="H65" s="149"/>
      <c r="I65" s="151"/>
      <c r="J65" s="151"/>
      <c r="K65" s="151"/>
      <c r="L65" s="151"/>
      <c r="M65" s="151"/>
      <c r="N65" s="151"/>
      <c r="O65" s="159"/>
      <c r="P65" s="159"/>
      <c r="W65" s="1"/>
      <c r="X65" s="1"/>
      <c r="Y65" s="1"/>
      <c r="Z65" s="1"/>
      <c r="AA65" s="1"/>
      <c r="AB65" s="1"/>
    </row>
    <row r="66" spans="2:28" x14ac:dyDescent="0.3">
      <c r="B66" s="44"/>
      <c r="C66" s="44"/>
      <c r="D66" s="44"/>
      <c r="E66" s="44"/>
      <c r="F66" s="149"/>
      <c r="G66" s="149"/>
      <c r="H66" s="149"/>
      <c r="I66" s="151"/>
      <c r="J66" s="151"/>
      <c r="K66" s="151"/>
      <c r="L66" s="151"/>
      <c r="M66" s="151"/>
      <c r="N66" s="151"/>
      <c r="O66" s="159"/>
      <c r="P66" s="159"/>
      <c r="W66" s="1"/>
      <c r="X66" s="1"/>
      <c r="Y66" s="1"/>
      <c r="Z66" s="1"/>
      <c r="AA66" s="1"/>
      <c r="AB66" s="1"/>
    </row>
    <row r="67" spans="2:28" x14ac:dyDescent="0.3">
      <c r="B67" s="44"/>
      <c r="C67" s="44"/>
      <c r="D67" s="44"/>
      <c r="E67" s="44"/>
      <c r="F67" s="149"/>
      <c r="G67" s="149"/>
      <c r="H67" s="149"/>
      <c r="I67" s="151"/>
      <c r="J67" s="151"/>
      <c r="K67" s="151"/>
      <c r="L67" s="151"/>
      <c r="M67" s="151"/>
      <c r="N67" s="151"/>
      <c r="O67" s="159"/>
      <c r="P67" s="159"/>
      <c r="W67" s="1"/>
      <c r="X67" s="1"/>
      <c r="Y67" s="1"/>
      <c r="Z67" s="1"/>
      <c r="AA67" s="1"/>
      <c r="AB67" s="1"/>
    </row>
    <row r="68" spans="2:28" x14ac:dyDescent="0.3">
      <c r="B68" s="44"/>
      <c r="C68" s="44"/>
      <c r="D68" s="44"/>
      <c r="E68" s="44"/>
      <c r="F68" s="149"/>
      <c r="G68" s="149"/>
      <c r="H68" s="149"/>
      <c r="I68" s="151"/>
      <c r="J68" s="151"/>
      <c r="K68" s="151"/>
      <c r="L68" s="151"/>
      <c r="M68" s="151"/>
      <c r="N68" s="151"/>
      <c r="O68" s="159"/>
      <c r="P68" s="159"/>
      <c r="W68" s="1"/>
      <c r="X68" s="1"/>
      <c r="Y68" s="1"/>
      <c r="Z68" s="1"/>
      <c r="AA68" s="1"/>
      <c r="AB68" s="1"/>
    </row>
    <row r="69" spans="2:28" x14ac:dyDescent="0.3">
      <c r="B69" s="44"/>
      <c r="C69" s="44"/>
      <c r="D69" s="44"/>
      <c r="E69" s="44"/>
      <c r="F69" s="149"/>
      <c r="G69" s="149"/>
      <c r="H69" s="149"/>
      <c r="I69" s="151"/>
      <c r="J69" s="151"/>
      <c r="K69" s="151"/>
      <c r="L69" s="151"/>
      <c r="M69" s="151"/>
      <c r="N69" s="151"/>
      <c r="O69" s="159"/>
      <c r="P69" s="159"/>
      <c r="W69" s="1"/>
      <c r="X69" s="1"/>
      <c r="Y69" s="1"/>
      <c r="Z69" s="1"/>
      <c r="AA69" s="1"/>
      <c r="AB69" s="1"/>
    </row>
    <row r="70" spans="2:28" x14ac:dyDescent="0.3">
      <c r="B70" s="44"/>
      <c r="C70" s="44"/>
      <c r="D70" s="44"/>
      <c r="E70" s="44"/>
      <c r="F70" s="149"/>
      <c r="G70" s="149"/>
      <c r="H70" s="149"/>
      <c r="I70" s="151"/>
      <c r="J70" s="151"/>
      <c r="K70" s="151"/>
      <c r="L70" s="151"/>
      <c r="M70" s="151"/>
      <c r="N70" s="151"/>
      <c r="O70" s="159"/>
      <c r="P70" s="159"/>
      <c r="W70" s="1"/>
      <c r="X70" s="1"/>
      <c r="Y70" s="1"/>
      <c r="Z70" s="1"/>
      <c r="AA70" s="1"/>
      <c r="AB70" s="1"/>
    </row>
    <row r="71" spans="2:28" x14ac:dyDescent="0.3">
      <c r="B71" s="44"/>
      <c r="C71" s="44"/>
      <c r="D71" s="44"/>
      <c r="E71" s="44"/>
      <c r="F71" s="149"/>
      <c r="G71" s="149"/>
      <c r="H71" s="149"/>
      <c r="I71" s="151"/>
      <c r="J71" s="151"/>
      <c r="K71" s="151"/>
      <c r="L71" s="151"/>
      <c r="M71" s="151"/>
      <c r="N71" s="151"/>
      <c r="O71" s="159"/>
      <c r="P71" s="159"/>
      <c r="W71" s="1"/>
      <c r="X71" s="1"/>
      <c r="Y71" s="1"/>
      <c r="Z71" s="1"/>
      <c r="AA71" s="1"/>
      <c r="AB71" s="1"/>
    </row>
    <row r="72" spans="2:28" x14ac:dyDescent="0.3">
      <c r="B72" s="44"/>
      <c r="C72" s="44"/>
      <c r="D72" s="44"/>
      <c r="E72" s="44"/>
      <c r="F72" s="149"/>
      <c r="G72" s="149"/>
      <c r="H72" s="149"/>
      <c r="I72" s="151"/>
      <c r="J72" s="151"/>
      <c r="K72" s="151"/>
      <c r="L72" s="151"/>
      <c r="M72" s="151"/>
      <c r="N72" s="151"/>
      <c r="O72" s="159"/>
      <c r="P72" s="159"/>
      <c r="W72" s="1"/>
      <c r="X72" s="1"/>
      <c r="Y72" s="1"/>
      <c r="Z72" s="1"/>
      <c r="AA72" s="1"/>
      <c r="AB72" s="1"/>
    </row>
    <row r="73" spans="2:28" x14ac:dyDescent="0.3">
      <c r="B73" s="44"/>
      <c r="C73" s="44"/>
      <c r="D73" s="44"/>
      <c r="E73" s="44"/>
      <c r="F73" s="149"/>
      <c r="G73" s="149"/>
      <c r="H73" s="149"/>
      <c r="I73" s="151"/>
      <c r="J73" s="151"/>
      <c r="K73" s="151"/>
      <c r="L73" s="151"/>
      <c r="M73" s="151"/>
      <c r="N73" s="151"/>
      <c r="O73" s="159"/>
      <c r="P73" s="159"/>
      <c r="W73" s="1"/>
      <c r="X73" s="1"/>
      <c r="Y73" s="1"/>
      <c r="Z73" s="1"/>
      <c r="AA73" s="1"/>
      <c r="AB73" s="1"/>
    </row>
    <row r="74" spans="2:28" x14ac:dyDescent="0.3">
      <c r="B74" s="44"/>
      <c r="C74" s="44"/>
      <c r="D74" s="44"/>
      <c r="E74" s="44"/>
      <c r="F74" s="149"/>
      <c r="G74" s="149"/>
      <c r="H74" s="149"/>
      <c r="I74" s="151"/>
      <c r="J74" s="151"/>
      <c r="K74" s="151"/>
      <c r="L74" s="151"/>
      <c r="M74" s="151"/>
      <c r="N74" s="151"/>
      <c r="O74" s="159"/>
      <c r="P74" s="159"/>
      <c r="W74" s="1"/>
      <c r="X74" s="1"/>
      <c r="Y74" s="1"/>
      <c r="Z74" s="1"/>
      <c r="AA74" s="1"/>
      <c r="AB74" s="1"/>
    </row>
    <row r="75" spans="2:28" x14ac:dyDescent="0.3">
      <c r="B75" s="44"/>
      <c r="C75" s="44"/>
      <c r="D75" s="44"/>
      <c r="E75" s="44"/>
      <c r="F75" s="149"/>
      <c r="G75" s="149"/>
      <c r="H75" s="149"/>
      <c r="I75" s="151"/>
      <c r="J75" s="151"/>
      <c r="K75" s="151"/>
      <c r="L75" s="151"/>
      <c r="M75" s="151"/>
      <c r="N75" s="151"/>
      <c r="O75" s="159"/>
      <c r="P75" s="159"/>
      <c r="W75" s="1"/>
      <c r="X75" s="1"/>
      <c r="Y75" s="1"/>
      <c r="Z75" s="1"/>
      <c r="AA75" s="1"/>
      <c r="AB75" s="1"/>
    </row>
    <row r="76" spans="2:28" x14ac:dyDescent="0.3">
      <c r="B76" s="44"/>
      <c r="C76" s="44"/>
      <c r="D76" s="44"/>
      <c r="E76" s="44"/>
      <c r="F76" s="149"/>
      <c r="G76" s="149"/>
      <c r="H76" s="149"/>
      <c r="I76" s="151"/>
      <c r="J76" s="151"/>
      <c r="K76" s="151"/>
      <c r="L76" s="151"/>
      <c r="M76" s="151"/>
      <c r="N76" s="151"/>
      <c r="O76" s="159"/>
      <c r="P76" s="159"/>
      <c r="W76" s="1"/>
      <c r="X76" s="1"/>
      <c r="Y76" s="1"/>
      <c r="Z76" s="1"/>
      <c r="AA76" s="1"/>
      <c r="AB76" s="1"/>
    </row>
    <row r="77" spans="2:28" x14ac:dyDescent="0.3">
      <c r="B77" s="44"/>
      <c r="C77" s="44"/>
      <c r="D77" s="44"/>
      <c r="E77" s="44"/>
      <c r="F77" s="149"/>
      <c r="G77" s="149"/>
      <c r="H77" s="149"/>
      <c r="I77" s="151"/>
      <c r="J77" s="151"/>
      <c r="K77" s="151"/>
      <c r="L77" s="151"/>
      <c r="M77" s="151"/>
      <c r="N77" s="151"/>
      <c r="O77" s="159"/>
      <c r="P77" s="159"/>
      <c r="W77" s="1"/>
      <c r="X77" s="1"/>
      <c r="Y77" s="1"/>
      <c r="Z77" s="1"/>
      <c r="AA77" s="1"/>
      <c r="AB77" s="1"/>
    </row>
    <row r="78" spans="2:28" x14ac:dyDescent="0.3">
      <c r="B78" s="44"/>
      <c r="C78" s="44"/>
      <c r="D78" s="44"/>
      <c r="E78" s="44"/>
      <c r="F78" s="149"/>
      <c r="G78" s="149"/>
      <c r="H78" s="149"/>
      <c r="I78" s="151"/>
      <c r="J78" s="151"/>
      <c r="K78" s="151"/>
      <c r="L78" s="151"/>
      <c r="M78" s="151"/>
      <c r="N78" s="151"/>
      <c r="O78" s="159"/>
      <c r="P78" s="159"/>
      <c r="W78" s="1"/>
      <c r="X78" s="1"/>
      <c r="Y78" s="1"/>
      <c r="Z78" s="1"/>
      <c r="AA78" s="1"/>
      <c r="AB78" s="1"/>
    </row>
    <row r="79" spans="2:28" x14ac:dyDescent="0.3">
      <c r="B79" s="44"/>
      <c r="C79" s="44"/>
      <c r="D79" s="44"/>
      <c r="E79" s="44"/>
      <c r="F79" s="149"/>
      <c r="G79" s="149"/>
      <c r="H79" s="149"/>
      <c r="I79" s="151"/>
      <c r="J79" s="151"/>
      <c r="K79" s="151"/>
      <c r="L79" s="151"/>
      <c r="M79" s="151"/>
      <c r="N79" s="151"/>
      <c r="O79" s="159"/>
      <c r="P79" s="159"/>
      <c r="W79" s="1"/>
      <c r="X79" s="1"/>
      <c r="Y79" s="1"/>
      <c r="Z79" s="1"/>
      <c r="AA79" s="1"/>
      <c r="AB79" s="1"/>
    </row>
    <row r="80" spans="2:28" x14ac:dyDescent="0.3">
      <c r="B80" s="44"/>
      <c r="C80" s="44"/>
      <c r="D80" s="44"/>
      <c r="E80" s="44"/>
      <c r="F80" s="149"/>
      <c r="G80" s="149"/>
      <c r="H80" s="149"/>
      <c r="I80" s="151"/>
      <c r="J80" s="151"/>
      <c r="K80" s="151"/>
      <c r="L80" s="151"/>
      <c r="M80" s="151"/>
      <c r="N80" s="151"/>
      <c r="O80" s="159"/>
      <c r="P80" s="159"/>
      <c r="W80" s="1"/>
      <c r="X80" s="1"/>
      <c r="Y80" s="1"/>
      <c r="Z80" s="1"/>
      <c r="AA80" s="1"/>
      <c r="AB80" s="1"/>
    </row>
    <row r="81" spans="2:28" x14ac:dyDescent="0.3">
      <c r="B81" s="44"/>
      <c r="C81" s="44"/>
      <c r="D81" s="44"/>
      <c r="E81" s="44"/>
      <c r="F81" s="149"/>
      <c r="G81" s="149"/>
      <c r="H81" s="149"/>
      <c r="I81" s="151"/>
      <c r="J81" s="151"/>
      <c r="K81" s="151"/>
      <c r="L81" s="151"/>
      <c r="M81" s="151"/>
      <c r="N81" s="151"/>
      <c r="O81" s="159"/>
      <c r="P81" s="159"/>
      <c r="W81" s="1"/>
      <c r="X81" s="1"/>
      <c r="Y81" s="1"/>
      <c r="Z81" s="1"/>
      <c r="AA81" s="1"/>
      <c r="AB81" s="1"/>
    </row>
    <row r="82" spans="2:28" x14ac:dyDescent="0.3">
      <c r="B82" s="44"/>
      <c r="C82" s="44"/>
      <c r="D82" s="44"/>
      <c r="E82" s="44"/>
      <c r="F82" s="149"/>
      <c r="G82" s="149"/>
      <c r="H82" s="149"/>
      <c r="I82" s="151"/>
      <c r="J82" s="151"/>
      <c r="K82" s="151"/>
      <c r="L82" s="151"/>
      <c r="M82" s="151"/>
      <c r="N82" s="151"/>
      <c r="O82" s="159"/>
      <c r="P82" s="159"/>
      <c r="W82" s="1"/>
      <c r="X82" s="1"/>
      <c r="Y82" s="1"/>
      <c r="Z82" s="1"/>
      <c r="AA82" s="1"/>
      <c r="AB82" s="1"/>
    </row>
    <row r="83" spans="2:28" x14ac:dyDescent="0.3">
      <c r="B83" s="44"/>
      <c r="C83" s="44"/>
      <c r="D83" s="44"/>
      <c r="E83" s="44"/>
      <c r="F83" s="149"/>
      <c r="G83" s="149"/>
      <c r="H83" s="149"/>
      <c r="I83" s="151"/>
      <c r="J83" s="151"/>
      <c r="K83" s="151"/>
      <c r="L83" s="151"/>
      <c r="M83" s="151"/>
      <c r="N83" s="151"/>
      <c r="O83" s="159"/>
      <c r="P83" s="159"/>
      <c r="W83" s="1"/>
      <c r="X83" s="1"/>
      <c r="Y83" s="1"/>
      <c r="Z83" s="1"/>
      <c r="AA83" s="1"/>
      <c r="AB83" s="1"/>
    </row>
    <row r="84" spans="2:28" x14ac:dyDescent="0.3">
      <c r="B84" s="44"/>
      <c r="C84" s="44"/>
      <c r="D84" s="44"/>
      <c r="E84" s="44"/>
      <c r="F84" s="149"/>
      <c r="G84" s="149"/>
      <c r="H84" s="149"/>
      <c r="I84" s="151"/>
      <c r="J84" s="151"/>
      <c r="K84" s="151"/>
      <c r="L84" s="151"/>
      <c r="M84" s="151"/>
      <c r="N84" s="151"/>
      <c r="O84" s="159"/>
      <c r="P84" s="159"/>
      <c r="W84" s="1"/>
      <c r="X84" s="1"/>
      <c r="Y84" s="1"/>
      <c r="Z84" s="1"/>
      <c r="AA84" s="1"/>
      <c r="AB84" s="1"/>
    </row>
    <row r="85" spans="2:28" x14ac:dyDescent="0.3">
      <c r="B85" s="44"/>
      <c r="C85" s="44"/>
      <c r="D85" s="44"/>
      <c r="E85" s="44"/>
      <c r="F85" s="149"/>
      <c r="G85" s="149"/>
      <c r="H85" s="149"/>
      <c r="I85" s="151"/>
      <c r="J85" s="151"/>
      <c r="K85" s="151"/>
      <c r="L85" s="151"/>
      <c r="M85" s="151"/>
      <c r="N85" s="151"/>
      <c r="O85" s="159"/>
      <c r="P85" s="159"/>
      <c r="W85" s="1"/>
      <c r="X85" s="1"/>
      <c r="Y85" s="1"/>
      <c r="Z85" s="1"/>
      <c r="AA85" s="1"/>
      <c r="AB85" s="1"/>
    </row>
    <row r="86" spans="2:28" x14ac:dyDescent="0.3">
      <c r="B86" s="44"/>
      <c r="C86" s="44"/>
      <c r="D86" s="44"/>
      <c r="E86" s="44"/>
      <c r="F86" s="149"/>
      <c r="G86" s="149"/>
      <c r="H86" s="149"/>
      <c r="I86" s="151"/>
      <c r="J86" s="151"/>
      <c r="K86" s="151"/>
      <c r="L86" s="151"/>
      <c r="M86" s="151"/>
      <c r="N86" s="151"/>
      <c r="O86" s="159"/>
      <c r="P86" s="159"/>
      <c r="W86" s="1"/>
      <c r="X86" s="1"/>
      <c r="Y86" s="1"/>
      <c r="Z86" s="1"/>
      <c r="AA86" s="1"/>
      <c r="AB86" s="1"/>
    </row>
    <row r="87" spans="2:28" x14ac:dyDescent="0.3">
      <c r="B87" s="44"/>
      <c r="C87" s="44"/>
      <c r="D87" s="44"/>
      <c r="E87" s="44"/>
      <c r="F87" s="149"/>
      <c r="G87" s="149"/>
      <c r="H87" s="149"/>
      <c r="I87" s="151"/>
      <c r="J87" s="151"/>
      <c r="K87" s="151"/>
      <c r="L87" s="151"/>
      <c r="M87" s="151"/>
      <c r="N87" s="151"/>
      <c r="O87" s="159"/>
      <c r="P87" s="159"/>
      <c r="W87" s="1"/>
      <c r="X87" s="1"/>
      <c r="Y87" s="1"/>
      <c r="Z87" s="1"/>
      <c r="AA87" s="1"/>
      <c r="AB87" s="1"/>
    </row>
    <row r="88" spans="2:28" x14ac:dyDescent="0.3">
      <c r="B88" s="44"/>
      <c r="C88" s="44"/>
      <c r="D88" s="44"/>
      <c r="E88" s="44"/>
      <c r="F88" s="149"/>
      <c r="G88" s="149"/>
      <c r="H88" s="149"/>
      <c r="I88" s="151"/>
      <c r="J88" s="151"/>
      <c r="K88" s="151"/>
      <c r="L88" s="151"/>
      <c r="M88" s="151"/>
      <c r="N88" s="151"/>
      <c r="O88" s="159"/>
      <c r="P88" s="159"/>
      <c r="W88" s="1"/>
      <c r="X88" s="1"/>
      <c r="Y88" s="1"/>
      <c r="Z88" s="1"/>
      <c r="AA88" s="1"/>
      <c r="AB88" s="1"/>
    </row>
    <row r="89" spans="2:28" x14ac:dyDescent="0.3">
      <c r="B89" s="44"/>
      <c r="C89" s="44"/>
      <c r="D89" s="44"/>
      <c r="E89" s="44"/>
      <c r="F89" s="149"/>
      <c r="G89" s="149"/>
      <c r="H89" s="149"/>
      <c r="I89" s="151"/>
      <c r="J89" s="151"/>
      <c r="K89" s="151"/>
      <c r="L89" s="151"/>
      <c r="M89" s="151"/>
      <c r="N89" s="151"/>
      <c r="O89" s="159"/>
      <c r="P89" s="159"/>
      <c r="W89" s="1"/>
      <c r="X89" s="1"/>
      <c r="Y89" s="1"/>
      <c r="Z89" s="1"/>
      <c r="AA89" s="1"/>
      <c r="AB89" s="1"/>
    </row>
    <row r="90" spans="2:28" x14ac:dyDescent="0.3">
      <c r="B90" s="44"/>
      <c r="C90" s="44"/>
      <c r="D90" s="44"/>
      <c r="E90" s="44"/>
      <c r="F90" s="149"/>
      <c r="G90" s="149"/>
      <c r="H90" s="149"/>
      <c r="I90" s="151"/>
      <c r="J90" s="151"/>
      <c r="K90" s="151"/>
      <c r="L90" s="151"/>
      <c r="M90" s="151"/>
      <c r="N90" s="151"/>
      <c r="O90" s="159"/>
      <c r="P90" s="159"/>
      <c r="W90" s="1"/>
      <c r="X90" s="1"/>
      <c r="Y90" s="1"/>
      <c r="Z90" s="1"/>
      <c r="AA90" s="1"/>
      <c r="AB90" s="1"/>
    </row>
    <row r="91" spans="2:28" x14ac:dyDescent="0.3">
      <c r="B91" s="44"/>
      <c r="C91" s="44"/>
      <c r="D91" s="44"/>
      <c r="E91" s="44"/>
      <c r="F91" s="149"/>
      <c r="G91" s="149"/>
      <c r="H91" s="149"/>
      <c r="I91" s="151"/>
      <c r="J91" s="151"/>
      <c r="K91" s="151"/>
      <c r="L91" s="151"/>
      <c r="M91" s="151"/>
      <c r="N91" s="151"/>
      <c r="O91" s="159"/>
      <c r="P91" s="159"/>
      <c r="W91" s="1"/>
      <c r="X91" s="1"/>
      <c r="Y91" s="1"/>
      <c r="Z91" s="1"/>
      <c r="AA91" s="1"/>
      <c r="AB91" s="1"/>
    </row>
    <row r="92" spans="2:28" x14ac:dyDescent="0.3">
      <c r="B92" s="44"/>
      <c r="C92" s="44"/>
      <c r="D92" s="44"/>
      <c r="E92" s="44"/>
      <c r="F92" s="149"/>
      <c r="G92" s="149"/>
      <c r="H92" s="149"/>
      <c r="I92" s="151"/>
      <c r="J92" s="151"/>
      <c r="K92" s="151"/>
      <c r="L92" s="151"/>
      <c r="M92" s="151"/>
      <c r="N92" s="151"/>
      <c r="O92" s="159"/>
      <c r="P92" s="159"/>
      <c r="W92" s="1"/>
      <c r="X92" s="1"/>
      <c r="Y92" s="1"/>
      <c r="Z92" s="1"/>
      <c r="AA92" s="1"/>
      <c r="AB92" s="1"/>
    </row>
    <row r="93" spans="2:28" x14ac:dyDescent="0.3">
      <c r="B93" s="44"/>
      <c r="C93" s="44"/>
      <c r="D93" s="44"/>
      <c r="E93" s="44"/>
      <c r="F93" s="149"/>
      <c r="G93" s="149"/>
      <c r="H93" s="149"/>
      <c r="I93" s="151"/>
      <c r="J93" s="151"/>
      <c r="K93" s="151"/>
      <c r="L93" s="151"/>
      <c r="M93" s="151"/>
      <c r="N93" s="151"/>
      <c r="O93" s="159"/>
      <c r="P93" s="159"/>
    </row>
    <row r="94" spans="2:28" x14ac:dyDescent="0.3">
      <c r="B94" s="44"/>
      <c r="C94" s="44"/>
      <c r="D94" s="44"/>
      <c r="E94" s="44"/>
      <c r="F94" s="149"/>
      <c r="G94" s="149"/>
      <c r="H94" s="149"/>
      <c r="I94" s="151"/>
      <c r="J94" s="151"/>
      <c r="K94" s="151"/>
      <c r="L94" s="151"/>
      <c r="M94" s="151"/>
      <c r="N94" s="151"/>
      <c r="O94" s="159"/>
      <c r="P94" s="159"/>
    </row>
    <row r="95" spans="2:28" x14ac:dyDescent="0.3">
      <c r="B95" s="44"/>
      <c r="C95" s="44"/>
      <c r="D95" s="44"/>
      <c r="E95" s="44"/>
      <c r="F95" s="149"/>
      <c r="G95" s="149"/>
      <c r="H95" s="149"/>
      <c r="I95" s="151"/>
      <c r="J95" s="151"/>
      <c r="K95" s="151"/>
      <c r="L95" s="151"/>
      <c r="M95" s="151"/>
      <c r="N95" s="151"/>
      <c r="O95" s="159"/>
      <c r="P95" s="159"/>
    </row>
    <row r="96" spans="2:28" x14ac:dyDescent="0.3">
      <c r="B96" s="44"/>
      <c r="C96" s="44"/>
      <c r="D96" s="44"/>
      <c r="E96" s="44"/>
      <c r="F96" s="149"/>
      <c r="G96" s="149"/>
      <c r="H96" s="149"/>
      <c r="I96" s="151"/>
      <c r="J96" s="151"/>
      <c r="K96" s="151"/>
      <c r="L96" s="151"/>
      <c r="M96" s="151"/>
      <c r="N96" s="151"/>
      <c r="O96" s="159"/>
      <c r="P96" s="159"/>
    </row>
    <row r="97" spans="2:16" x14ac:dyDescent="0.3">
      <c r="B97" s="44"/>
      <c r="C97" s="44"/>
      <c r="D97" s="44"/>
      <c r="E97" s="44"/>
      <c r="F97" s="149"/>
      <c r="G97" s="149"/>
      <c r="H97" s="149"/>
      <c r="I97" s="151"/>
      <c r="J97" s="151"/>
      <c r="K97" s="151"/>
      <c r="L97" s="151"/>
      <c r="M97" s="151"/>
      <c r="N97" s="151"/>
      <c r="O97" s="159"/>
      <c r="P97" s="159"/>
    </row>
    <row r="98" spans="2:16" x14ac:dyDescent="0.3">
      <c r="B98" s="44"/>
      <c r="C98" s="44"/>
      <c r="D98" s="44"/>
      <c r="E98" s="44"/>
      <c r="F98" s="149"/>
      <c r="G98" s="149"/>
      <c r="H98" s="149"/>
      <c r="I98" s="151"/>
      <c r="J98" s="151"/>
      <c r="K98" s="151"/>
      <c r="L98" s="151"/>
      <c r="M98" s="151"/>
      <c r="N98" s="151"/>
      <c r="O98" s="159"/>
      <c r="P98" s="159"/>
    </row>
    <row r="99" spans="2:16" x14ac:dyDescent="0.3">
      <c r="B99" s="44"/>
      <c r="C99" s="44"/>
      <c r="D99" s="44"/>
      <c r="E99" s="44"/>
      <c r="F99" s="149"/>
      <c r="G99" s="149"/>
      <c r="H99" s="149"/>
      <c r="I99" s="151"/>
      <c r="J99" s="151"/>
      <c r="K99" s="151"/>
      <c r="L99" s="151"/>
      <c r="M99" s="151"/>
      <c r="N99" s="151"/>
      <c r="O99" s="159"/>
      <c r="P99" s="159"/>
    </row>
    <row r="100" spans="2:16" x14ac:dyDescent="0.3">
      <c r="B100" s="44"/>
      <c r="C100" s="44"/>
      <c r="D100" s="44"/>
      <c r="E100" s="44"/>
      <c r="F100" s="149"/>
      <c r="G100" s="149"/>
      <c r="H100" s="149"/>
      <c r="I100" s="151"/>
      <c r="J100" s="151"/>
      <c r="K100" s="151"/>
      <c r="L100" s="151"/>
      <c r="M100" s="151"/>
      <c r="N100" s="151"/>
      <c r="O100" s="159"/>
      <c r="P100" s="159"/>
    </row>
    <row r="101" spans="2:16" x14ac:dyDescent="0.3">
      <c r="B101" s="44"/>
      <c r="C101" s="44"/>
      <c r="D101" s="44"/>
      <c r="E101" s="44"/>
      <c r="F101" s="149"/>
      <c r="G101" s="149"/>
      <c r="H101" s="149"/>
      <c r="I101" s="151"/>
      <c r="J101" s="151"/>
      <c r="K101" s="151"/>
      <c r="L101" s="151"/>
      <c r="M101" s="151"/>
      <c r="N101" s="151"/>
      <c r="O101" s="159"/>
      <c r="P101" s="159"/>
    </row>
    <row r="102" spans="2:16" x14ac:dyDescent="0.3">
      <c r="B102" s="44"/>
      <c r="C102" s="44"/>
      <c r="D102" s="44"/>
      <c r="E102" s="44"/>
      <c r="F102" s="149"/>
      <c r="G102" s="149"/>
      <c r="H102" s="149"/>
      <c r="I102" s="151"/>
      <c r="J102" s="151"/>
      <c r="K102" s="151"/>
      <c r="L102" s="151"/>
      <c r="M102" s="151"/>
      <c r="N102" s="151"/>
      <c r="O102" s="159"/>
      <c r="P102" s="159"/>
    </row>
    <row r="103" spans="2:16" x14ac:dyDescent="0.3">
      <c r="B103" s="44"/>
      <c r="C103" s="44"/>
      <c r="D103" s="44"/>
      <c r="E103" s="44"/>
      <c r="F103" s="149"/>
      <c r="G103" s="149"/>
      <c r="H103" s="149"/>
      <c r="I103" s="151"/>
      <c r="J103" s="151"/>
      <c r="K103" s="151"/>
      <c r="L103" s="151"/>
      <c r="M103" s="151"/>
      <c r="N103" s="151"/>
      <c r="O103" s="159"/>
      <c r="P103" s="159"/>
    </row>
    <row r="104" spans="2:16" x14ac:dyDescent="0.3">
      <c r="B104" s="44"/>
      <c r="C104" s="44"/>
      <c r="D104" s="44"/>
      <c r="E104" s="44"/>
      <c r="F104" s="149"/>
      <c r="G104" s="149"/>
      <c r="H104" s="149"/>
      <c r="I104" s="151"/>
      <c r="J104" s="151"/>
      <c r="K104" s="151"/>
      <c r="L104" s="151"/>
      <c r="M104" s="151"/>
      <c r="N104" s="151"/>
      <c r="O104" s="159"/>
      <c r="P104" s="159"/>
    </row>
    <row r="105" spans="2:16" x14ac:dyDescent="0.3">
      <c r="B105" s="44"/>
      <c r="C105" s="44"/>
      <c r="D105" s="44"/>
      <c r="E105" s="44"/>
      <c r="F105" s="149"/>
      <c r="G105" s="149"/>
      <c r="H105" s="149"/>
      <c r="I105" s="151"/>
      <c r="J105" s="151"/>
      <c r="K105" s="151"/>
      <c r="L105" s="151"/>
      <c r="M105" s="151"/>
      <c r="N105" s="151"/>
      <c r="O105" s="159"/>
      <c r="P105" s="159"/>
    </row>
    <row r="106" spans="2:16" x14ac:dyDescent="0.3">
      <c r="B106" s="44"/>
      <c r="C106" s="44"/>
      <c r="D106" s="44"/>
      <c r="E106" s="44"/>
      <c r="F106" s="149"/>
      <c r="G106" s="149"/>
      <c r="H106" s="149"/>
      <c r="I106" s="151"/>
      <c r="J106" s="151"/>
      <c r="K106" s="151"/>
      <c r="L106" s="151"/>
      <c r="M106" s="151"/>
      <c r="N106" s="151"/>
      <c r="O106" s="159"/>
      <c r="P106" s="159"/>
    </row>
    <row r="107" spans="2:16" x14ac:dyDescent="0.3">
      <c r="B107" s="44"/>
      <c r="C107" s="44"/>
      <c r="D107" s="44"/>
      <c r="E107" s="44"/>
      <c r="F107" s="149"/>
      <c r="G107" s="149"/>
      <c r="H107" s="149"/>
      <c r="I107" s="151"/>
      <c r="J107" s="151"/>
      <c r="K107" s="151"/>
      <c r="L107" s="151"/>
      <c r="M107" s="151"/>
      <c r="N107" s="151"/>
      <c r="O107" s="159"/>
      <c r="P107" s="159"/>
    </row>
    <row r="108" spans="2:16" x14ac:dyDescent="0.3">
      <c r="B108" s="44"/>
      <c r="C108" s="44"/>
      <c r="D108" s="44"/>
      <c r="E108" s="44"/>
      <c r="F108" s="149"/>
      <c r="G108" s="149"/>
      <c r="H108" s="149"/>
      <c r="I108" s="151"/>
      <c r="J108" s="151"/>
      <c r="K108" s="151"/>
      <c r="L108" s="151"/>
      <c r="M108" s="151"/>
      <c r="N108" s="151"/>
      <c r="O108" s="159"/>
      <c r="P108" s="159"/>
    </row>
    <row r="109" spans="2:16" x14ac:dyDescent="0.3">
      <c r="B109" s="44"/>
      <c r="C109" s="44"/>
      <c r="D109" s="44"/>
      <c r="E109" s="44"/>
      <c r="F109" s="149"/>
      <c r="G109" s="149"/>
      <c r="H109" s="149"/>
      <c r="I109" s="151"/>
      <c r="J109" s="151"/>
      <c r="K109" s="151"/>
      <c r="L109" s="151"/>
      <c r="M109" s="151"/>
      <c r="N109" s="151"/>
      <c r="O109" s="159"/>
      <c r="P109" s="159"/>
    </row>
    <row r="110" spans="2:16" x14ac:dyDescent="0.3">
      <c r="B110" s="44"/>
      <c r="C110" s="44"/>
      <c r="D110" s="44"/>
      <c r="E110" s="44"/>
      <c r="F110" s="149"/>
      <c r="G110" s="149"/>
      <c r="H110" s="149"/>
      <c r="I110" s="151"/>
      <c r="J110" s="151"/>
      <c r="K110" s="151"/>
      <c r="L110" s="151"/>
      <c r="M110" s="151"/>
      <c r="N110" s="151"/>
      <c r="O110" s="159"/>
      <c r="P110" s="159"/>
    </row>
    <row r="111" spans="2:16" x14ac:dyDescent="0.3">
      <c r="B111" s="44"/>
      <c r="C111" s="44"/>
      <c r="D111" s="44"/>
      <c r="E111" s="44"/>
      <c r="F111" s="149"/>
      <c r="G111" s="149"/>
      <c r="H111" s="149"/>
      <c r="I111" s="151"/>
      <c r="J111" s="151"/>
      <c r="K111" s="151"/>
      <c r="L111" s="151"/>
      <c r="M111" s="151"/>
      <c r="N111" s="151"/>
      <c r="O111" s="159"/>
      <c r="P111" s="159"/>
    </row>
    <row r="112" spans="2:16" x14ac:dyDescent="0.3">
      <c r="B112" s="44"/>
      <c r="C112" s="44"/>
      <c r="D112" s="44"/>
      <c r="E112" s="44"/>
      <c r="F112" s="149"/>
      <c r="G112" s="149"/>
      <c r="H112" s="149"/>
      <c r="I112" s="151"/>
      <c r="J112" s="151"/>
      <c r="K112" s="151"/>
      <c r="L112" s="151"/>
      <c r="M112" s="151"/>
      <c r="N112" s="151"/>
      <c r="O112" s="159"/>
      <c r="P112" s="159"/>
    </row>
    <row r="113" spans="2:16" x14ac:dyDescent="0.3">
      <c r="B113" s="44"/>
      <c r="C113" s="44"/>
      <c r="D113" s="44"/>
      <c r="E113" s="44"/>
      <c r="F113" s="149"/>
      <c r="G113" s="149"/>
      <c r="H113" s="149"/>
      <c r="I113" s="151"/>
      <c r="J113" s="151"/>
      <c r="K113" s="151"/>
      <c r="L113" s="151"/>
      <c r="M113" s="151"/>
      <c r="N113" s="151"/>
      <c r="O113" s="159"/>
      <c r="P113" s="159"/>
    </row>
    <row r="114" spans="2:16" x14ac:dyDescent="0.3">
      <c r="B114" s="44"/>
      <c r="C114" s="44"/>
      <c r="D114" s="44"/>
      <c r="E114" s="44"/>
      <c r="F114" s="149"/>
      <c r="G114" s="149"/>
      <c r="H114" s="149"/>
      <c r="I114" s="151"/>
      <c r="J114" s="151"/>
      <c r="K114" s="151"/>
      <c r="L114" s="151"/>
      <c r="M114" s="151"/>
      <c r="N114" s="151"/>
      <c r="O114" s="159"/>
      <c r="P114" s="159"/>
    </row>
    <row r="115" spans="2:16" x14ac:dyDescent="0.3">
      <c r="B115" s="44"/>
      <c r="C115" s="44"/>
      <c r="D115" s="44"/>
      <c r="E115" s="44"/>
      <c r="F115" s="149"/>
      <c r="G115" s="149"/>
      <c r="H115" s="149"/>
      <c r="I115" s="151"/>
      <c r="J115" s="151"/>
      <c r="K115" s="151"/>
      <c r="L115" s="151"/>
      <c r="M115" s="151"/>
      <c r="N115" s="151"/>
      <c r="O115" s="159"/>
      <c r="P115" s="159"/>
    </row>
    <row r="116" spans="2:16" x14ac:dyDescent="0.3">
      <c r="B116" s="44"/>
      <c r="C116" s="44"/>
      <c r="D116" s="44"/>
      <c r="E116" s="44"/>
      <c r="F116" s="149"/>
      <c r="G116" s="149"/>
      <c r="H116" s="149"/>
      <c r="I116" s="151"/>
      <c r="J116" s="151"/>
      <c r="K116" s="151"/>
      <c r="L116" s="151"/>
      <c r="M116" s="151"/>
      <c r="N116" s="151"/>
      <c r="O116" s="159"/>
      <c r="P116" s="159"/>
    </row>
    <row r="117" spans="2:16" x14ac:dyDescent="0.3">
      <c r="B117" s="44"/>
      <c r="C117" s="44"/>
      <c r="D117" s="44"/>
      <c r="E117" s="44"/>
      <c r="F117" s="149"/>
      <c r="G117" s="149"/>
      <c r="H117" s="149"/>
      <c r="I117" s="151"/>
      <c r="J117" s="151"/>
      <c r="K117" s="151"/>
      <c r="L117" s="151"/>
      <c r="M117" s="151"/>
      <c r="N117" s="151"/>
      <c r="O117" s="159"/>
      <c r="P117" s="159"/>
    </row>
    <row r="118" spans="2:16" x14ac:dyDescent="0.3">
      <c r="B118" s="44"/>
      <c r="C118" s="44"/>
      <c r="D118" s="44"/>
      <c r="E118" s="44"/>
      <c r="F118" s="149"/>
      <c r="G118" s="149"/>
      <c r="H118" s="149"/>
      <c r="I118" s="151"/>
      <c r="J118" s="151"/>
      <c r="K118" s="151"/>
      <c r="L118" s="151"/>
      <c r="M118" s="151"/>
      <c r="N118" s="151"/>
      <c r="O118" s="159"/>
      <c r="P118" s="159"/>
    </row>
    <row r="119" spans="2:16" x14ac:dyDescent="0.3">
      <c r="B119" s="44"/>
      <c r="C119" s="44"/>
      <c r="D119" s="44"/>
      <c r="E119" s="44"/>
      <c r="F119" s="149"/>
      <c r="G119" s="149"/>
      <c r="H119" s="149"/>
      <c r="I119" s="151"/>
      <c r="J119" s="151"/>
      <c r="K119" s="151"/>
      <c r="L119" s="151"/>
      <c r="M119" s="151"/>
      <c r="N119" s="151"/>
      <c r="O119" s="159"/>
      <c r="P119" s="159"/>
    </row>
    <row r="120" spans="2:16" x14ac:dyDescent="0.3">
      <c r="B120" s="44"/>
      <c r="C120" s="44"/>
      <c r="D120" s="44"/>
      <c r="E120" s="44"/>
      <c r="F120" s="149"/>
      <c r="G120" s="149"/>
      <c r="H120" s="149"/>
      <c r="I120" s="151"/>
      <c r="J120" s="151"/>
      <c r="K120" s="151"/>
      <c r="L120" s="151"/>
      <c r="M120" s="151"/>
      <c r="N120" s="151"/>
      <c r="O120" s="159"/>
      <c r="P120" s="159"/>
    </row>
    <row r="121" spans="2:16" x14ac:dyDescent="0.3">
      <c r="B121" s="44"/>
      <c r="C121" s="44"/>
      <c r="D121" s="44"/>
      <c r="E121" s="44"/>
      <c r="F121" s="149"/>
      <c r="G121" s="149"/>
      <c r="H121" s="149"/>
      <c r="I121" s="151"/>
      <c r="J121" s="151"/>
      <c r="K121" s="151"/>
      <c r="L121" s="151"/>
      <c r="M121" s="151"/>
      <c r="N121" s="151"/>
      <c r="O121" s="159"/>
      <c r="P121" s="159"/>
    </row>
    <row r="122" spans="2:16" x14ac:dyDescent="0.3">
      <c r="B122" s="44"/>
      <c r="C122" s="44"/>
      <c r="D122" s="44"/>
      <c r="E122" s="44"/>
      <c r="F122" s="149"/>
      <c r="G122" s="149"/>
      <c r="H122" s="149"/>
      <c r="I122" s="151"/>
      <c r="J122" s="151"/>
      <c r="K122" s="151"/>
      <c r="L122" s="151"/>
      <c r="M122" s="151"/>
      <c r="N122" s="151"/>
      <c r="O122" s="159"/>
      <c r="P122" s="159"/>
    </row>
    <row r="123" spans="2:16" x14ac:dyDescent="0.3">
      <c r="B123" s="44"/>
      <c r="C123" s="44"/>
      <c r="D123" s="44"/>
      <c r="E123" s="44"/>
      <c r="F123" s="149"/>
      <c r="G123" s="149"/>
      <c r="H123" s="149"/>
      <c r="I123" s="151"/>
      <c r="J123" s="151"/>
      <c r="K123" s="151"/>
      <c r="L123" s="151"/>
      <c r="M123" s="151"/>
      <c r="N123" s="151"/>
      <c r="O123" s="159"/>
      <c r="P123" s="159"/>
    </row>
    <row r="124" spans="2:16" x14ac:dyDescent="0.3">
      <c r="B124" s="44"/>
      <c r="C124" s="44"/>
      <c r="D124" s="44"/>
      <c r="E124" s="44"/>
      <c r="F124" s="149"/>
      <c r="G124" s="149"/>
      <c r="H124" s="149"/>
      <c r="I124" s="151"/>
      <c r="J124" s="151"/>
      <c r="K124" s="151"/>
      <c r="L124" s="151"/>
      <c r="M124" s="151"/>
      <c r="N124" s="151"/>
      <c r="O124" s="159"/>
      <c r="P124" s="159"/>
    </row>
    <row r="125" spans="2:16" x14ac:dyDescent="0.3">
      <c r="B125" s="44"/>
      <c r="C125" s="44"/>
      <c r="D125" s="44"/>
      <c r="E125" s="44"/>
      <c r="F125" s="149"/>
      <c r="G125" s="149"/>
      <c r="H125" s="149"/>
      <c r="I125" s="151"/>
      <c r="J125" s="151"/>
      <c r="K125" s="151"/>
      <c r="L125" s="151"/>
      <c r="M125" s="151"/>
      <c r="N125" s="151"/>
      <c r="O125" s="159"/>
      <c r="P125" s="159"/>
    </row>
    <row r="126" spans="2:16" x14ac:dyDescent="0.3">
      <c r="B126" s="44"/>
      <c r="C126" s="44"/>
      <c r="D126" s="44"/>
      <c r="E126" s="44"/>
      <c r="F126" s="149"/>
      <c r="G126" s="149"/>
      <c r="H126" s="149"/>
      <c r="I126" s="151"/>
      <c r="J126" s="151"/>
      <c r="K126" s="151"/>
      <c r="L126" s="151"/>
      <c r="M126" s="151"/>
      <c r="N126" s="151"/>
      <c r="O126" s="159"/>
      <c r="P126" s="159"/>
    </row>
    <row r="127" spans="2:16" x14ac:dyDescent="0.3">
      <c r="B127" s="44"/>
      <c r="C127" s="44"/>
      <c r="D127" s="44"/>
      <c r="E127" s="44"/>
      <c r="F127" s="149"/>
      <c r="G127" s="149"/>
      <c r="H127" s="149"/>
      <c r="I127" s="151"/>
      <c r="J127" s="151"/>
      <c r="K127" s="151"/>
      <c r="L127" s="151"/>
      <c r="M127" s="151"/>
      <c r="N127" s="151"/>
      <c r="O127" s="159"/>
      <c r="P127" s="159"/>
    </row>
    <row r="128" spans="2:16" x14ac:dyDescent="0.3">
      <c r="B128" s="44"/>
      <c r="C128" s="44"/>
      <c r="D128" s="44"/>
      <c r="E128" s="44"/>
      <c r="F128" s="149"/>
      <c r="G128" s="149"/>
      <c r="H128" s="149"/>
      <c r="I128" s="151"/>
      <c r="J128" s="151"/>
      <c r="K128" s="151"/>
      <c r="L128" s="151"/>
      <c r="M128" s="151"/>
      <c r="N128" s="151"/>
      <c r="O128" s="159"/>
      <c r="P128" s="159"/>
    </row>
    <row r="129" spans="2:16" x14ac:dyDescent="0.3">
      <c r="B129" s="44"/>
      <c r="C129" s="44"/>
      <c r="D129" s="44"/>
      <c r="E129" s="44"/>
      <c r="F129" s="149"/>
      <c r="G129" s="149"/>
      <c r="H129" s="149"/>
      <c r="I129" s="151"/>
      <c r="J129" s="151"/>
      <c r="K129" s="151"/>
      <c r="L129" s="151"/>
      <c r="M129" s="151"/>
      <c r="N129" s="151"/>
      <c r="O129" s="159"/>
      <c r="P129" s="159"/>
    </row>
    <row r="130" spans="2:16" x14ac:dyDescent="0.3">
      <c r="B130" s="44"/>
      <c r="C130" s="44"/>
      <c r="D130" s="44"/>
      <c r="E130" s="44"/>
      <c r="F130" s="149"/>
      <c r="G130" s="149"/>
      <c r="H130" s="149"/>
      <c r="I130" s="151"/>
      <c r="J130" s="151"/>
      <c r="K130" s="151"/>
      <c r="L130" s="151"/>
      <c r="M130" s="151"/>
      <c r="N130" s="151"/>
      <c r="O130" s="159"/>
      <c r="P130" s="159"/>
    </row>
    <row r="131" spans="2:16" x14ac:dyDescent="0.3">
      <c r="B131" s="44"/>
      <c r="C131" s="44"/>
      <c r="D131" s="44"/>
      <c r="E131" s="44"/>
      <c r="F131" s="149"/>
      <c r="G131" s="149"/>
      <c r="H131" s="149"/>
      <c r="I131" s="151"/>
      <c r="J131" s="151"/>
      <c r="K131" s="151"/>
      <c r="L131" s="151"/>
      <c r="M131" s="151"/>
      <c r="N131" s="151"/>
      <c r="O131" s="159"/>
      <c r="P131" s="159"/>
    </row>
    <row r="132" spans="2:16" x14ac:dyDescent="0.3">
      <c r="B132" s="44"/>
      <c r="C132" s="44"/>
      <c r="D132" s="44"/>
      <c r="E132" s="44"/>
      <c r="F132" s="149"/>
      <c r="G132" s="149"/>
      <c r="H132" s="149"/>
      <c r="I132" s="151"/>
      <c r="J132" s="151"/>
      <c r="K132" s="151"/>
      <c r="L132" s="151"/>
      <c r="M132" s="151"/>
      <c r="N132" s="151"/>
      <c r="O132" s="159"/>
      <c r="P132" s="159"/>
    </row>
    <row r="133" spans="2:16" x14ac:dyDescent="0.3">
      <c r="B133" s="44"/>
      <c r="C133" s="44"/>
      <c r="D133" s="44"/>
      <c r="E133" s="44"/>
      <c r="F133" s="149"/>
      <c r="G133" s="149"/>
      <c r="H133" s="149"/>
      <c r="I133" s="151"/>
      <c r="J133" s="151"/>
      <c r="K133" s="151"/>
      <c r="L133" s="151"/>
      <c r="M133" s="151"/>
      <c r="N133" s="151"/>
      <c r="O133" s="159"/>
      <c r="P133" s="159"/>
    </row>
    <row r="134" spans="2:16" x14ac:dyDescent="0.3">
      <c r="B134" s="44"/>
      <c r="C134" s="44"/>
      <c r="D134" s="44"/>
      <c r="E134" s="44"/>
      <c r="F134" s="149"/>
      <c r="G134" s="149"/>
      <c r="H134" s="149"/>
      <c r="I134" s="151"/>
      <c r="J134" s="151"/>
      <c r="K134" s="151"/>
      <c r="L134" s="151"/>
      <c r="M134" s="151"/>
      <c r="N134" s="151"/>
      <c r="O134" s="159"/>
      <c r="P134" s="159"/>
    </row>
    <row r="135" spans="2:16" x14ac:dyDescent="0.3">
      <c r="B135" s="44"/>
      <c r="C135" s="44"/>
      <c r="D135" s="44"/>
      <c r="E135" s="44"/>
      <c r="F135" s="149"/>
      <c r="G135" s="149"/>
      <c r="H135" s="149"/>
      <c r="I135" s="151"/>
      <c r="J135" s="151"/>
      <c r="K135" s="151"/>
      <c r="L135" s="151"/>
      <c r="M135" s="151"/>
      <c r="N135" s="151"/>
      <c r="O135" s="159"/>
      <c r="P135" s="159"/>
    </row>
    <row r="136" spans="2:16" x14ac:dyDescent="0.3">
      <c r="B136" s="44"/>
      <c r="C136" s="44"/>
      <c r="D136" s="44"/>
      <c r="E136" s="44"/>
      <c r="F136" s="149"/>
      <c r="G136" s="149"/>
      <c r="H136" s="149"/>
      <c r="I136" s="151"/>
      <c r="J136" s="151"/>
      <c r="K136" s="151"/>
      <c r="L136" s="151"/>
      <c r="M136" s="151"/>
      <c r="N136" s="151"/>
      <c r="O136" s="159"/>
      <c r="P136" s="159"/>
    </row>
    <row r="137" spans="2:16" x14ac:dyDescent="0.3">
      <c r="B137" s="44"/>
      <c r="C137" s="44"/>
      <c r="D137" s="44"/>
      <c r="E137" s="44"/>
      <c r="F137" s="149"/>
      <c r="G137" s="149"/>
      <c r="H137" s="149"/>
      <c r="I137" s="151"/>
      <c r="J137" s="151"/>
      <c r="K137" s="151"/>
      <c r="L137" s="151"/>
      <c r="M137" s="151"/>
      <c r="N137" s="151"/>
      <c r="O137" s="159"/>
      <c r="P137" s="159"/>
    </row>
    <row r="138" spans="2:16" x14ac:dyDescent="0.3">
      <c r="B138" s="44"/>
      <c r="C138" s="44"/>
      <c r="D138" s="44"/>
      <c r="E138" s="44"/>
      <c r="F138" s="149"/>
      <c r="G138" s="149"/>
      <c r="H138" s="149"/>
      <c r="I138" s="151"/>
      <c r="J138" s="151"/>
      <c r="K138" s="151"/>
      <c r="L138" s="151"/>
      <c r="M138" s="151"/>
      <c r="N138" s="151"/>
      <c r="O138" s="159"/>
      <c r="P138" s="159"/>
    </row>
    <row r="139" spans="2:16" x14ac:dyDescent="0.3">
      <c r="B139" s="44"/>
      <c r="C139" s="44"/>
      <c r="D139" s="44"/>
      <c r="E139" s="44"/>
      <c r="F139" s="149"/>
      <c r="G139" s="149"/>
      <c r="H139" s="149"/>
      <c r="I139" s="151"/>
      <c r="J139" s="151"/>
      <c r="K139" s="151"/>
      <c r="L139" s="151"/>
      <c r="M139" s="151"/>
      <c r="N139" s="151"/>
      <c r="O139" s="159"/>
      <c r="P139" s="159"/>
    </row>
    <row r="140" spans="2:16" x14ac:dyDescent="0.3">
      <c r="B140" s="44"/>
      <c r="C140" s="44"/>
      <c r="D140" s="44"/>
      <c r="E140" s="44"/>
      <c r="F140" s="149"/>
      <c r="G140" s="149"/>
      <c r="H140" s="149"/>
      <c r="I140" s="151"/>
      <c r="J140" s="151"/>
      <c r="K140" s="151"/>
      <c r="L140" s="151"/>
      <c r="M140" s="151"/>
      <c r="N140" s="151"/>
      <c r="O140" s="159"/>
      <c r="P140" s="159"/>
    </row>
    <row r="141" spans="2:16" x14ac:dyDescent="0.3">
      <c r="B141" s="44"/>
      <c r="C141" s="44"/>
      <c r="D141" s="44"/>
      <c r="E141" s="44"/>
      <c r="F141" s="149"/>
      <c r="G141" s="149"/>
      <c r="H141" s="149"/>
      <c r="I141" s="151"/>
      <c r="J141" s="151"/>
      <c r="K141" s="151"/>
      <c r="L141" s="151"/>
      <c r="M141" s="151"/>
      <c r="N141" s="151"/>
      <c r="O141" s="159"/>
      <c r="P141" s="159"/>
    </row>
    <row r="142" spans="2:16" x14ac:dyDescent="0.3">
      <c r="B142" s="44"/>
      <c r="C142" s="44"/>
      <c r="D142" s="44"/>
      <c r="E142" s="44"/>
      <c r="F142" s="149"/>
      <c r="G142" s="149"/>
      <c r="H142" s="149"/>
      <c r="I142" s="151"/>
      <c r="J142" s="151"/>
      <c r="K142" s="151"/>
      <c r="L142" s="151"/>
      <c r="M142" s="151"/>
      <c r="N142" s="151"/>
      <c r="O142" s="159"/>
      <c r="P142" s="159"/>
    </row>
    <row r="143" spans="2:16" x14ac:dyDescent="0.3">
      <c r="B143" s="44"/>
      <c r="C143" s="44"/>
      <c r="D143" s="44"/>
      <c r="E143" s="44"/>
      <c r="F143" s="149"/>
      <c r="G143" s="149"/>
      <c r="H143" s="149"/>
      <c r="I143" s="151"/>
      <c r="J143" s="151"/>
      <c r="K143" s="151"/>
      <c r="L143" s="151"/>
      <c r="M143" s="151"/>
      <c r="N143" s="151"/>
      <c r="O143" s="159"/>
      <c r="P143" s="159"/>
    </row>
    <row r="144" spans="2:16" x14ac:dyDescent="0.3">
      <c r="B144" s="44"/>
      <c r="C144" s="44"/>
      <c r="D144" s="44"/>
      <c r="E144" s="44"/>
      <c r="F144" s="149"/>
      <c r="G144" s="149"/>
      <c r="H144" s="149"/>
      <c r="I144" s="151"/>
      <c r="J144" s="151"/>
      <c r="K144" s="151"/>
      <c r="L144" s="151"/>
      <c r="M144" s="151"/>
      <c r="N144" s="151"/>
      <c r="O144" s="159"/>
      <c r="P144" s="159"/>
    </row>
    <row r="145" spans="2:16" x14ac:dyDescent="0.3">
      <c r="B145" s="44"/>
      <c r="C145" s="44"/>
      <c r="D145" s="44"/>
      <c r="E145" s="44"/>
      <c r="F145" s="149"/>
      <c r="G145" s="149"/>
      <c r="H145" s="149"/>
      <c r="I145" s="151"/>
      <c r="J145" s="151"/>
      <c r="K145" s="151"/>
      <c r="L145" s="151"/>
      <c r="M145" s="151"/>
      <c r="N145" s="151"/>
      <c r="O145" s="159"/>
      <c r="P145" s="159"/>
    </row>
    <row r="146" spans="2:16" x14ac:dyDescent="0.3">
      <c r="B146" s="44"/>
      <c r="C146" s="44"/>
      <c r="D146" s="44"/>
      <c r="E146" s="44"/>
      <c r="F146" s="149"/>
      <c r="G146" s="149"/>
      <c r="H146" s="149"/>
      <c r="I146" s="151"/>
      <c r="J146" s="151"/>
      <c r="K146" s="151"/>
      <c r="L146" s="151"/>
      <c r="M146" s="151"/>
      <c r="N146" s="151"/>
      <c r="O146" s="159"/>
      <c r="P146" s="159"/>
    </row>
    <row r="147" spans="2:16" x14ac:dyDescent="0.3">
      <c r="B147" s="44"/>
      <c r="C147" s="44"/>
      <c r="D147" s="44"/>
      <c r="E147" s="44"/>
      <c r="F147" s="149"/>
      <c r="G147" s="149"/>
      <c r="H147" s="149"/>
      <c r="I147" s="151"/>
      <c r="J147" s="151"/>
      <c r="K147" s="151"/>
      <c r="L147" s="151"/>
      <c r="M147" s="151"/>
      <c r="N147" s="151"/>
      <c r="O147" s="159"/>
      <c r="P147" s="159"/>
    </row>
    <row r="148" spans="2:16" x14ac:dyDescent="0.3">
      <c r="B148" s="44"/>
      <c r="C148" s="44"/>
      <c r="D148" s="44"/>
      <c r="E148" s="44"/>
      <c r="F148" s="149"/>
      <c r="G148" s="149"/>
      <c r="H148" s="149"/>
      <c r="I148" s="151"/>
      <c r="J148" s="151"/>
      <c r="K148" s="151"/>
      <c r="L148" s="151"/>
      <c r="M148" s="151"/>
      <c r="N148" s="151"/>
      <c r="O148" s="159"/>
      <c r="P148" s="159"/>
    </row>
    <row r="149" spans="2:16" x14ac:dyDescent="0.3">
      <c r="B149" s="44"/>
      <c r="C149" s="44"/>
      <c r="D149" s="44"/>
      <c r="E149" s="44"/>
      <c r="F149" s="149"/>
      <c r="G149" s="149"/>
      <c r="H149" s="149"/>
      <c r="I149" s="151"/>
      <c r="J149" s="151"/>
      <c r="K149" s="151"/>
      <c r="L149" s="151"/>
      <c r="M149" s="151"/>
      <c r="N149" s="151"/>
      <c r="O149" s="159"/>
      <c r="P149" s="159"/>
    </row>
    <row r="150" spans="2:16" x14ac:dyDescent="0.3">
      <c r="B150" s="44"/>
      <c r="C150" s="44"/>
      <c r="D150" s="44"/>
      <c r="E150" s="44"/>
      <c r="F150" s="149"/>
      <c r="G150" s="149"/>
      <c r="H150" s="149"/>
      <c r="I150" s="151"/>
      <c r="J150" s="151"/>
      <c r="K150" s="151"/>
      <c r="L150" s="151"/>
      <c r="M150" s="151"/>
      <c r="N150" s="151"/>
      <c r="O150" s="159"/>
      <c r="P150" s="159"/>
    </row>
    <row r="151" spans="2:16" x14ac:dyDescent="0.3">
      <c r="B151" s="44"/>
      <c r="C151" s="44"/>
      <c r="D151" s="44"/>
      <c r="E151" s="44"/>
      <c r="F151" s="149"/>
      <c r="G151" s="149"/>
      <c r="H151" s="149"/>
      <c r="I151" s="151"/>
      <c r="J151" s="151"/>
      <c r="K151" s="151"/>
      <c r="L151" s="151"/>
      <c r="M151" s="151"/>
      <c r="N151" s="151"/>
      <c r="O151" s="159"/>
      <c r="P151" s="159"/>
    </row>
    <row r="152" spans="2:16" x14ac:dyDescent="0.3">
      <c r="B152" s="44"/>
      <c r="C152" s="44"/>
      <c r="D152" s="44"/>
      <c r="E152" s="44"/>
      <c r="F152" s="149"/>
      <c r="G152" s="149"/>
      <c r="H152" s="149"/>
      <c r="I152" s="151"/>
      <c r="J152" s="151"/>
      <c r="K152" s="151"/>
      <c r="L152" s="151"/>
      <c r="M152" s="151"/>
      <c r="N152" s="151"/>
      <c r="O152" s="159"/>
      <c r="P152" s="159"/>
    </row>
    <row r="153" spans="2:16" x14ac:dyDescent="0.3">
      <c r="B153" s="44"/>
      <c r="C153" s="44"/>
      <c r="D153" s="44"/>
      <c r="E153" s="44"/>
      <c r="F153" s="149"/>
      <c r="G153" s="149"/>
      <c r="H153" s="149"/>
      <c r="I153" s="151"/>
      <c r="J153" s="151"/>
      <c r="K153" s="151"/>
      <c r="L153" s="151"/>
      <c r="M153" s="151"/>
      <c r="N153" s="151"/>
      <c r="O153" s="159"/>
      <c r="P153" s="159"/>
    </row>
    <row r="154" spans="2:16" x14ac:dyDescent="0.3">
      <c r="B154" s="44"/>
      <c r="C154" s="44"/>
      <c r="D154" s="44"/>
      <c r="E154" s="44"/>
      <c r="F154" s="149"/>
      <c r="G154" s="149"/>
      <c r="H154" s="149"/>
      <c r="I154" s="151"/>
      <c r="J154" s="151"/>
      <c r="K154" s="151"/>
      <c r="L154" s="151"/>
      <c r="M154" s="151"/>
      <c r="N154" s="151"/>
      <c r="O154" s="159"/>
      <c r="P154" s="159"/>
    </row>
    <row r="155" spans="2:16" x14ac:dyDescent="0.3">
      <c r="B155" s="44"/>
      <c r="C155" s="44"/>
      <c r="D155" s="44"/>
      <c r="E155" s="44"/>
      <c r="F155" s="149"/>
      <c r="G155" s="149"/>
      <c r="H155" s="149"/>
      <c r="I155" s="151"/>
      <c r="J155" s="151"/>
      <c r="K155" s="151"/>
      <c r="L155" s="151"/>
      <c r="M155" s="151"/>
      <c r="N155" s="151"/>
      <c r="O155" s="159"/>
      <c r="P155" s="159"/>
    </row>
    <row r="156" spans="2:16" x14ac:dyDescent="0.3">
      <c r="B156" s="44"/>
      <c r="C156" s="44"/>
      <c r="D156" s="44"/>
      <c r="E156" s="44"/>
      <c r="F156" s="149"/>
      <c r="G156" s="149"/>
      <c r="H156" s="149"/>
      <c r="I156" s="151"/>
      <c r="J156" s="151"/>
      <c r="K156" s="151"/>
      <c r="L156" s="151"/>
      <c r="M156" s="151"/>
      <c r="N156" s="151"/>
      <c r="O156" s="159"/>
      <c r="P156" s="159"/>
    </row>
    <row r="157" spans="2:16" x14ac:dyDescent="0.3">
      <c r="B157" s="44"/>
      <c r="C157" s="44"/>
      <c r="D157" s="44"/>
      <c r="E157" s="44"/>
      <c r="F157" s="149"/>
      <c r="G157" s="149"/>
      <c r="H157" s="149"/>
      <c r="I157" s="151"/>
      <c r="J157" s="151"/>
      <c r="K157" s="151"/>
      <c r="L157" s="151"/>
      <c r="M157" s="151"/>
      <c r="N157" s="151"/>
      <c r="O157" s="159"/>
      <c r="P157" s="159"/>
    </row>
    <row r="158" spans="2:16" x14ac:dyDescent="0.3">
      <c r="B158" s="44"/>
      <c r="C158" s="44"/>
      <c r="D158" s="44"/>
      <c r="E158" s="44"/>
      <c r="F158" s="149"/>
      <c r="G158" s="149"/>
      <c r="H158" s="149"/>
      <c r="I158" s="151"/>
      <c r="J158" s="151"/>
      <c r="K158" s="151"/>
      <c r="L158" s="151"/>
      <c r="M158" s="151"/>
      <c r="N158" s="151"/>
      <c r="O158" s="159"/>
      <c r="P158" s="159"/>
    </row>
    <row r="159" spans="2:16" x14ac:dyDescent="0.3">
      <c r="B159" s="44"/>
      <c r="C159" s="44"/>
      <c r="D159" s="44"/>
      <c r="E159" s="44"/>
      <c r="F159" s="149"/>
      <c r="G159" s="149"/>
      <c r="H159" s="149"/>
      <c r="I159" s="151"/>
      <c r="J159" s="151"/>
      <c r="K159" s="151"/>
      <c r="L159" s="151"/>
      <c r="M159" s="151"/>
      <c r="N159" s="151"/>
      <c r="O159" s="159"/>
      <c r="P159" s="159"/>
    </row>
    <row r="160" spans="2:16" x14ac:dyDescent="0.3">
      <c r="B160" s="44"/>
      <c r="C160" s="44"/>
      <c r="D160" s="44"/>
      <c r="E160" s="44"/>
      <c r="F160" s="149"/>
      <c r="G160" s="149"/>
      <c r="H160" s="149"/>
      <c r="I160" s="151"/>
      <c r="J160" s="151"/>
      <c r="K160" s="151"/>
      <c r="L160" s="151"/>
      <c r="M160" s="151"/>
      <c r="N160" s="151"/>
      <c r="O160" s="159"/>
      <c r="P160" s="159"/>
    </row>
    <row r="161" spans="2:16" x14ac:dyDescent="0.3">
      <c r="B161" s="44"/>
      <c r="C161" s="44"/>
      <c r="D161" s="44"/>
      <c r="E161" s="44"/>
      <c r="F161" s="149"/>
      <c r="G161" s="149"/>
      <c r="H161" s="149"/>
      <c r="I161" s="151"/>
      <c r="J161" s="151"/>
      <c r="K161" s="151"/>
      <c r="L161" s="151"/>
      <c r="M161" s="151"/>
      <c r="N161" s="151"/>
      <c r="O161" s="159"/>
      <c r="P161" s="159"/>
    </row>
    <row r="162" spans="2:16" x14ac:dyDescent="0.3">
      <c r="B162" s="44"/>
      <c r="C162" s="44"/>
      <c r="D162" s="44"/>
      <c r="E162" s="44"/>
      <c r="F162" s="149"/>
      <c r="G162" s="149"/>
      <c r="H162" s="149"/>
      <c r="I162" s="151"/>
      <c r="J162" s="151"/>
      <c r="K162" s="151"/>
      <c r="L162" s="151"/>
      <c r="M162" s="151"/>
      <c r="N162" s="151"/>
      <c r="O162" s="159"/>
      <c r="P162" s="159"/>
    </row>
    <row r="163" spans="2:16" x14ac:dyDescent="0.3">
      <c r="B163" s="44"/>
      <c r="C163" s="44"/>
      <c r="D163" s="44"/>
      <c r="E163" s="44"/>
      <c r="F163" s="149"/>
      <c r="G163" s="149"/>
      <c r="H163" s="149"/>
      <c r="I163" s="151"/>
      <c r="J163" s="151"/>
      <c r="K163" s="151"/>
      <c r="L163" s="151"/>
      <c r="M163" s="151"/>
      <c r="N163" s="151"/>
      <c r="O163" s="159"/>
      <c r="P163" s="159"/>
    </row>
    <row r="164" spans="2:16" x14ac:dyDescent="0.3">
      <c r="B164" s="44"/>
      <c r="C164" s="44"/>
      <c r="D164" s="44"/>
      <c r="E164" s="44"/>
      <c r="F164" s="149"/>
      <c r="G164" s="149"/>
      <c r="H164" s="149"/>
      <c r="I164" s="151"/>
      <c r="J164" s="151"/>
      <c r="K164" s="151"/>
      <c r="L164" s="151"/>
      <c r="M164" s="151"/>
      <c r="N164" s="151"/>
      <c r="O164" s="159"/>
      <c r="P164" s="159"/>
    </row>
    <row r="165" spans="2:16" x14ac:dyDescent="0.3">
      <c r="B165" s="44"/>
      <c r="C165" s="44"/>
      <c r="D165" s="44"/>
      <c r="E165" s="44"/>
      <c r="F165" s="149"/>
      <c r="G165" s="149"/>
      <c r="H165" s="149"/>
      <c r="I165" s="151"/>
      <c r="J165" s="151"/>
      <c r="K165" s="151"/>
      <c r="L165" s="151"/>
      <c r="M165" s="151"/>
      <c r="N165" s="151"/>
      <c r="O165" s="159"/>
      <c r="P165" s="159"/>
    </row>
    <row r="166" spans="2:16" x14ac:dyDescent="0.3">
      <c r="B166" s="44"/>
      <c r="C166" s="44"/>
      <c r="D166" s="44"/>
      <c r="E166" s="44"/>
      <c r="F166" s="149"/>
      <c r="G166" s="149"/>
      <c r="H166" s="149"/>
      <c r="I166" s="151"/>
      <c r="J166" s="151"/>
      <c r="K166" s="151"/>
      <c r="L166" s="151"/>
      <c r="M166" s="151"/>
      <c r="N166" s="151"/>
      <c r="O166" s="159"/>
      <c r="P166" s="159"/>
    </row>
    <row r="167" spans="2:16" x14ac:dyDescent="0.3">
      <c r="B167" s="44"/>
      <c r="C167" s="44"/>
      <c r="D167" s="44"/>
      <c r="E167" s="44"/>
      <c r="F167" s="149"/>
      <c r="G167" s="149"/>
      <c r="H167" s="149"/>
      <c r="I167" s="151"/>
      <c r="J167" s="151"/>
      <c r="K167" s="151"/>
      <c r="L167" s="151"/>
      <c r="M167" s="151"/>
      <c r="N167" s="151"/>
      <c r="O167" s="159"/>
      <c r="P167" s="159"/>
    </row>
    <row r="168" spans="2:16" x14ac:dyDescent="0.3">
      <c r="B168" s="44"/>
      <c r="C168" s="44"/>
      <c r="D168" s="44"/>
      <c r="E168" s="44"/>
      <c r="F168" s="149"/>
      <c r="G168" s="149"/>
      <c r="H168" s="149"/>
      <c r="I168" s="151"/>
      <c r="J168" s="151"/>
      <c r="K168" s="151"/>
      <c r="L168" s="151"/>
      <c r="M168" s="151"/>
      <c r="N168" s="151"/>
      <c r="O168" s="159"/>
      <c r="P168" s="159"/>
    </row>
    <row r="169" spans="2:16" x14ac:dyDescent="0.3">
      <c r="B169" s="44"/>
      <c r="C169" s="44"/>
      <c r="D169" s="44"/>
      <c r="E169" s="44"/>
      <c r="F169" s="149"/>
      <c r="G169" s="149"/>
      <c r="H169" s="149"/>
      <c r="I169" s="151"/>
      <c r="J169" s="151"/>
      <c r="K169" s="151"/>
      <c r="L169" s="151"/>
      <c r="M169" s="151"/>
      <c r="N169" s="151"/>
      <c r="O169" s="159"/>
      <c r="P169" s="159"/>
    </row>
    <row r="170" spans="2:16" x14ac:dyDescent="0.3">
      <c r="B170" s="44"/>
      <c r="C170" s="44"/>
      <c r="D170" s="44"/>
      <c r="E170" s="44"/>
      <c r="F170" s="149"/>
      <c r="G170" s="149"/>
      <c r="H170" s="149"/>
      <c r="I170" s="151"/>
      <c r="J170" s="151"/>
      <c r="K170" s="151"/>
      <c r="L170" s="151"/>
      <c r="M170" s="151"/>
      <c r="N170" s="151"/>
      <c r="O170" s="159"/>
      <c r="P170" s="159"/>
    </row>
    <row r="171" spans="2:16" x14ac:dyDescent="0.3">
      <c r="B171" s="44"/>
      <c r="C171" s="44"/>
      <c r="D171" s="44"/>
      <c r="E171" s="44"/>
      <c r="F171" s="149"/>
      <c r="G171" s="149"/>
      <c r="H171" s="149"/>
      <c r="I171" s="151"/>
      <c r="J171" s="151"/>
      <c r="K171" s="151"/>
      <c r="L171" s="151"/>
      <c r="M171" s="151"/>
      <c r="N171" s="151"/>
      <c r="O171" s="159"/>
      <c r="P171" s="159"/>
    </row>
    <row r="172" spans="2:16" x14ac:dyDescent="0.3">
      <c r="B172" s="44"/>
      <c r="C172" s="44"/>
      <c r="D172" s="44"/>
      <c r="E172" s="44"/>
      <c r="F172" s="149"/>
      <c r="G172" s="149"/>
      <c r="H172" s="149"/>
      <c r="I172" s="151"/>
      <c r="J172" s="151"/>
      <c r="K172" s="151"/>
      <c r="L172" s="151"/>
      <c r="M172" s="151"/>
      <c r="N172" s="151"/>
      <c r="O172" s="159"/>
      <c r="P172" s="159"/>
    </row>
    <row r="173" spans="2:16" x14ac:dyDescent="0.3">
      <c r="B173" s="44"/>
      <c r="C173" s="44"/>
      <c r="D173" s="44"/>
      <c r="E173" s="44"/>
      <c r="F173" s="149"/>
      <c r="G173" s="149"/>
      <c r="H173" s="149"/>
      <c r="I173" s="151"/>
      <c r="J173" s="151"/>
      <c r="K173" s="151"/>
      <c r="L173" s="151"/>
      <c r="M173" s="151"/>
      <c r="N173" s="151"/>
      <c r="O173" s="159"/>
      <c r="P173" s="159"/>
    </row>
    <row r="174" spans="2:16" x14ac:dyDescent="0.3">
      <c r="B174" s="44"/>
      <c r="C174" s="44"/>
      <c r="D174" s="44"/>
      <c r="E174" s="44"/>
      <c r="F174" s="149"/>
      <c r="G174" s="149"/>
      <c r="H174" s="149"/>
      <c r="I174" s="151"/>
      <c r="J174" s="151"/>
      <c r="K174" s="151"/>
      <c r="L174" s="151"/>
      <c r="M174" s="151"/>
      <c r="N174" s="151"/>
      <c r="O174" s="159"/>
      <c r="P174" s="159"/>
    </row>
    <row r="175" spans="2:16" x14ac:dyDescent="0.3">
      <c r="B175" s="44"/>
      <c r="C175" s="44"/>
      <c r="D175" s="44"/>
      <c r="E175" s="44"/>
      <c r="F175" s="149"/>
      <c r="G175" s="149"/>
      <c r="H175" s="149"/>
      <c r="I175" s="151"/>
      <c r="J175" s="151"/>
      <c r="K175" s="151"/>
      <c r="L175" s="151"/>
      <c r="M175" s="151"/>
      <c r="N175" s="151"/>
      <c r="O175" s="159"/>
      <c r="P175" s="159"/>
    </row>
    <row r="176" spans="2:16" x14ac:dyDescent="0.3">
      <c r="B176" s="44"/>
      <c r="C176" s="44"/>
      <c r="D176" s="44"/>
      <c r="E176" s="44"/>
      <c r="F176" s="149"/>
      <c r="G176" s="149"/>
      <c r="H176" s="149"/>
      <c r="I176" s="151"/>
      <c r="J176" s="151"/>
      <c r="K176" s="151"/>
      <c r="L176" s="151"/>
      <c r="M176" s="151"/>
      <c r="N176" s="151"/>
      <c r="O176" s="159"/>
      <c r="P176" s="159"/>
    </row>
    <row r="177" spans="2:16" x14ac:dyDescent="0.3">
      <c r="B177" s="44"/>
      <c r="C177" s="44"/>
      <c r="D177" s="44"/>
      <c r="E177" s="44"/>
      <c r="F177" s="149"/>
      <c r="G177" s="149"/>
      <c r="H177" s="149"/>
      <c r="I177" s="151"/>
      <c r="J177" s="151"/>
      <c r="K177" s="151"/>
      <c r="L177" s="151"/>
      <c r="M177" s="151"/>
      <c r="N177" s="151"/>
      <c r="O177" s="159"/>
      <c r="P177" s="159"/>
    </row>
    <row r="178" spans="2:16" x14ac:dyDescent="0.3">
      <c r="B178" s="44"/>
      <c r="C178" s="44"/>
      <c r="D178" s="44"/>
      <c r="E178" s="44"/>
      <c r="F178" s="149"/>
      <c r="G178" s="149"/>
      <c r="H178" s="149"/>
      <c r="I178" s="151"/>
      <c r="J178" s="151"/>
      <c r="K178" s="151"/>
      <c r="L178" s="151"/>
      <c r="M178" s="151"/>
      <c r="N178" s="151"/>
      <c r="O178" s="159"/>
      <c r="P178" s="159"/>
    </row>
    <row r="179" spans="2:16" x14ac:dyDescent="0.3">
      <c r="B179" s="44"/>
      <c r="C179" s="44"/>
      <c r="D179" s="44"/>
      <c r="E179" s="44"/>
      <c r="F179" s="149"/>
      <c r="G179" s="149"/>
      <c r="H179" s="149"/>
      <c r="I179" s="151"/>
      <c r="J179" s="151"/>
      <c r="K179" s="151"/>
      <c r="L179" s="151"/>
      <c r="M179" s="151"/>
      <c r="N179" s="151"/>
      <c r="O179" s="159"/>
      <c r="P179" s="159"/>
    </row>
    <row r="180" spans="2:16" x14ac:dyDescent="0.3">
      <c r="B180" s="44"/>
      <c r="C180" s="44"/>
      <c r="D180" s="44"/>
      <c r="E180" s="44"/>
      <c r="F180" s="149"/>
      <c r="G180" s="149"/>
      <c r="H180" s="149"/>
      <c r="I180" s="151"/>
      <c r="J180" s="151"/>
      <c r="K180" s="151"/>
      <c r="L180" s="151"/>
      <c r="M180" s="151"/>
      <c r="N180" s="151"/>
      <c r="O180" s="159"/>
      <c r="P180" s="159"/>
    </row>
    <row r="181" spans="2:16" x14ac:dyDescent="0.3">
      <c r="B181" s="44"/>
      <c r="C181" s="44"/>
      <c r="D181" s="44"/>
      <c r="E181" s="44"/>
      <c r="F181" s="149"/>
      <c r="G181" s="149"/>
      <c r="H181" s="149"/>
      <c r="I181" s="151"/>
      <c r="J181" s="151"/>
      <c r="K181" s="151"/>
      <c r="L181" s="151"/>
      <c r="M181" s="151"/>
      <c r="N181" s="151"/>
      <c r="O181" s="159"/>
      <c r="P181" s="159"/>
    </row>
    <row r="182" spans="2:16" x14ac:dyDescent="0.3">
      <c r="B182" s="44"/>
      <c r="C182" s="44"/>
      <c r="D182" s="44"/>
      <c r="E182" s="44"/>
      <c r="F182" s="149"/>
      <c r="G182" s="149"/>
      <c r="H182" s="149"/>
      <c r="I182" s="151"/>
      <c r="J182" s="151"/>
      <c r="K182" s="151"/>
      <c r="L182" s="151"/>
      <c r="M182" s="151"/>
      <c r="N182" s="151"/>
      <c r="O182" s="159"/>
      <c r="P182" s="159"/>
    </row>
    <row r="183" spans="2:16" x14ac:dyDescent="0.3">
      <c r="B183" s="44"/>
      <c r="C183" s="44"/>
      <c r="D183" s="44"/>
      <c r="E183" s="44"/>
      <c r="F183" s="149"/>
      <c r="G183" s="149"/>
      <c r="H183" s="149"/>
      <c r="I183" s="151"/>
      <c r="J183" s="151"/>
      <c r="K183" s="151"/>
      <c r="L183" s="151"/>
      <c r="M183" s="151"/>
      <c r="N183" s="151"/>
      <c r="O183" s="159"/>
      <c r="P183" s="159"/>
    </row>
    <row r="184" spans="2:16" x14ac:dyDescent="0.3">
      <c r="B184" s="44"/>
      <c r="C184" s="44"/>
      <c r="D184" s="44"/>
      <c r="E184" s="44"/>
      <c r="F184" s="149"/>
      <c r="G184" s="149"/>
      <c r="H184" s="149"/>
      <c r="I184" s="151"/>
      <c r="J184" s="151"/>
      <c r="K184" s="151"/>
      <c r="L184" s="151"/>
      <c r="M184" s="151"/>
      <c r="N184" s="151"/>
      <c r="O184" s="159"/>
      <c r="P184" s="159"/>
    </row>
    <row r="185" spans="2:16" x14ac:dyDescent="0.3">
      <c r="B185" s="44"/>
      <c r="C185" s="44"/>
      <c r="D185" s="44"/>
      <c r="E185" s="44"/>
      <c r="F185" s="149"/>
      <c r="G185" s="149"/>
      <c r="H185" s="149"/>
      <c r="I185" s="151"/>
      <c r="J185" s="151"/>
      <c r="K185" s="151"/>
      <c r="L185" s="151"/>
      <c r="M185" s="151"/>
      <c r="N185" s="151"/>
      <c r="O185" s="159"/>
      <c r="P185" s="159"/>
    </row>
    <row r="186" spans="2:16" x14ac:dyDescent="0.3">
      <c r="B186" s="44"/>
      <c r="C186" s="44"/>
      <c r="D186" s="44"/>
      <c r="E186" s="44"/>
      <c r="F186" s="149"/>
      <c r="G186" s="149"/>
      <c r="H186" s="149"/>
      <c r="I186" s="151"/>
      <c r="J186" s="151"/>
      <c r="K186" s="151"/>
      <c r="L186" s="151"/>
      <c r="M186" s="151"/>
      <c r="N186" s="151"/>
      <c r="O186" s="159"/>
      <c r="P186" s="159"/>
    </row>
    <row r="187" spans="2:16" x14ac:dyDescent="0.3">
      <c r="B187" s="44"/>
      <c r="C187" s="44"/>
      <c r="D187" s="44"/>
      <c r="E187" s="44"/>
      <c r="F187" s="149"/>
      <c r="G187" s="149"/>
      <c r="H187" s="149"/>
      <c r="I187" s="151"/>
      <c r="J187" s="151"/>
      <c r="K187" s="151"/>
      <c r="L187" s="151"/>
      <c r="M187" s="151"/>
      <c r="N187" s="151"/>
      <c r="O187" s="159"/>
      <c r="P187" s="159"/>
    </row>
    <row r="188" spans="2:16" x14ac:dyDescent="0.3">
      <c r="B188" s="44"/>
      <c r="C188" s="44"/>
      <c r="D188" s="44"/>
      <c r="E188" s="44"/>
      <c r="F188" s="149"/>
      <c r="G188" s="149"/>
      <c r="H188" s="149"/>
      <c r="I188" s="151"/>
      <c r="J188" s="151"/>
      <c r="K188" s="151"/>
      <c r="L188" s="151"/>
      <c r="M188" s="151"/>
      <c r="N188" s="151"/>
      <c r="O188" s="159"/>
      <c r="P188" s="159"/>
    </row>
    <row r="189" spans="2:16" x14ac:dyDescent="0.3">
      <c r="B189" s="44"/>
      <c r="C189" s="44"/>
      <c r="D189" s="44"/>
      <c r="E189" s="44"/>
      <c r="F189" s="149"/>
      <c r="G189" s="149"/>
      <c r="H189" s="149"/>
      <c r="I189" s="151"/>
      <c r="J189" s="151"/>
      <c r="K189" s="151"/>
      <c r="L189" s="151"/>
      <c r="M189" s="151"/>
      <c r="N189" s="151"/>
      <c r="O189" s="159"/>
      <c r="P189" s="159"/>
    </row>
    <row r="190" spans="2:16" x14ac:dyDescent="0.3">
      <c r="B190" s="44"/>
      <c r="C190" s="44"/>
      <c r="D190" s="44"/>
      <c r="E190" s="44"/>
      <c r="F190" s="149"/>
      <c r="G190" s="149"/>
      <c r="H190" s="149"/>
      <c r="I190" s="151"/>
      <c r="J190" s="151"/>
      <c r="K190" s="151"/>
      <c r="L190" s="151"/>
      <c r="M190" s="151"/>
      <c r="N190" s="151"/>
      <c r="O190" s="159"/>
      <c r="P190" s="159"/>
    </row>
    <row r="191" spans="2:16" x14ac:dyDescent="0.3">
      <c r="B191" s="44"/>
      <c r="C191" s="44"/>
      <c r="D191" s="44"/>
      <c r="E191" s="44"/>
      <c r="F191" s="149"/>
      <c r="G191" s="149"/>
      <c r="H191" s="149"/>
      <c r="I191" s="151"/>
      <c r="J191" s="151"/>
      <c r="K191" s="151"/>
      <c r="L191" s="151"/>
      <c r="M191" s="151"/>
      <c r="N191" s="151"/>
      <c r="O191" s="159"/>
      <c r="P191" s="159"/>
    </row>
    <row r="192" spans="2:16" x14ac:dyDescent="0.3">
      <c r="B192" s="44"/>
      <c r="C192" s="44"/>
      <c r="D192" s="44"/>
      <c r="E192" s="44"/>
      <c r="F192" s="149"/>
      <c r="G192" s="149"/>
      <c r="H192" s="149"/>
      <c r="I192" s="151"/>
      <c r="J192" s="151"/>
      <c r="K192" s="151"/>
      <c r="L192" s="151"/>
      <c r="M192" s="151"/>
      <c r="N192" s="151"/>
      <c r="O192" s="159"/>
      <c r="P192" s="159"/>
    </row>
    <row r="193" spans="2:16" x14ac:dyDescent="0.3">
      <c r="B193" s="44"/>
      <c r="C193" s="44"/>
      <c r="D193" s="44"/>
      <c r="E193" s="44"/>
      <c r="F193" s="149"/>
      <c r="G193" s="149"/>
      <c r="H193" s="149"/>
      <c r="I193" s="151"/>
      <c r="J193" s="151"/>
      <c r="K193" s="151"/>
      <c r="L193" s="151"/>
      <c r="M193" s="151"/>
      <c r="N193" s="151"/>
      <c r="O193" s="159"/>
      <c r="P193" s="159"/>
    </row>
    <row r="194" spans="2:16" x14ac:dyDescent="0.3">
      <c r="B194" s="44"/>
      <c r="C194" s="44"/>
      <c r="D194" s="44"/>
      <c r="E194" s="44"/>
      <c r="F194" s="149"/>
      <c r="G194" s="149"/>
      <c r="H194" s="149"/>
      <c r="I194" s="151"/>
      <c r="J194" s="151"/>
      <c r="K194" s="151"/>
      <c r="L194" s="151"/>
      <c r="M194" s="151"/>
      <c r="N194" s="151"/>
      <c r="O194" s="159"/>
      <c r="P194" s="159"/>
    </row>
    <row r="195" spans="2:16" x14ac:dyDescent="0.3">
      <c r="B195" s="44"/>
      <c r="C195" s="44"/>
      <c r="D195" s="44"/>
      <c r="E195" s="44"/>
      <c r="F195" s="149"/>
      <c r="G195" s="149"/>
      <c r="H195" s="149"/>
      <c r="I195" s="151"/>
      <c r="J195" s="151"/>
      <c r="K195" s="151"/>
      <c r="L195" s="151"/>
      <c r="M195" s="151"/>
      <c r="N195" s="151"/>
      <c r="O195" s="159"/>
      <c r="P195" s="159"/>
    </row>
    <row r="196" spans="2:16" x14ac:dyDescent="0.3">
      <c r="B196" s="44"/>
      <c r="C196" s="44"/>
      <c r="D196" s="44"/>
      <c r="E196" s="44"/>
      <c r="F196" s="149"/>
      <c r="G196" s="149"/>
      <c r="H196" s="149"/>
      <c r="I196" s="151"/>
      <c r="J196" s="151"/>
      <c r="K196" s="151"/>
      <c r="L196" s="151"/>
      <c r="M196" s="151"/>
      <c r="N196" s="151"/>
      <c r="O196" s="159"/>
      <c r="P196" s="159"/>
    </row>
    <row r="197" spans="2:16" x14ac:dyDescent="0.3">
      <c r="B197" s="44"/>
      <c r="C197" s="44"/>
      <c r="D197" s="44"/>
      <c r="E197" s="44"/>
      <c r="F197" s="149"/>
      <c r="G197" s="149"/>
      <c r="H197" s="149"/>
      <c r="I197" s="151"/>
      <c r="J197" s="151"/>
      <c r="K197" s="151"/>
      <c r="L197" s="151"/>
      <c r="M197" s="151"/>
      <c r="N197" s="151"/>
      <c r="O197" s="159"/>
      <c r="P197" s="159"/>
    </row>
    <row r="198" spans="2:16" x14ac:dyDescent="0.3">
      <c r="B198" s="44"/>
      <c r="C198" s="44"/>
      <c r="D198" s="44"/>
      <c r="E198" s="44"/>
      <c r="F198" s="149"/>
      <c r="G198" s="149"/>
      <c r="H198" s="149"/>
      <c r="I198" s="151"/>
      <c r="J198" s="151"/>
      <c r="K198" s="151"/>
      <c r="L198" s="151"/>
      <c r="M198" s="151"/>
      <c r="N198" s="151"/>
      <c r="O198" s="159"/>
      <c r="P198" s="159"/>
    </row>
    <row r="199" spans="2:16" x14ac:dyDescent="0.3">
      <c r="B199" s="44"/>
      <c r="C199" s="44"/>
      <c r="D199" s="44"/>
      <c r="E199" s="44"/>
      <c r="F199" s="149"/>
      <c r="G199" s="149"/>
      <c r="H199" s="149"/>
      <c r="I199" s="151"/>
      <c r="J199" s="151"/>
      <c r="K199" s="151"/>
      <c r="L199" s="151"/>
      <c r="M199" s="151"/>
      <c r="N199" s="151"/>
      <c r="O199" s="159"/>
      <c r="P199" s="159"/>
    </row>
    <row r="200" spans="2:16" x14ac:dyDescent="0.3">
      <c r="B200" s="44"/>
      <c r="C200" s="44"/>
      <c r="D200" s="44"/>
      <c r="E200" s="44"/>
      <c r="F200" s="149"/>
      <c r="G200" s="149"/>
      <c r="H200" s="149"/>
      <c r="I200" s="151"/>
      <c r="J200" s="151"/>
      <c r="K200" s="151"/>
      <c r="L200" s="151"/>
      <c r="M200" s="151"/>
      <c r="N200" s="151"/>
      <c r="O200" s="159"/>
      <c r="P200" s="159"/>
    </row>
    <row r="201" spans="2:16" x14ac:dyDescent="0.3">
      <c r="B201" s="44"/>
      <c r="C201" s="44"/>
      <c r="D201" s="44"/>
      <c r="E201" s="44"/>
      <c r="F201" s="149"/>
      <c r="G201" s="149"/>
      <c r="H201" s="149"/>
      <c r="I201" s="151"/>
      <c r="J201" s="151"/>
      <c r="K201" s="151"/>
      <c r="L201" s="151"/>
      <c r="M201" s="151"/>
      <c r="N201" s="151"/>
      <c r="O201" s="159"/>
      <c r="P201" s="159"/>
    </row>
    <row r="202" spans="2:16" x14ac:dyDescent="0.3">
      <c r="B202" s="44"/>
      <c r="C202" s="44"/>
      <c r="D202" s="44"/>
      <c r="E202" s="44"/>
      <c r="F202" s="149"/>
      <c r="G202" s="149"/>
      <c r="H202" s="149"/>
      <c r="I202" s="151"/>
      <c r="J202" s="151"/>
      <c r="K202" s="151"/>
      <c r="L202" s="151"/>
      <c r="M202" s="151"/>
      <c r="N202" s="151"/>
      <c r="O202" s="159"/>
      <c r="P202" s="159"/>
    </row>
    <row r="203" spans="2:16" x14ac:dyDescent="0.3">
      <c r="B203" s="44"/>
      <c r="C203" s="44"/>
      <c r="D203" s="44"/>
      <c r="E203" s="44"/>
      <c r="F203" s="149"/>
      <c r="G203" s="149"/>
      <c r="H203" s="149"/>
      <c r="I203" s="151"/>
      <c r="J203" s="151"/>
      <c r="K203" s="151"/>
      <c r="L203" s="151"/>
      <c r="M203" s="151"/>
      <c r="N203" s="151"/>
      <c r="O203" s="159"/>
      <c r="P203" s="159"/>
    </row>
    <row r="204" spans="2:16" x14ac:dyDescent="0.3">
      <c r="B204" s="44"/>
      <c r="C204" s="44"/>
      <c r="D204" s="44"/>
      <c r="E204" s="44"/>
      <c r="F204" s="149"/>
      <c r="G204" s="149"/>
      <c r="H204" s="149"/>
      <c r="I204" s="151"/>
      <c r="J204" s="151"/>
      <c r="K204" s="151"/>
      <c r="L204" s="151"/>
      <c r="M204" s="151"/>
      <c r="N204" s="151"/>
      <c r="O204" s="159"/>
      <c r="P204" s="159"/>
    </row>
    <row r="205" spans="2:16" x14ac:dyDescent="0.3">
      <c r="B205" s="44"/>
      <c r="C205" s="44"/>
      <c r="D205" s="44"/>
      <c r="E205" s="44"/>
      <c r="F205" s="149"/>
      <c r="G205" s="149"/>
      <c r="H205" s="149"/>
      <c r="I205" s="151"/>
      <c r="J205" s="151"/>
      <c r="K205" s="151"/>
      <c r="L205" s="151"/>
      <c r="M205" s="151"/>
      <c r="N205" s="151"/>
      <c r="O205" s="159"/>
      <c r="P205" s="159"/>
    </row>
    <row r="206" spans="2:16" x14ac:dyDescent="0.3">
      <c r="B206" s="44"/>
      <c r="C206" s="44"/>
      <c r="D206" s="44"/>
      <c r="E206" s="44"/>
      <c r="F206" s="149"/>
      <c r="G206" s="149"/>
      <c r="H206" s="149"/>
      <c r="I206" s="151"/>
      <c r="J206" s="151"/>
      <c r="K206" s="151"/>
      <c r="L206" s="151"/>
      <c r="M206" s="151"/>
      <c r="N206" s="151"/>
      <c r="O206" s="159"/>
      <c r="P206" s="159"/>
    </row>
    <row r="207" spans="2:16" x14ac:dyDescent="0.3">
      <c r="B207" s="44"/>
      <c r="C207" s="44"/>
      <c r="D207" s="44"/>
      <c r="E207" s="44"/>
      <c r="F207" s="149"/>
      <c r="G207" s="149"/>
      <c r="H207" s="149"/>
      <c r="I207" s="151"/>
      <c r="J207" s="151"/>
      <c r="K207" s="151"/>
      <c r="L207" s="151"/>
      <c r="M207" s="151"/>
      <c r="N207" s="151"/>
      <c r="O207" s="159"/>
      <c r="P207" s="159"/>
    </row>
    <row r="208" spans="2:16" x14ac:dyDescent="0.3">
      <c r="B208" s="44"/>
      <c r="C208" s="44"/>
      <c r="D208" s="44"/>
      <c r="E208" s="44"/>
      <c r="F208" s="149"/>
      <c r="G208" s="149"/>
      <c r="H208" s="149"/>
      <c r="I208" s="151"/>
      <c r="J208" s="151"/>
      <c r="K208" s="151"/>
      <c r="L208" s="151"/>
      <c r="M208" s="151"/>
      <c r="N208" s="151"/>
      <c r="O208" s="159"/>
      <c r="P208" s="159"/>
    </row>
    <row r="209" spans="2:16" x14ac:dyDescent="0.3">
      <c r="B209" s="44"/>
      <c r="C209" s="44"/>
      <c r="D209" s="44"/>
      <c r="E209" s="44"/>
      <c r="F209" s="149"/>
      <c r="G209" s="149"/>
      <c r="H209" s="149"/>
      <c r="I209" s="151"/>
      <c r="J209" s="151"/>
      <c r="K209" s="151"/>
      <c r="L209" s="151"/>
      <c r="M209" s="151"/>
      <c r="N209" s="151"/>
      <c r="O209" s="159"/>
      <c r="P209" s="159"/>
    </row>
    <row r="210" spans="2:16" x14ac:dyDescent="0.3">
      <c r="B210" s="44"/>
      <c r="C210" s="44"/>
      <c r="D210" s="44"/>
      <c r="E210" s="44"/>
      <c r="F210" s="149"/>
      <c r="G210" s="149"/>
      <c r="H210" s="149"/>
      <c r="I210" s="151"/>
      <c r="J210" s="151"/>
      <c r="K210" s="151"/>
      <c r="L210" s="151"/>
      <c r="M210" s="151"/>
      <c r="N210" s="151"/>
      <c r="O210" s="159"/>
      <c r="P210" s="159"/>
    </row>
    <row r="211" spans="2:16" x14ac:dyDescent="0.3">
      <c r="B211" s="44"/>
      <c r="C211" s="44"/>
      <c r="D211" s="44"/>
      <c r="E211" s="44"/>
      <c r="F211" s="149"/>
      <c r="G211" s="149"/>
      <c r="H211" s="149"/>
      <c r="I211" s="151"/>
      <c r="J211" s="151"/>
      <c r="K211" s="151"/>
      <c r="L211" s="151"/>
      <c r="M211" s="151"/>
      <c r="N211" s="151"/>
      <c r="O211" s="159"/>
      <c r="P211" s="159"/>
    </row>
    <row r="212" spans="2:16" x14ac:dyDescent="0.3">
      <c r="B212" s="44"/>
      <c r="C212" s="44"/>
      <c r="D212" s="44"/>
      <c r="E212" s="44"/>
      <c r="F212" s="149"/>
      <c r="G212" s="149"/>
      <c r="H212" s="149"/>
      <c r="I212" s="151"/>
      <c r="J212" s="151"/>
      <c r="K212" s="151"/>
      <c r="L212" s="151"/>
      <c r="M212" s="151"/>
      <c r="N212" s="151"/>
      <c r="O212" s="159"/>
      <c r="P212" s="159"/>
    </row>
    <row r="213" spans="2:16" x14ac:dyDescent="0.3">
      <c r="B213" s="44"/>
      <c r="C213" s="44"/>
      <c r="D213" s="44"/>
      <c r="E213" s="44"/>
      <c r="F213" s="149"/>
      <c r="G213" s="149"/>
      <c r="H213" s="149"/>
      <c r="I213" s="151"/>
      <c r="J213" s="151"/>
      <c r="K213" s="151"/>
      <c r="L213" s="151"/>
      <c r="M213" s="151"/>
      <c r="N213" s="151"/>
      <c r="O213" s="159"/>
      <c r="P213" s="159"/>
    </row>
    <row r="214" spans="2:16" x14ac:dyDescent="0.3">
      <c r="B214" s="44"/>
      <c r="C214" s="44"/>
      <c r="D214" s="44"/>
      <c r="E214" s="44"/>
      <c r="F214" s="149"/>
      <c r="G214" s="149"/>
      <c r="H214" s="149"/>
      <c r="I214" s="151"/>
      <c r="J214" s="151"/>
      <c r="K214" s="151"/>
      <c r="L214" s="151"/>
      <c r="M214" s="151"/>
      <c r="N214" s="151"/>
      <c r="O214" s="159"/>
      <c r="P214" s="159"/>
    </row>
    <row r="215" spans="2:16" x14ac:dyDescent="0.3">
      <c r="B215" s="44"/>
      <c r="C215" s="44"/>
      <c r="D215" s="44"/>
      <c r="E215" s="44"/>
      <c r="F215" s="149"/>
      <c r="G215" s="149"/>
      <c r="H215" s="149"/>
      <c r="I215" s="151"/>
      <c r="J215" s="151"/>
      <c r="K215" s="151"/>
      <c r="L215" s="151"/>
      <c r="M215" s="151"/>
      <c r="N215" s="151"/>
      <c r="O215" s="159"/>
      <c r="P215" s="159"/>
    </row>
    <row r="216" spans="2:16" x14ac:dyDescent="0.3">
      <c r="B216" s="44"/>
      <c r="C216" s="44"/>
      <c r="D216" s="44"/>
      <c r="E216" s="44"/>
      <c r="F216" s="149"/>
      <c r="G216" s="149"/>
      <c r="H216" s="149"/>
      <c r="I216" s="151"/>
      <c r="J216" s="151"/>
      <c r="K216" s="151"/>
      <c r="L216" s="151"/>
      <c r="M216" s="151"/>
      <c r="N216" s="151"/>
      <c r="O216" s="159"/>
      <c r="P216" s="159"/>
    </row>
    <row r="217" spans="2:16" x14ac:dyDescent="0.3">
      <c r="B217" s="44"/>
      <c r="C217" s="44"/>
      <c r="D217" s="44"/>
      <c r="E217" s="44"/>
      <c r="F217" s="149"/>
      <c r="G217" s="149"/>
      <c r="H217" s="149"/>
      <c r="I217" s="151"/>
      <c r="J217" s="151"/>
      <c r="K217" s="151"/>
      <c r="L217" s="151"/>
      <c r="M217" s="151"/>
      <c r="N217" s="151"/>
      <c r="O217" s="159"/>
      <c r="P217" s="159"/>
    </row>
    <row r="218" spans="2:16" x14ac:dyDescent="0.3">
      <c r="B218" s="44"/>
      <c r="C218" s="44"/>
      <c r="D218" s="44"/>
      <c r="E218" s="44"/>
      <c r="F218" s="149"/>
      <c r="G218" s="149"/>
      <c r="H218" s="149"/>
      <c r="I218" s="151"/>
      <c r="J218" s="151"/>
      <c r="K218" s="151"/>
      <c r="L218" s="151"/>
      <c r="M218" s="151"/>
      <c r="N218" s="151"/>
      <c r="O218" s="159"/>
      <c r="P218" s="159"/>
    </row>
    <row r="219" spans="2:16" x14ac:dyDescent="0.3">
      <c r="B219" s="44"/>
      <c r="C219" s="44"/>
      <c r="D219" s="44"/>
      <c r="E219" s="44"/>
      <c r="F219" s="149"/>
      <c r="G219" s="149"/>
      <c r="H219" s="149"/>
      <c r="I219" s="151"/>
      <c r="J219" s="151"/>
      <c r="K219" s="151"/>
      <c r="L219" s="151"/>
      <c r="M219" s="151"/>
      <c r="N219" s="151"/>
      <c r="O219" s="159"/>
      <c r="P219" s="159"/>
    </row>
    <row r="220" spans="2:16" x14ac:dyDescent="0.3">
      <c r="B220" s="44"/>
      <c r="C220" s="44"/>
      <c r="D220" s="44"/>
      <c r="E220" s="44"/>
      <c r="F220" s="149"/>
      <c r="G220" s="149"/>
      <c r="H220" s="149"/>
      <c r="I220" s="151"/>
      <c r="J220" s="151"/>
      <c r="K220" s="151"/>
      <c r="L220" s="151"/>
      <c r="M220" s="151"/>
      <c r="N220" s="151"/>
      <c r="O220" s="159"/>
      <c r="P220" s="159"/>
    </row>
    <row r="221" spans="2:16" x14ac:dyDescent="0.3">
      <c r="B221" s="44"/>
      <c r="C221" s="44"/>
      <c r="D221" s="44"/>
      <c r="E221" s="44"/>
      <c r="F221" s="149"/>
      <c r="G221" s="149"/>
      <c r="H221" s="149"/>
      <c r="I221" s="151"/>
      <c r="J221" s="151"/>
      <c r="K221" s="151"/>
      <c r="L221" s="151"/>
      <c r="M221" s="151"/>
      <c r="N221" s="151"/>
      <c r="O221" s="159"/>
      <c r="P221" s="159"/>
    </row>
    <row r="222" spans="2:16" x14ac:dyDescent="0.3">
      <c r="B222" s="44"/>
      <c r="C222" s="44"/>
      <c r="D222" s="44"/>
      <c r="E222" s="44"/>
      <c r="F222" s="149"/>
      <c r="G222" s="149"/>
      <c r="H222" s="149"/>
      <c r="I222" s="151"/>
      <c r="J222" s="151"/>
      <c r="K222" s="151"/>
      <c r="L222" s="151"/>
      <c r="M222" s="151"/>
      <c r="N222" s="151"/>
      <c r="O222" s="159"/>
      <c r="P222" s="159"/>
    </row>
    <row r="223" spans="2:16" x14ac:dyDescent="0.3">
      <c r="B223" s="44"/>
      <c r="C223" s="44"/>
      <c r="D223" s="44"/>
      <c r="E223" s="44"/>
      <c r="F223" s="149"/>
      <c r="G223" s="149"/>
      <c r="H223" s="149"/>
      <c r="I223" s="151"/>
      <c r="J223" s="151"/>
      <c r="K223" s="151"/>
      <c r="L223" s="151"/>
      <c r="M223" s="151"/>
      <c r="N223" s="151"/>
      <c r="O223" s="159"/>
      <c r="P223" s="159"/>
    </row>
    <row r="224" spans="2:16" x14ac:dyDescent="0.3">
      <c r="B224" s="44"/>
      <c r="C224" s="44"/>
      <c r="D224" s="44"/>
      <c r="E224" s="44"/>
      <c r="F224" s="149"/>
      <c r="G224" s="149"/>
      <c r="H224" s="149"/>
      <c r="I224" s="151"/>
      <c r="J224" s="151"/>
      <c r="K224" s="151"/>
      <c r="L224" s="151"/>
      <c r="M224" s="151"/>
      <c r="N224" s="151"/>
      <c r="O224" s="159"/>
      <c r="P224" s="159"/>
    </row>
    <row r="225" spans="2:16" x14ac:dyDescent="0.3">
      <c r="B225" s="44"/>
      <c r="C225" s="44"/>
      <c r="D225" s="44"/>
      <c r="E225" s="44"/>
      <c r="F225" s="149"/>
      <c r="G225" s="149"/>
      <c r="H225" s="149"/>
      <c r="I225" s="151"/>
      <c r="J225" s="151"/>
      <c r="K225" s="151"/>
      <c r="L225" s="151"/>
      <c r="M225" s="151"/>
      <c r="N225" s="151"/>
      <c r="O225" s="159"/>
      <c r="P225" s="159"/>
    </row>
    <row r="226" spans="2:16" x14ac:dyDescent="0.3">
      <c r="B226" s="44"/>
      <c r="C226" s="44"/>
      <c r="D226" s="44"/>
      <c r="E226" s="44"/>
      <c r="F226" s="149"/>
      <c r="G226" s="149"/>
      <c r="H226" s="149"/>
      <c r="I226" s="151"/>
      <c r="J226" s="151"/>
      <c r="K226" s="151"/>
      <c r="L226" s="151"/>
      <c r="M226" s="151"/>
      <c r="N226" s="151"/>
      <c r="O226" s="159"/>
      <c r="P226" s="159"/>
    </row>
    <row r="227" spans="2:16" x14ac:dyDescent="0.3">
      <c r="B227" s="44"/>
      <c r="C227" s="44"/>
      <c r="D227" s="44"/>
      <c r="E227" s="44"/>
      <c r="F227" s="149"/>
      <c r="G227" s="149"/>
      <c r="H227" s="149"/>
      <c r="I227" s="151"/>
      <c r="J227" s="151"/>
      <c r="K227" s="151"/>
      <c r="L227" s="151"/>
      <c r="M227" s="151"/>
      <c r="N227" s="151"/>
      <c r="O227" s="159"/>
      <c r="P227" s="159"/>
    </row>
    <row r="228" spans="2:16" x14ac:dyDescent="0.3">
      <c r="B228" s="44"/>
      <c r="C228" s="44"/>
      <c r="D228" s="44"/>
      <c r="E228" s="44"/>
      <c r="F228" s="149"/>
      <c r="G228" s="149"/>
      <c r="H228" s="149"/>
      <c r="I228" s="151"/>
      <c r="J228" s="151"/>
      <c r="K228" s="151"/>
      <c r="L228" s="151"/>
      <c r="M228" s="151"/>
      <c r="N228" s="151"/>
      <c r="O228" s="159"/>
      <c r="P228" s="159"/>
    </row>
    <row r="229" spans="2:16" x14ac:dyDescent="0.3">
      <c r="B229" s="44"/>
      <c r="C229" s="44"/>
      <c r="D229" s="44"/>
      <c r="E229" s="44"/>
      <c r="F229" s="149"/>
      <c r="G229" s="149"/>
      <c r="H229" s="149"/>
      <c r="I229" s="151"/>
      <c r="J229" s="151"/>
      <c r="K229" s="151"/>
      <c r="L229" s="151"/>
      <c r="M229" s="151"/>
      <c r="N229" s="151"/>
      <c r="O229" s="159"/>
      <c r="P229" s="159"/>
    </row>
    <row r="230" spans="2:16" x14ac:dyDescent="0.3">
      <c r="B230" s="44"/>
      <c r="C230" s="44"/>
      <c r="D230" s="44"/>
      <c r="E230" s="44"/>
      <c r="F230" s="149"/>
      <c r="G230" s="149"/>
      <c r="H230" s="149"/>
      <c r="I230" s="151"/>
      <c r="J230" s="151"/>
      <c r="K230" s="151"/>
      <c r="L230" s="151"/>
      <c r="M230" s="151"/>
      <c r="N230" s="151"/>
      <c r="O230" s="159"/>
      <c r="P230" s="159"/>
    </row>
    <row r="231" spans="2:16" x14ac:dyDescent="0.3">
      <c r="B231" s="44"/>
      <c r="C231" s="44"/>
      <c r="D231" s="44"/>
      <c r="E231" s="44"/>
      <c r="F231" s="149"/>
      <c r="G231" s="149"/>
      <c r="H231" s="149"/>
      <c r="I231" s="151"/>
      <c r="J231" s="151"/>
      <c r="K231" s="151"/>
      <c r="L231" s="151"/>
      <c r="M231" s="151"/>
      <c r="N231" s="151"/>
      <c r="O231" s="159"/>
      <c r="P231" s="159"/>
    </row>
    <row r="232" spans="2:16" x14ac:dyDescent="0.3">
      <c r="B232" s="44"/>
      <c r="C232" s="44"/>
      <c r="D232" s="44"/>
      <c r="E232" s="44"/>
      <c r="F232" s="149"/>
      <c r="G232" s="149"/>
      <c r="H232" s="149"/>
      <c r="I232" s="151"/>
      <c r="J232" s="151"/>
      <c r="K232" s="151"/>
      <c r="L232" s="151"/>
      <c r="M232" s="151"/>
      <c r="N232" s="151"/>
      <c r="O232" s="159"/>
      <c r="P232" s="159"/>
    </row>
    <row r="233" spans="2:16" x14ac:dyDescent="0.3">
      <c r="B233" s="44"/>
      <c r="C233" s="44"/>
      <c r="D233" s="44"/>
      <c r="E233" s="44"/>
      <c r="F233" s="149"/>
      <c r="G233" s="149"/>
      <c r="H233" s="149"/>
      <c r="I233" s="151"/>
      <c r="J233" s="151"/>
      <c r="K233" s="151"/>
      <c r="L233" s="151"/>
      <c r="M233" s="151"/>
      <c r="N233" s="151"/>
      <c r="O233" s="159"/>
      <c r="P233" s="159"/>
    </row>
    <row r="234" spans="2:16" x14ac:dyDescent="0.3">
      <c r="B234" s="44"/>
      <c r="C234" s="44"/>
      <c r="D234" s="44"/>
      <c r="E234" s="44"/>
      <c r="F234" s="149"/>
      <c r="G234" s="149"/>
      <c r="H234" s="149"/>
      <c r="I234" s="151"/>
      <c r="J234" s="151"/>
      <c r="K234" s="151"/>
      <c r="L234" s="151"/>
      <c r="M234" s="151"/>
      <c r="N234" s="151"/>
      <c r="O234" s="159"/>
      <c r="P234" s="159"/>
    </row>
    <row r="235" spans="2:16" x14ac:dyDescent="0.3">
      <c r="B235" s="44"/>
      <c r="C235" s="44"/>
      <c r="D235" s="44"/>
      <c r="E235" s="44"/>
      <c r="F235" s="149"/>
      <c r="G235" s="149"/>
      <c r="H235" s="149"/>
      <c r="I235" s="151"/>
      <c r="J235" s="151"/>
      <c r="K235" s="151"/>
      <c r="L235" s="151"/>
      <c r="M235" s="151"/>
      <c r="N235" s="151"/>
      <c r="O235" s="159"/>
      <c r="P235" s="159"/>
    </row>
    <row r="236" spans="2:16" x14ac:dyDescent="0.3">
      <c r="B236" s="44"/>
      <c r="C236" s="44"/>
      <c r="D236" s="44"/>
      <c r="E236" s="44"/>
      <c r="F236" s="149"/>
      <c r="G236" s="149"/>
      <c r="H236" s="149"/>
      <c r="I236" s="151"/>
      <c r="J236" s="151"/>
      <c r="K236" s="151"/>
      <c r="L236" s="151"/>
      <c r="M236" s="151"/>
      <c r="N236" s="151"/>
      <c r="O236" s="159"/>
      <c r="P236" s="159"/>
    </row>
    <row r="237" spans="2:16" x14ac:dyDescent="0.3">
      <c r="B237" s="44"/>
      <c r="C237" s="44"/>
      <c r="D237" s="44"/>
      <c r="E237" s="44"/>
      <c r="F237" s="149"/>
      <c r="G237" s="149"/>
      <c r="H237" s="149"/>
      <c r="I237" s="151"/>
      <c r="J237" s="151"/>
      <c r="K237" s="151"/>
      <c r="L237" s="151"/>
      <c r="M237" s="151"/>
      <c r="N237" s="151"/>
      <c r="O237" s="159"/>
      <c r="P237" s="159"/>
    </row>
    <row r="238" spans="2:16" x14ac:dyDescent="0.3">
      <c r="B238" s="44"/>
      <c r="C238" s="44"/>
      <c r="D238" s="44"/>
      <c r="E238" s="44"/>
      <c r="F238" s="149"/>
      <c r="G238" s="149"/>
      <c r="H238" s="149"/>
      <c r="I238" s="151"/>
      <c r="J238" s="151"/>
      <c r="K238" s="151"/>
      <c r="L238" s="151"/>
      <c r="M238" s="151"/>
      <c r="N238" s="151"/>
      <c r="O238" s="159"/>
      <c r="P238" s="159"/>
    </row>
    <row r="239" spans="2:16" x14ac:dyDescent="0.3">
      <c r="B239" s="44"/>
      <c r="C239" s="44"/>
      <c r="D239" s="44"/>
      <c r="E239" s="44"/>
      <c r="F239" s="149"/>
      <c r="G239" s="149"/>
      <c r="H239" s="149"/>
      <c r="I239" s="151"/>
      <c r="J239" s="151"/>
      <c r="K239" s="151"/>
      <c r="L239" s="151"/>
      <c r="M239" s="151"/>
      <c r="N239" s="151"/>
      <c r="O239" s="159"/>
      <c r="P239" s="159"/>
    </row>
    <row r="240" spans="2:16" x14ac:dyDescent="0.3">
      <c r="B240" s="44"/>
      <c r="C240" s="44"/>
      <c r="D240" s="44"/>
      <c r="E240" s="44"/>
      <c r="F240" s="149"/>
      <c r="G240" s="149"/>
      <c r="H240" s="149"/>
      <c r="I240" s="151"/>
      <c r="J240" s="151"/>
      <c r="K240" s="151"/>
      <c r="L240" s="151"/>
      <c r="M240" s="151"/>
      <c r="N240" s="151"/>
      <c r="O240" s="159"/>
      <c r="P240" s="159"/>
    </row>
    <row r="241" spans="2:16" x14ac:dyDescent="0.3">
      <c r="B241" s="44"/>
      <c r="C241" s="44"/>
      <c r="D241" s="44"/>
      <c r="E241" s="44"/>
      <c r="F241" s="149"/>
      <c r="G241" s="149"/>
      <c r="H241" s="149"/>
      <c r="I241" s="151"/>
      <c r="J241" s="151"/>
      <c r="K241" s="151"/>
      <c r="L241" s="151"/>
      <c r="M241" s="151"/>
      <c r="N241" s="151"/>
      <c r="O241" s="159"/>
      <c r="P241" s="159"/>
    </row>
    <row r="242" spans="2:16" x14ac:dyDescent="0.3">
      <c r="B242" s="44"/>
      <c r="C242" s="44"/>
      <c r="D242" s="44"/>
      <c r="E242" s="44"/>
      <c r="F242" s="149"/>
      <c r="G242" s="149"/>
      <c r="H242" s="149"/>
      <c r="I242" s="151"/>
      <c r="J242" s="151"/>
      <c r="K242" s="151"/>
      <c r="L242" s="151"/>
      <c r="M242" s="151"/>
      <c r="N242" s="151"/>
      <c r="O242" s="159"/>
      <c r="P242" s="159"/>
    </row>
    <row r="243" spans="2:16" x14ac:dyDescent="0.3">
      <c r="B243" s="44"/>
      <c r="C243" s="44"/>
      <c r="D243" s="44"/>
      <c r="E243" s="44"/>
      <c r="F243" s="149"/>
      <c r="G243" s="149"/>
      <c r="H243" s="149"/>
      <c r="I243" s="151"/>
      <c r="J243" s="151"/>
      <c r="K243" s="151"/>
      <c r="L243" s="151"/>
      <c r="M243" s="151"/>
      <c r="N243" s="151"/>
      <c r="O243" s="159"/>
      <c r="P243" s="159"/>
    </row>
    <row r="244" spans="2:16" x14ac:dyDescent="0.3">
      <c r="B244" s="44"/>
      <c r="C244" s="44"/>
      <c r="D244" s="44"/>
      <c r="E244" s="44"/>
      <c r="F244" s="149"/>
      <c r="G244" s="149"/>
      <c r="H244" s="149"/>
      <c r="I244" s="151"/>
      <c r="J244" s="151"/>
      <c r="K244" s="151"/>
      <c r="L244" s="151"/>
      <c r="M244" s="151"/>
      <c r="N244" s="151"/>
      <c r="O244" s="159"/>
      <c r="P244" s="159"/>
    </row>
    <row r="245" spans="2:16" x14ac:dyDescent="0.3">
      <c r="B245" s="44"/>
      <c r="C245" s="44"/>
      <c r="D245" s="44"/>
      <c r="E245" s="44"/>
      <c r="F245" s="149"/>
      <c r="G245" s="149"/>
      <c r="H245" s="149"/>
      <c r="I245" s="151"/>
      <c r="J245" s="151"/>
      <c r="K245" s="151"/>
      <c r="L245" s="151"/>
      <c r="M245" s="151"/>
      <c r="N245" s="151"/>
      <c r="O245" s="159"/>
      <c r="P245" s="159"/>
    </row>
    <row r="246" spans="2:16" x14ac:dyDescent="0.3">
      <c r="B246" s="44"/>
      <c r="C246" s="44"/>
      <c r="D246" s="44"/>
      <c r="E246" s="44"/>
      <c r="F246" s="149"/>
      <c r="G246" s="149"/>
      <c r="H246" s="149"/>
      <c r="I246" s="151"/>
      <c r="J246" s="151"/>
      <c r="K246" s="151"/>
      <c r="L246" s="151"/>
      <c r="M246" s="151"/>
      <c r="N246" s="151"/>
      <c r="O246" s="159"/>
      <c r="P246" s="159"/>
    </row>
    <row r="247" spans="2:16" x14ac:dyDescent="0.3">
      <c r="B247" s="44"/>
      <c r="C247" s="44"/>
      <c r="D247" s="44"/>
      <c r="E247" s="44"/>
      <c r="F247" s="149"/>
      <c r="G247" s="149"/>
      <c r="H247" s="149"/>
      <c r="I247" s="151"/>
      <c r="J247" s="151"/>
      <c r="K247" s="151"/>
      <c r="L247" s="151"/>
      <c r="M247" s="151"/>
      <c r="N247" s="151"/>
      <c r="O247" s="159"/>
      <c r="P247" s="159"/>
    </row>
    <row r="248" spans="2:16" x14ac:dyDescent="0.3">
      <c r="B248" s="44"/>
      <c r="C248" s="44"/>
      <c r="D248" s="44"/>
      <c r="E248" s="44"/>
      <c r="F248" s="149"/>
      <c r="G248" s="149"/>
      <c r="H248" s="149"/>
      <c r="I248" s="151"/>
      <c r="J248" s="151"/>
      <c r="K248" s="151"/>
      <c r="L248" s="151"/>
      <c r="M248" s="151"/>
      <c r="N248" s="151"/>
      <c r="O248" s="159"/>
      <c r="P248" s="159"/>
    </row>
    <row r="249" spans="2:16" x14ac:dyDescent="0.3">
      <c r="B249" s="44"/>
      <c r="C249" s="44"/>
      <c r="D249" s="44"/>
      <c r="E249" s="44"/>
      <c r="F249" s="149"/>
      <c r="G249" s="149"/>
      <c r="H249" s="149"/>
      <c r="I249" s="151"/>
      <c r="J249" s="151"/>
      <c r="K249" s="151"/>
      <c r="L249" s="151"/>
      <c r="M249" s="151"/>
      <c r="N249" s="151"/>
      <c r="O249" s="159"/>
      <c r="P249" s="159"/>
    </row>
    <row r="250" spans="2:16" x14ac:dyDescent="0.3">
      <c r="B250" s="44"/>
      <c r="C250" s="44"/>
      <c r="D250" s="44"/>
      <c r="E250" s="44"/>
      <c r="F250" s="149"/>
      <c r="G250" s="149"/>
      <c r="H250" s="149"/>
      <c r="I250" s="151"/>
      <c r="J250" s="151"/>
      <c r="K250" s="151"/>
      <c r="L250" s="151"/>
      <c r="M250" s="151"/>
      <c r="N250" s="151"/>
      <c r="O250" s="159"/>
      <c r="P250" s="159"/>
    </row>
    <row r="251" spans="2:16" x14ac:dyDescent="0.3">
      <c r="B251" s="44"/>
      <c r="C251" s="44"/>
      <c r="D251" s="44"/>
      <c r="E251" s="44"/>
      <c r="F251" s="149"/>
      <c r="G251" s="149"/>
      <c r="H251" s="149"/>
      <c r="I251" s="151"/>
      <c r="J251" s="151"/>
      <c r="K251" s="151"/>
      <c r="L251" s="151"/>
      <c r="M251" s="151"/>
      <c r="N251" s="151"/>
      <c r="O251" s="159"/>
      <c r="P251" s="159"/>
    </row>
    <row r="252" spans="2:16" x14ac:dyDescent="0.3">
      <c r="B252" s="44"/>
      <c r="C252" s="44"/>
      <c r="D252" s="44"/>
      <c r="E252" s="44"/>
      <c r="F252" s="149"/>
      <c r="G252" s="149"/>
      <c r="H252" s="149"/>
      <c r="I252" s="151"/>
      <c r="J252" s="151"/>
      <c r="K252" s="151"/>
      <c r="L252" s="151"/>
      <c r="M252" s="151"/>
      <c r="N252" s="151"/>
      <c r="O252" s="159"/>
      <c r="P252" s="159"/>
    </row>
    <row r="253" spans="2:16" x14ac:dyDescent="0.3">
      <c r="B253" s="44"/>
      <c r="C253" s="44"/>
      <c r="D253" s="44"/>
      <c r="E253" s="44"/>
      <c r="F253" s="149"/>
      <c r="G253" s="149"/>
      <c r="H253" s="149"/>
      <c r="I253" s="151"/>
      <c r="J253" s="151"/>
      <c r="K253" s="151"/>
      <c r="L253" s="151"/>
      <c r="M253" s="151"/>
      <c r="N253" s="151"/>
      <c r="O253" s="159"/>
      <c r="P253" s="159"/>
    </row>
    <row r="254" spans="2:16" x14ac:dyDescent="0.3">
      <c r="B254" s="44"/>
      <c r="C254" s="44"/>
      <c r="D254" s="44"/>
      <c r="E254" s="44"/>
      <c r="F254" s="149"/>
      <c r="G254" s="149"/>
      <c r="H254" s="149"/>
      <c r="I254" s="151"/>
      <c r="J254" s="151"/>
      <c r="K254" s="151"/>
      <c r="L254" s="151"/>
      <c r="M254" s="151"/>
      <c r="N254" s="151"/>
      <c r="O254" s="159"/>
      <c r="P254" s="159"/>
    </row>
    <row r="255" spans="2:16" x14ac:dyDescent="0.3">
      <c r="B255" s="44"/>
      <c r="C255" s="44"/>
      <c r="D255" s="44"/>
      <c r="E255" s="44"/>
      <c r="F255" s="149"/>
      <c r="G255" s="149"/>
      <c r="H255" s="149"/>
      <c r="I255" s="151"/>
      <c r="J255" s="151"/>
      <c r="K255" s="151"/>
      <c r="L255" s="151"/>
      <c r="M255" s="151"/>
      <c r="N255" s="151"/>
      <c r="O255" s="159"/>
      <c r="P255" s="159"/>
    </row>
    <row r="256" spans="2:16" x14ac:dyDescent="0.3">
      <c r="B256" s="44"/>
      <c r="C256" s="44"/>
      <c r="D256" s="44"/>
      <c r="E256" s="44"/>
      <c r="F256" s="149"/>
      <c r="G256" s="149"/>
      <c r="H256" s="149"/>
      <c r="I256" s="151"/>
      <c r="J256" s="151"/>
      <c r="K256" s="151"/>
      <c r="L256" s="151"/>
      <c r="M256" s="151"/>
      <c r="N256" s="151"/>
      <c r="O256" s="159"/>
      <c r="P256" s="159"/>
    </row>
    <row r="257" spans="2:16" x14ac:dyDescent="0.3">
      <c r="B257" s="44"/>
      <c r="C257" s="44"/>
      <c r="D257" s="44"/>
      <c r="E257" s="44"/>
      <c r="F257" s="149"/>
      <c r="G257" s="149"/>
      <c r="H257" s="149"/>
      <c r="I257" s="151"/>
      <c r="J257" s="151"/>
      <c r="K257" s="151"/>
      <c r="L257" s="151"/>
      <c r="M257" s="151"/>
      <c r="N257" s="151"/>
      <c r="O257" s="159"/>
      <c r="P257" s="159"/>
    </row>
    <row r="258" spans="2:16" x14ac:dyDescent="0.3">
      <c r="B258" s="44"/>
      <c r="C258" s="44"/>
      <c r="D258" s="44"/>
      <c r="E258" s="44"/>
      <c r="F258" s="149"/>
      <c r="G258" s="149"/>
      <c r="H258" s="149"/>
      <c r="I258" s="151"/>
      <c r="J258" s="151"/>
      <c r="K258" s="151"/>
      <c r="L258" s="151"/>
      <c r="M258" s="151"/>
      <c r="N258" s="151"/>
      <c r="O258" s="159"/>
      <c r="P258" s="159"/>
    </row>
    <row r="259" spans="2:16" x14ac:dyDescent="0.3">
      <c r="B259" s="44"/>
      <c r="C259" s="44"/>
      <c r="D259" s="44"/>
      <c r="E259" s="44"/>
      <c r="F259" s="149"/>
      <c r="G259" s="149"/>
      <c r="H259" s="149"/>
      <c r="I259" s="151"/>
      <c r="J259" s="151"/>
      <c r="K259" s="151"/>
      <c r="L259" s="151"/>
      <c r="M259" s="151"/>
      <c r="N259" s="151"/>
      <c r="O259" s="159"/>
      <c r="P259" s="159"/>
    </row>
    <row r="260" spans="2:16" x14ac:dyDescent="0.3">
      <c r="B260" s="44"/>
      <c r="C260" s="44"/>
      <c r="D260" s="44"/>
      <c r="E260" s="44"/>
      <c r="F260" s="149"/>
      <c r="G260" s="149"/>
      <c r="H260" s="149"/>
      <c r="I260" s="151"/>
      <c r="J260" s="151"/>
      <c r="K260" s="151"/>
      <c r="L260" s="151"/>
      <c r="M260" s="151"/>
      <c r="N260" s="151"/>
      <c r="O260" s="159"/>
      <c r="P260" s="159"/>
    </row>
    <row r="261" spans="2:16" x14ac:dyDescent="0.3">
      <c r="B261" s="44"/>
      <c r="C261" s="44"/>
      <c r="D261" s="44"/>
      <c r="E261" s="44"/>
      <c r="F261" s="149"/>
      <c r="G261" s="149"/>
      <c r="H261" s="149"/>
      <c r="I261" s="151"/>
      <c r="J261" s="151"/>
      <c r="K261" s="151"/>
      <c r="L261" s="151"/>
      <c r="M261" s="151"/>
      <c r="N261" s="151"/>
      <c r="O261" s="159"/>
      <c r="P261" s="159"/>
    </row>
    <row r="262" spans="2:16" x14ac:dyDescent="0.3">
      <c r="B262" s="44"/>
      <c r="C262" s="44"/>
      <c r="D262" s="44"/>
      <c r="E262" s="44"/>
      <c r="F262" s="149"/>
      <c r="G262" s="149"/>
      <c r="H262" s="149"/>
      <c r="I262" s="151"/>
      <c r="J262" s="151"/>
      <c r="K262" s="151"/>
      <c r="L262" s="151"/>
      <c r="M262" s="151"/>
      <c r="N262" s="151"/>
      <c r="O262" s="159"/>
      <c r="P262" s="159"/>
    </row>
    <row r="263" spans="2:16" x14ac:dyDescent="0.3">
      <c r="B263" s="44"/>
      <c r="C263" s="44"/>
      <c r="D263" s="44"/>
      <c r="E263" s="44"/>
      <c r="F263" s="149"/>
      <c r="G263" s="149"/>
      <c r="H263" s="149"/>
      <c r="I263" s="151"/>
      <c r="J263" s="151"/>
      <c r="K263" s="151"/>
      <c r="L263" s="151"/>
      <c r="M263" s="151"/>
      <c r="N263" s="151"/>
      <c r="O263" s="159"/>
      <c r="P263" s="159"/>
    </row>
    <row r="264" spans="2:16" x14ac:dyDescent="0.3">
      <c r="B264" s="44"/>
      <c r="C264" s="44"/>
      <c r="D264" s="44"/>
      <c r="E264" s="44"/>
      <c r="F264" s="149"/>
      <c r="G264" s="149"/>
      <c r="H264" s="149"/>
      <c r="I264" s="151"/>
      <c r="J264" s="151"/>
      <c r="K264" s="151"/>
      <c r="L264" s="151"/>
      <c r="M264" s="151"/>
      <c r="N264" s="151"/>
      <c r="O264" s="159"/>
      <c r="P264" s="159"/>
    </row>
    <row r="265" spans="2:16" x14ac:dyDescent="0.3">
      <c r="B265" s="44"/>
      <c r="C265" s="44"/>
      <c r="D265" s="44"/>
      <c r="E265" s="44"/>
      <c r="F265" s="149"/>
      <c r="G265" s="149"/>
      <c r="H265" s="149"/>
      <c r="I265" s="151"/>
      <c r="J265" s="151"/>
      <c r="K265" s="151"/>
      <c r="L265" s="151"/>
      <c r="M265" s="151"/>
      <c r="N265" s="151"/>
      <c r="O265" s="159"/>
      <c r="P265" s="159"/>
    </row>
    <row r="266" spans="2:16" x14ac:dyDescent="0.3">
      <c r="B266" s="44"/>
      <c r="C266" s="44"/>
      <c r="D266" s="44"/>
      <c r="E266" s="44"/>
      <c r="F266" s="149"/>
      <c r="G266" s="149"/>
      <c r="H266" s="149"/>
      <c r="I266" s="151"/>
      <c r="J266" s="151"/>
      <c r="K266" s="151"/>
      <c r="L266" s="151"/>
      <c r="M266" s="151"/>
      <c r="N266" s="151"/>
      <c r="O266" s="159"/>
      <c r="P266" s="159"/>
    </row>
    <row r="267" spans="2:16" x14ac:dyDescent="0.3">
      <c r="B267" s="44"/>
      <c r="C267" s="44"/>
      <c r="D267" s="44"/>
      <c r="E267" s="44"/>
      <c r="F267" s="149"/>
      <c r="G267" s="149"/>
      <c r="H267" s="149"/>
      <c r="I267" s="151"/>
      <c r="J267" s="151"/>
      <c r="K267" s="151"/>
      <c r="L267" s="151"/>
      <c r="M267" s="151"/>
      <c r="N267" s="151"/>
      <c r="O267" s="159"/>
      <c r="P267" s="159"/>
    </row>
    <row r="268" spans="2:16" x14ac:dyDescent="0.3">
      <c r="B268" s="44"/>
      <c r="C268" s="44"/>
      <c r="D268" s="44"/>
      <c r="E268" s="44"/>
      <c r="F268" s="149"/>
      <c r="G268" s="149"/>
      <c r="H268" s="149"/>
      <c r="I268" s="151"/>
      <c r="J268" s="151"/>
      <c r="K268" s="151"/>
      <c r="L268" s="151"/>
      <c r="M268" s="151"/>
      <c r="N268" s="151"/>
      <c r="O268" s="159"/>
      <c r="P268" s="159"/>
    </row>
    <row r="269" spans="2:16" x14ac:dyDescent="0.3">
      <c r="B269" s="44"/>
      <c r="C269" s="44"/>
      <c r="D269" s="44"/>
      <c r="E269" s="44"/>
      <c r="F269" s="149"/>
      <c r="G269" s="149"/>
      <c r="H269" s="149"/>
      <c r="I269" s="151"/>
      <c r="J269" s="151"/>
      <c r="K269" s="151"/>
      <c r="L269" s="151"/>
      <c r="M269" s="151"/>
      <c r="N269" s="151"/>
      <c r="O269" s="159"/>
      <c r="P269" s="159"/>
    </row>
    <row r="270" spans="2:16" x14ac:dyDescent="0.3">
      <c r="B270" s="44"/>
      <c r="C270" s="44"/>
      <c r="D270" s="44"/>
      <c r="E270" s="44"/>
      <c r="F270" s="149"/>
      <c r="G270" s="149"/>
      <c r="H270" s="149"/>
      <c r="I270" s="151"/>
      <c r="J270" s="151"/>
      <c r="K270" s="151"/>
      <c r="L270" s="151"/>
      <c r="M270" s="151"/>
      <c r="N270" s="151"/>
      <c r="O270" s="159"/>
      <c r="P270" s="159"/>
    </row>
    <row r="271" spans="2:16" x14ac:dyDescent="0.3">
      <c r="B271" s="44"/>
      <c r="C271" s="44"/>
      <c r="D271" s="44"/>
      <c r="E271" s="44"/>
      <c r="F271" s="149"/>
      <c r="G271" s="149"/>
      <c r="H271" s="149"/>
      <c r="I271" s="151"/>
      <c r="J271" s="151"/>
      <c r="K271" s="151"/>
      <c r="L271" s="151"/>
      <c r="M271" s="151"/>
      <c r="N271" s="151"/>
      <c r="O271" s="159"/>
      <c r="P271" s="159"/>
    </row>
    <row r="272" spans="2:16" x14ac:dyDescent="0.3">
      <c r="B272" s="44"/>
      <c r="C272" s="44"/>
      <c r="D272" s="44"/>
      <c r="E272" s="44"/>
      <c r="F272" s="149"/>
      <c r="G272" s="149"/>
      <c r="H272" s="149"/>
      <c r="I272" s="151"/>
      <c r="J272" s="151"/>
      <c r="K272" s="151"/>
      <c r="L272" s="151"/>
      <c r="M272" s="151"/>
      <c r="N272" s="151"/>
      <c r="O272" s="159"/>
      <c r="P272" s="159"/>
    </row>
    <row r="273" spans="2:16" x14ac:dyDescent="0.3">
      <c r="B273" s="44"/>
      <c r="C273" s="44"/>
      <c r="D273" s="44"/>
      <c r="E273" s="44"/>
      <c r="F273" s="149"/>
      <c r="G273" s="149"/>
      <c r="H273" s="149"/>
      <c r="I273" s="151"/>
      <c r="J273" s="151"/>
      <c r="K273" s="151"/>
      <c r="L273" s="151"/>
      <c r="M273" s="151"/>
      <c r="N273" s="151"/>
      <c r="O273" s="159"/>
      <c r="P273" s="159"/>
    </row>
    <row r="274" spans="2:16" x14ac:dyDescent="0.3">
      <c r="B274" s="44"/>
      <c r="C274" s="44"/>
      <c r="D274" s="44"/>
      <c r="E274" s="44"/>
      <c r="F274" s="149"/>
      <c r="G274" s="149"/>
      <c r="H274" s="149"/>
      <c r="I274" s="151"/>
      <c r="J274" s="151"/>
      <c r="K274" s="151"/>
      <c r="L274" s="151"/>
      <c r="M274" s="151"/>
      <c r="N274" s="151"/>
      <c r="O274" s="159"/>
      <c r="P274" s="159"/>
    </row>
    <row r="275" spans="2:16" x14ac:dyDescent="0.3">
      <c r="B275" s="44"/>
      <c r="C275" s="44"/>
      <c r="D275" s="44"/>
      <c r="E275" s="44"/>
      <c r="F275" s="149"/>
      <c r="G275" s="149"/>
      <c r="H275" s="149"/>
      <c r="I275" s="151"/>
      <c r="J275" s="151"/>
      <c r="K275" s="151"/>
      <c r="L275" s="151"/>
      <c r="M275" s="151"/>
      <c r="N275" s="151"/>
      <c r="O275" s="159"/>
      <c r="P275" s="159"/>
    </row>
    <row r="276" spans="2:16" x14ac:dyDescent="0.3">
      <c r="B276" s="44"/>
      <c r="C276" s="44"/>
      <c r="D276" s="44"/>
      <c r="E276" s="44"/>
      <c r="F276" s="149"/>
      <c r="G276" s="149"/>
      <c r="H276" s="149"/>
      <c r="I276" s="151"/>
      <c r="J276" s="151"/>
      <c r="K276" s="151"/>
      <c r="L276" s="151"/>
      <c r="M276" s="151"/>
      <c r="N276" s="151"/>
      <c r="O276" s="159"/>
      <c r="P276" s="159"/>
    </row>
    <row r="277" spans="2:16" x14ac:dyDescent="0.3">
      <c r="B277" s="44"/>
      <c r="C277" s="44"/>
      <c r="D277" s="44"/>
      <c r="E277" s="44"/>
      <c r="F277" s="149"/>
      <c r="G277" s="149"/>
      <c r="H277" s="149"/>
      <c r="I277" s="151"/>
      <c r="J277" s="151"/>
      <c r="K277" s="151"/>
      <c r="L277" s="151"/>
      <c r="M277" s="151"/>
      <c r="N277" s="151"/>
      <c r="O277" s="159"/>
      <c r="P277" s="159"/>
    </row>
    <row r="278" spans="2:16" x14ac:dyDescent="0.3">
      <c r="B278" s="44"/>
      <c r="C278" s="44"/>
      <c r="D278" s="44"/>
      <c r="E278" s="44"/>
      <c r="F278" s="149"/>
      <c r="G278" s="149"/>
      <c r="H278" s="149"/>
      <c r="I278" s="151"/>
      <c r="J278" s="151"/>
      <c r="K278" s="151"/>
      <c r="L278" s="151"/>
      <c r="M278" s="151"/>
      <c r="N278" s="151"/>
      <c r="O278" s="159"/>
      <c r="P278" s="159"/>
    </row>
    <row r="279" spans="2:16" x14ac:dyDescent="0.3">
      <c r="B279" s="44"/>
      <c r="C279" s="44"/>
      <c r="D279" s="44"/>
      <c r="E279" s="44"/>
      <c r="F279" s="149"/>
      <c r="G279" s="149"/>
      <c r="H279" s="149"/>
      <c r="I279" s="151"/>
      <c r="J279" s="151"/>
      <c r="K279" s="151"/>
      <c r="L279" s="151"/>
      <c r="M279" s="151"/>
      <c r="N279" s="151"/>
      <c r="O279" s="159"/>
      <c r="P279" s="159"/>
    </row>
    <row r="280" spans="2:16" x14ac:dyDescent="0.3">
      <c r="B280" s="44"/>
      <c r="C280" s="44"/>
      <c r="D280" s="44"/>
      <c r="E280" s="44"/>
      <c r="F280" s="149"/>
      <c r="G280" s="149"/>
      <c r="H280" s="149"/>
      <c r="I280" s="151"/>
      <c r="J280" s="151"/>
      <c r="K280" s="151"/>
      <c r="L280" s="151"/>
      <c r="M280" s="151"/>
      <c r="N280" s="151"/>
      <c r="O280" s="159"/>
      <c r="P280" s="159"/>
    </row>
    <row r="281" spans="2:16" x14ac:dyDescent="0.3">
      <c r="B281" s="44"/>
      <c r="C281" s="44"/>
      <c r="D281" s="44"/>
      <c r="E281" s="44"/>
      <c r="F281" s="149"/>
      <c r="G281" s="149"/>
      <c r="H281" s="149"/>
      <c r="I281" s="151"/>
      <c r="J281" s="151"/>
      <c r="K281" s="151"/>
      <c r="L281" s="151"/>
      <c r="M281" s="151"/>
      <c r="N281" s="151"/>
      <c r="O281" s="159"/>
      <c r="P281" s="159"/>
    </row>
    <row r="282" spans="2:16" x14ac:dyDescent="0.3">
      <c r="B282" s="44"/>
      <c r="C282" s="44"/>
      <c r="D282" s="44"/>
      <c r="E282" s="44"/>
      <c r="F282" s="149"/>
      <c r="G282" s="149"/>
      <c r="H282" s="149"/>
      <c r="I282" s="151"/>
      <c r="J282" s="151"/>
      <c r="K282" s="151"/>
      <c r="L282" s="151"/>
      <c r="M282" s="151"/>
      <c r="N282" s="151"/>
      <c r="O282" s="159"/>
      <c r="P282" s="159"/>
    </row>
    <row r="283" spans="2:16" x14ac:dyDescent="0.3">
      <c r="B283" s="44"/>
      <c r="C283" s="44"/>
      <c r="D283" s="44"/>
      <c r="E283" s="44"/>
      <c r="F283" s="149"/>
      <c r="G283" s="149"/>
      <c r="H283" s="149"/>
      <c r="I283" s="151"/>
      <c r="J283" s="151"/>
      <c r="K283" s="151"/>
      <c r="L283" s="151"/>
      <c r="M283" s="151"/>
      <c r="N283" s="151"/>
      <c r="O283" s="159"/>
      <c r="P283" s="159"/>
    </row>
    <row r="284" spans="2:16" x14ac:dyDescent="0.3">
      <c r="B284" s="44"/>
      <c r="C284" s="44"/>
      <c r="D284" s="44"/>
      <c r="E284" s="44"/>
      <c r="F284" s="149"/>
      <c r="G284" s="149"/>
      <c r="H284" s="149"/>
      <c r="I284" s="151"/>
      <c r="J284" s="151"/>
      <c r="K284" s="151"/>
      <c r="L284" s="151"/>
      <c r="M284" s="151"/>
      <c r="N284" s="151"/>
      <c r="O284" s="159"/>
      <c r="P284" s="159"/>
    </row>
    <row r="285" spans="2:16" x14ac:dyDescent="0.3">
      <c r="B285" s="44"/>
      <c r="C285" s="44"/>
      <c r="D285" s="44"/>
      <c r="E285" s="44"/>
      <c r="F285" s="149"/>
      <c r="G285" s="149"/>
      <c r="H285" s="149"/>
      <c r="I285" s="151"/>
      <c r="J285" s="151"/>
      <c r="K285" s="151"/>
      <c r="L285" s="151"/>
      <c r="M285" s="151"/>
      <c r="N285" s="151"/>
      <c r="O285" s="159"/>
      <c r="P285" s="159"/>
    </row>
    <row r="286" spans="2:16" x14ac:dyDescent="0.3">
      <c r="B286" s="44"/>
      <c r="C286" s="44"/>
      <c r="D286" s="44"/>
      <c r="E286" s="44"/>
      <c r="F286" s="149"/>
      <c r="G286" s="149"/>
      <c r="H286" s="149"/>
      <c r="I286" s="151"/>
      <c r="J286" s="151"/>
      <c r="K286" s="151"/>
      <c r="L286" s="151"/>
      <c r="M286" s="151"/>
      <c r="N286" s="151"/>
      <c r="O286" s="159"/>
      <c r="P286" s="159"/>
    </row>
    <row r="287" spans="2:16" x14ac:dyDescent="0.3">
      <c r="B287" s="44"/>
      <c r="C287" s="44"/>
      <c r="D287" s="44"/>
      <c r="E287" s="44"/>
      <c r="F287" s="149"/>
      <c r="G287" s="149"/>
      <c r="H287" s="149"/>
      <c r="I287" s="151"/>
      <c r="J287" s="151"/>
      <c r="K287" s="151"/>
      <c r="L287" s="151"/>
      <c r="M287" s="151"/>
      <c r="N287" s="151"/>
      <c r="O287" s="159"/>
      <c r="P287" s="159"/>
    </row>
    <row r="288" spans="2:16" x14ac:dyDescent="0.3">
      <c r="B288" s="44"/>
      <c r="C288" s="44"/>
      <c r="D288" s="44"/>
      <c r="E288" s="44"/>
      <c r="F288" s="149"/>
      <c r="G288" s="149"/>
      <c r="H288" s="149"/>
      <c r="I288" s="151"/>
      <c r="J288" s="151"/>
      <c r="K288" s="151"/>
      <c r="L288" s="151"/>
      <c r="M288" s="151"/>
      <c r="N288" s="151"/>
      <c r="O288" s="159"/>
      <c r="P288" s="159"/>
    </row>
    <row r="289" spans="2:16" x14ac:dyDescent="0.3">
      <c r="B289" s="44"/>
      <c r="C289" s="44"/>
      <c r="D289" s="44"/>
      <c r="E289" s="44"/>
      <c r="F289" s="149"/>
      <c r="G289" s="149"/>
      <c r="H289" s="149"/>
      <c r="I289" s="151"/>
      <c r="J289" s="151"/>
      <c r="K289" s="151"/>
      <c r="L289" s="151"/>
      <c r="M289" s="151"/>
      <c r="N289" s="151"/>
      <c r="O289" s="159"/>
      <c r="P289" s="159"/>
    </row>
    <row r="290" spans="2:16" x14ac:dyDescent="0.3">
      <c r="B290" s="44"/>
      <c r="C290" s="44"/>
      <c r="D290" s="44"/>
      <c r="E290" s="44"/>
      <c r="F290" s="149"/>
      <c r="G290" s="149"/>
      <c r="H290" s="149"/>
      <c r="I290" s="151"/>
      <c r="J290" s="151"/>
      <c r="K290" s="151"/>
      <c r="L290" s="151"/>
      <c r="M290" s="151"/>
      <c r="N290" s="151"/>
      <c r="O290" s="159"/>
      <c r="P290" s="159"/>
    </row>
    <row r="291" spans="2:16" x14ac:dyDescent="0.3">
      <c r="B291" s="44"/>
      <c r="C291" s="44"/>
      <c r="D291" s="44"/>
      <c r="E291" s="44"/>
      <c r="F291" s="149"/>
      <c r="G291" s="149"/>
      <c r="H291" s="149"/>
      <c r="I291" s="151"/>
      <c r="J291" s="151"/>
      <c r="K291" s="151"/>
      <c r="L291" s="151"/>
      <c r="M291" s="151"/>
      <c r="N291" s="151"/>
      <c r="O291" s="159"/>
      <c r="P291" s="159"/>
    </row>
    <row r="292" spans="2:16" x14ac:dyDescent="0.3">
      <c r="B292" s="44"/>
      <c r="C292" s="44"/>
      <c r="D292" s="44"/>
      <c r="E292" s="44"/>
      <c r="F292" s="149"/>
      <c r="G292" s="149"/>
      <c r="H292" s="149"/>
      <c r="I292" s="151"/>
      <c r="J292" s="151"/>
      <c r="K292" s="151"/>
      <c r="L292" s="151"/>
      <c r="M292" s="151"/>
      <c r="N292" s="151"/>
      <c r="O292" s="159"/>
      <c r="P292" s="159"/>
    </row>
    <row r="293" spans="2:16" x14ac:dyDescent="0.3">
      <c r="B293" s="44"/>
      <c r="C293" s="44"/>
      <c r="D293" s="44"/>
      <c r="E293" s="44"/>
      <c r="F293" s="149"/>
      <c r="G293" s="149"/>
      <c r="H293" s="149"/>
      <c r="I293" s="151"/>
      <c r="J293" s="151"/>
      <c r="K293" s="151"/>
      <c r="L293" s="151"/>
      <c r="M293" s="151"/>
      <c r="N293" s="151"/>
      <c r="O293" s="159"/>
      <c r="P293" s="159"/>
    </row>
    <row r="294" spans="2:16" x14ac:dyDescent="0.3">
      <c r="B294" s="44"/>
      <c r="C294" s="44"/>
      <c r="D294" s="44"/>
      <c r="E294" s="44"/>
      <c r="F294" s="149"/>
      <c r="G294" s="149"/>
      <c r="H294" s="149"/>
      <c r="I294" s="151"/>
      <c r="J294" s="151"/>
      <c r="K294" s="151"/>
      <c r="L294" s="151"/>
      <c r="M294" s="151"/>
      <c r="N294" s="151"/>
      <c r="O294" s="159"/>
      <c r="P294" s="159"/>
    </row>
    <row r="295" spans="2:16" x14ac:dyDescent="0.3">
      <c r="B295" s="44"/>
      <c r="C295" s="44"/>
      <c r="D295" s="44"/>
      <c r="E295" s="44"/>
      <c r="F295" s="149"/>
      <c r="G295" s="149"/>
      <c r="H295" s="149"/>
      <c r="I295" s="151"/>
      <c r="J295" s="151"/>
      <c r="K295" s="151"/>
      <c r="L295" s="151"/>
      <c r="M295" s="151"/>
      <c r="N295" s="151"/>
      <c r="O295" s="159"/>
      <c r="P295" s="159"/>
    </row>
    <row r="296" spans="2:16" x14ac:dyDescent="0.3">
      <c r="B296" s="44"/>
      <c r="C296" s="44"/>
      <c r="D296" s="44"/>
      <c r="E296" s="44"/>
      <c r="F296" s="149"/>
      <c r="G296" s="149"/>
      <c r="H296" s="149"/>
      <c r="I296" s="151"/>
      <c r="J296" s="151"/>
      <c r="K296" s="151"/>
      <c r="L296" s="151"/>
      <c r="M296" s="151"/>
      <c r="N296" s="151"/>
      <c r="O296" s="159"/>
      <c r="P296" s="159"/>
    </row>
    <row r="297" spans="2:16" x14ac:dyDescent="0.3">
      <c r="B297" s="44"/>
      <c r="C297" s="44"/>
      <c r="D297" s="44"/>
      <c r="E297" s="44"/>
      <c r="F297" s="149"/>
      <c r="G297" s="149"/>
      <c r="H297" s="149"/>
      <c r="I297" s="151"/>
      <c r="J297" s="151"/>
      <c r="K297" s="151"/>
      <c r="L297" s="151"/>
      <c r="M297" s="151"/>
      <c r="N297" s="151"/>
      <c r="O297" s="159"/>
      <c r="P297" s="159"/>
    </row>
    <row r="298" spans="2:16" x14ac:dyDescent="0.3">
      <c r="B298" s="44"/>
      <c r="C298" s="44"/>
      <c r="D298" s="44"/>
      <c r="E298" s="44"/>
      <c r="F298" s="149"/>
      <c r="G298" s="149"/>
      <c r="H298" s="149"/>
      <c r="I298" s="151"/>
      <c r="J298" s="151"/>
      <c r="K298" s="151"/>
      <c r="L298" s="151"/>
      <c r="M298" s="151"/>
      <c r="N298" s="151"/>
      <c r="O298" s="159"/>
      <c r="P298" s="159"/>
    </row>
    <row r="299" spans="2:16" x14ac:dyDescent="0.3">
      <c r="B299" s="44"/>
      <c r="C299" s="44"/>
      <c r="D299" s="44"/>
      <c r="E299" s="44"/>
      <c r="F299" s="149"/>
      <c r="G299" s="149"/>
      <c r="H299" s="149"/>
      <c r="I299" s="151"/>
      <c r="J299" s="151"/>
      <c r="K299" s="151"/>
      <c r="L299" s="151"/>
      <c r="M299" s="151"/>
      <c r="N299" s="151"/>
      <c r="O299" s="159"/>
      <c r="P299" s="159"/>
    </row>
    <row r="300" spans="2:16" x14ac:dyDescent="0.3">
      <c r="B300" s="44"/>
      <c r="C300" s="44"/>
      <c r="D300" s="44"/>
      <c r="E300" s="44"/>
      <c r="F300" s="149"/>
      <c r="G300" s="149"/>
      <c r="H300" s="149"/>
      <c r="I300" s="151"/>
      <c r="J300" s="151"/>
      <c r="K300" s="151"/>
      <c r="L300" s="151"/>
      <c r="M300" s="151"/>
      <c r="N300" s="151"/>
      <c r="O300" s="159"/>
      <c r="P300" s="159"/>
    </row>
    <row r="301" spans="2:16" x14ac:dyDescent="0.3">
      <c r="B301" s="44"/>
      <c r="C301" s="44"/>
      <c r="D301" s="44"/>
      <c r="E301" s="44"/>
      <c r="F301" s="149"/>
      <c r="G301" s="149"/>
      <c r="H301" s="149"/>
      <c r="I301" s="151"/>
      <c r="J301" s="151"/>
      <c r="K301" s="151"/>
      <c r="L301" s="151"/>
      <c r="M301" s="151"/>
      <c r="N301" s="151"/>
      <c r="O301" s="159"/>
      <c r="P301" s="159"/>
    </row>
    <row r="302" spans="2:16" x14ac:dyDescent="0.3">
      <c r="B302" s="44"/>
      <c r="C302" s="44"/>
      <c r="D302" s="44"/>
      <c r="E302" s="44"/>
      <c r="F302" s="149"/>
      <c r="G302" s="149"/>
      <c r="H302" s="149"/>
      <c r="I302" s="151"/>
      <c r="J302" s="151"/>
      <c r="K302" s="151"/>
      <c r="L302" s="151"/>
      <c r="M302" s="151"/>
      <c r="N302" s="151"/>
      <c r="O302" s="159"/>
      <c r="P302" s="159"/>
    </row>
    <row r="303" spans="2:16" x14ac:dyDescent="0.3">
      <c r="B303" s="44"/>
      <c r="C303" s="44"/>
      <c r="D303" s="44"/>
      <c r="E303" s="44"/>
      <c r="F303" s="149"/>
      <c r="G303" s="149"/>
      <c r="H303" s="149"/>
      <c r="I303" s="151"/>
      <c r="J303" s="151"/>
      <c r="K303" s="151"/>
      <c r="L303" s="151"/>
      <c r="M303" s="151"/>
      <c r="N303" s="151"/>
      <c r="O303" s="159"/>
      <c r="P303" s="159"/>
    </row>
    <row r="304" spans="2:16" x14ac:dyDescent="0.3">
      <c r="B304" s="44"/>
      <c r="C304" s="44"/>
      <c r="D304" s="44"/>
      <c r="E304" s="44"/>
      <c r="F304" s="149"/>
      <c r="G304" s="149"/>
      <c r="H304" s="149"/>
      <c r="I304" s="151"/>
      <c r="J304" s="151"/>
      <c r="K304" s="151"/>
      <c r="L304" s="151"/>
      <c r="M304" s="151"/>
      <c r="N304" s="151"/>
      <c r="O304" s="159"/>
      <c r="P304" s="159"/>
    </row>
    <row r="305" spans="2:16" x14ac:dyDescent="0.3">
      <c r="B305" s="44"/>
      <c r="C305" s="44"/>
      <c r="D305" s="44"/>
      <c r="E305" s="44"/>
      <c r="F305" s="149"/>
      <c r="G305" s="149"/>
      <c r="H305" s="149"/>
      <c r="I305" s="151"/>
      <c r="J305" s="151"/>
      <c r="K305" s="151"/>
      <c r="L305" s="151"/>
      <c r="M305" s="151"/>
      <c r="N305" s="151"/>
      <c r="O305" s="159"/>
      <c r="P305" s="159"/>
    </row>
    <row r="306" spans="2:16" x14ac:dyDescent="0.3">
      <c r="B306" s="44"/>
      <c r="C306" s="44"/>
      <c r="D306" s="44"/>
      <c r="E306" s="44"/>
      <c r="F306" s="149"/>
      <c r="G306" s="149"/>
      <c r="H306" s="149"/>
      <c r="I306" s="151"/>
      <c r="J306" s="151"/>
      <c r="K306" s="151"/>
      <c r="L306" s="151"/>
      <c r="M306" s="151"/>
      <c r="N306" s="151"/>
      <c r="O306" s="159"/>
      <c r="P306" s="159"/>
    </row>
    <row r="307" spans="2:16" x14ac:dyDescent="0.3">
      <c r="B307" s="44"/>
      <c r="C307" s="44"/>
      <c r="D307" s="44"/>
      <c r="E307" s="44"/>
      <c r="F307" s="149"/>
      <c r="G307" s="149"/>
      <c r="H307" s="149"/>
      <c r="I307" s="151"/>
      <c r="J307" s="151"/>
      <c r="K307" s="151"/>
      <c r="L307" s="151"/>
      <c r="M307" s="151"/>
      <c r="N307" s="151"/>
      <c r="O307" s="159"/>
      <c r="P307" s="159"/>
    </row>
    <row r="308" spans="2:16" x14ac:dyDescent="0.3">
      <c r="B308" s="44"/>
      <c r="C308" s="44"/>
      <c r="D308" s="44"/>
      <c r="E308" s="44"/>
      <c r="F308" s="149"/>
      <c r="G308" s="149"/>
      <c r="H308" s="149"/>
      <c r="I308" s="151"/>
      <c r="J308" s="151"/>
      <c r="K308" s="151"/>
      <c r="L308" s="151"/>
      <c r="M308" s="151"/>
      <c r="N308" s="151"/>
      <c r="O308" s="159"/>
      <c r="P308" s="159"/>
    </row>
    <row r="309" spans="2:16" x14ac:dyDescent="0.3">
      <c r="B309" s="44"/>
      <c r="C309" s="44"/>
      <c r="D309" s="44"/>
      <c r="E309" s="44"/>
      <c r="F309" s="149"/>
      <c r="G309" s="149"/>
      <c r="H309" s="149"/>
      <c r="I309" s="151"/>
      <c r="J309" s="151"/>
      <c r="K309" s="151"/>
      <c r="L309" s="151"/>
      <c r="M309" s="151"/>
      <c r="N309" s="151"/>
      <c r="O309" s="159"/>
      <c r="P309" s="159"/>
    </row>
    <row r="310" spans="2:16" x14ac:dyDescent="0.3">
      <c r="B310" s="44"/>
      <c r="C310" s="44"/>
      <c r="D310" s="44"/>
      <c r="E310" s="44"/>
      <c r="F310" s="149"/>
      <c r="G310" s="149"/>
      <c r="H310" s="149"/>
      <c r="I310" s="151"/>
      <c r="J310" s="151"/>
      <c r="K310" s="151"/>
      <c r="L310" s="151"/>
      <c r="M310" s="151"/>
      <c r="N310" s="151"/>
      <c r="O310" s="159"/>
      <c r="P310" s="159"/>
    </row>
    <row r="311" spans="2:16" x14ac:dyDescent="0.3">
      <c r="B311" s="44"/>
      <c r="C311" s="44"/>
      <c r="D311" s="44"/>
      <c r="E311" s="44"/>
      <c r="F311" s="149"/>
      <c r="G311" s="149"/>
      <c r="H311" s="149"/>
      <c r="I311" s="151"/>
      <c r="J311" s="151"/>
      <c r="K311" s="151"/>
      <c r="L311" s="151"/>
      <c r="M311" s="151"/>
      <c r="N311" s="151"/>
      <c r="O311" s="159"/>
      <c r="P311" s="159"/>
    </row>
    <row r="312" spans="2:16" x14ac:dyDescent="0.3">
      <c r="B312" s="44"/>
      <c r="C312" s="44"/>
      <c r="D312" s="44"/>
      <c r="E312" s="44"/>
      <c r="F312" s="149"/>
      <c r="G312" s="149"/>
      <c r="H312" s="149"/>
      <c r="I312" s="151"/>
      <c r="J312" s="151"/>
      <c r="K312" s="151"/>
      <c r="L312" s="151"/>
      <c r="M312" s="151"/>
      <c r="N312" s="151"/>
      <c r="O312" s="159"/>
      <c r="P312" s="159"/>
    </row>
    <row r="313" spans="2:16" x14ac:dyDescent="0.3">
      <c r="B313" s="44"/>
      <c r="C313" s="44"/>
      <c r="D313" s="44"/>
      <c r="E313" s="44"/>
      <c r="F313" s="149"/>
      <c r="G313" s="149"/>
      <c r="H313" s="149"/>
      <c r="I313" s="151"/>
      <c r="J313" s="151"/>
      <c r="K313" s="151"/>
      <c r="L313" s="151"/>
      <c r="M313" s="151"/>
      <c r="N313" s="151"/>
      <c r="O313" s="159"/>
      <c r="P313" s="159"/>
    </row>
    <row r="314" spans="2:16" x14ac:dyDescent="0.3">
      <c r="B314" s="44"/>
      <c r="C314" s="44"/>
      <c r="D314" s="44"/>
      <c r="E314" s="44"/>
      <c r="F314" s="149"/>
      <c r="G314" s="149"/>
      <c r="H314" s="149"/>
      <c r="I314" s="151"/>
      <c r="J314" s="151"/>
      <c r="K314" s="151"/>
      <c r="L314" s="151"/>
      <c r="M314" s="151"/>
      <c r="N314" s="151"/>
      <c r="O314" s="159"/>
      <c r="P314" s="159"/>
    </row>
    <row r="315" spans="2:16" x14ac:dyDescent="0.3">
      <c r="B315" s="44"/>
      <c r="C315" s="44"/>
      <c r="D315" s="44"/>
      <c r="E315" s="44"/>
      <c r="F315" s="149"/>
      <c r="G315" s="149"/>
      <c r="H315" s="149"/>
      <c r="I315" s="151"/>
      <c r="J315" s="151"/>
      <c r="K315" s="151"/>
      <c r="L315" s="151"/>
      <c r="M315" s="151"/>
      <c r="N315" s="151"/>
      <c r="O315" s="159"/>
      <c r="P315" s="159"/>
    </row>
    <row r="316" spans="2:16" x14ac:dyDescent="0.3">
      <c r="B316" s="44"/>
      <c r="C316" s="44"/>
      <c r="D316" s="44"/>
      <c r="E316" s="44"/>
      <c r="F316" s="149"/>
      <c r="G316" s="149"/>
      <c r="H316" s="149"/>
      <c r="I316" s="151"/>
      <c r="J316" s="151"/>
      <c r="K316" s="151"/>
      <c r="L316" s="151"/>
      <c r="M316" s="151"/>
      <c r="N316" s="151"/>
      <c r="O316" s="159"/>
      <c r="P316" s="159"/>
    </row>
    <row r="317" spans="2:16" x14ac:dyDescent="0.3">
      <c r="B317" s="44"/>
      <c r="C317" s="44"/>
      <c r="D317" s="44"/>
      <c r="E317" s="44"/>
      <c r="F317" s="149"/>
      <c r="G317" s="149"/>
      <c r="H317" s="149"/>
      <c r="I317" s="151"/>
      <c r="J317" s="151"/>
      <c r="K317" s="151"/>
      <c r="L317" s="151"/>
      <c r="M317" s="151"/>
      <c r="N317" s="151"/>
      <c r="O317" s="159"/>
      <c r="P317" s="159"/>
    </row>
    <row r="318" spans="2:16" x14ac:dyDescent="0.3">
      <c r="B318" s="44"/>
      <c r="C318" s="44"/>
      <c r="D318" s="44"/>
      <c r="E318" s="44"/>
      <c r="F318" s="149"/>
      <c r="G318" s="149"/>
      <c r="H318" s="149"/>
      <c r="I318" s="151"/>
      <c r="J318" s="151"/>
      <c r="K318" s="151"/>
      <c r="L318" s="151"/>
      <c r="M318" s="151"/>
      <c r="N318" s="151"/>
      <c r="O318" s="159"/>
      <c r="P318" s="159"/>
    </row>
    <row r="319" spans="2:16" x14ac:dyDescent="0.3">
      <c r="B319" s="44"/>
      <c r="C319" s="44"/>
      <c r="D319" s="44"/>
      <c r="E319" s="44"/>
      <c r="F319" s="149"/>
      <c r="G319" s="149"/>
      <c r="H319" s="149"/>
      <c r="I319" s="151"/>
      <c r="J319" s="151"/>
      <c r="K319" s="151"/>
      <c r="L319" s="151"/>
      <c r="M319" s="151"/>
      <c r="N319" s="151"/>
      <c r="O319" s="159"/>
      <c r="P319" s="159"/>
    </row>
    <row r="320" spans="2:16" x14ac:dyDescent="0.3">
      <c r="B320" s="44"/>
      <c r="C320" s="44"/>
      <c r="D320" s="44"/>
      <c r="E320" s="44"/>
      <c r="F320" s="149"/>
      <c r="G320" s="149"/>
      <c r="H320" s="149"/>
      <c r="I320" s="151"/>
      <c r="J320" s="151"/>
      <c r="K320" s="151"/>
      <c r="L320" s="151"/>
      <c r="M320" s="151"/>
      <c r="N320" s="151"/>
      <c r="O320" s="159"/>
      <c r="P320" s="159"/>
    </row>
    <row r="321" spans="2:16" x14ac:dyDescent="0.3">
      <c r="B321" s="44"/>
      <c r="C321" s="44"/>
      <c r="D321" s="44"/>
      <c r="E321" s="44"/>
      <c r="F321" s="149"/>
      <c r="G321" s="149"/>
      <c r="H321" s="149"/>
      <c r="I321" s="151"/>
      <c r="J321" s="151"/>
      <c r="K321" s="151"/>
      <c r="L321" s="151"/>
      <c r="M321" s="151"/>
      <c r="N321" s="151"/>
      <c r="O321" s="159"/>
      <c r="P321" s="159"/>
    </row>
    <row r="322" spans="2:16" x14ac:dyDescent="0.3">
      <c r="B322" s="44"/>
      <c r="C322" s="44"/>
      <c r="D322" s="44"/>
      <c r="E322" s="44"/>
      <c r="F322" s="149"/>
      <c r="G322" s="149"/>
      <c r="H322" s="149"/>
      <c r="I322" s="151"/>
      <c r="J322" s="151"/>
      <c r="K322" s="151"/>
      <c r="L322" s="151"/>
      <c r="M322" s="151"/>
      <c r="N322" s="151"/>
      <c r="O322" s="159"/>
      <c r="P322" s="159"/>
    </row>
    <row r="323" spans="2:16" x14ac:dyDescent="0.3">
      <c r="B323" s="44"/>
      <c r="C323" s="44"/>
      <c r="D323" s="44"/>
      <c r="E323" s="44"/>
      <c r="F323" s="149"/>
      <c r="G323" s="149"/>
      <c r="H323" s="149"/>
      <c r="I323" s="151"/>
      <c r="J323" s="151"/>
      <c r="K323" s="151"/>
      <c r="L323" s="151"/>
      <c r="M323" s="151"/>
      <c r="N323" s="151"/>
      <c r="O323" s="159"/>
      <c r="P323" s="159"/>
    </row>
    <row r="324" spans="2:16" x14ac:dyDescent="0.3">
      <c r="B324" s="44"/>
      <c r="C324" s="44"/>
      <c r="D324" s="44"/>
      <c r="E324" s="44"/>
      <c r="F324" s="149"/>
      <c r="G324" s="149"/>
      <c r="H324" s="149"/>
      <c r="I324" s="151"/>
      <c r="J324" s="151"/>
      <c r="K324" s="151"/>
      <c r="L324" s="151"/>
      <c r="M324" s="151"/>
      <c r="N324" s="151"/>
      <c r="O324" s="159"/>
      <c r="P324" s="159"/>
    </row>
    <row r="325" spans="2:16" x14ac:dyDescent="0.3">
      <c r="B325" s="44"/>
      <c r="C325" s="44"/>
      <c r="D325" s="44"/>
      <c r="E325" s="44"/>
      <c r="F325" s="149"/>
      <c r="G325" s="149"/>
      <c r="H325" s="149"/>
      <c r="I325" s="151"/>
      <c r="J325" s="151"/>
      <c r="K325" s="151"/>
      <c r="L325" s="151"/>
      <c r="M325" s="151"/>
      <c r="N325" s="151"/>
      <c r="O325" s="159"/>
      <c r="P325" s="159"/>
    </row>
    <row r="326" spans="2:16" x14ac:dyDescent="0.3">
      <c r="B326" s="44"/>
      <c r="C326" s="44"/>
      <c r="D326" s="44"/>
      <c r="E326" s="44"/>
      <c r="F326" s="149"/>
      <c r="G326" s="149"/>
      <c r="H326" s="149"/>
      <c r="I326" s="151"/>
      <c r="J326" s="151"/>
      <c r="K326" s="151"/>
      <c r="L326" s="151"/>
      <c r="M326" s="151"/>
      <c r="N326" s="151"/>
      <c r="O326" s="159"/>
      <c r="P326" s="159"/>
    </row>
    <row r="327" spans="2:16" x14ac:dyDescent="0.3">
      <c r="B327" s="44"/>
      <c r="C327" s="44"/>
      <c r="D327" s="44"/>
      <c r="E327" s="44"/>
      <c r="F327" s="149"/>
      <c r="G327" s="149"/>
      <c r="H327" s="149"/>
      <c r="I327" s="151"/>
      <c r="J327" s="151"/>
      <c r="K327" s="151"/>
      <c r="L327" s="151"/>
      <c r="M327" s="151"/>
      <c r="N327" s="151"/>
      <c r="O327" s="159"/>
      <c r="P327" s="159"/>
    </row>
    <row r="328" spans="2:16" x14ac:dyDescent="0.3">
      <c r="B328" s="44"/>
      <c r="C328" s="44"/>
      <c r="D328" s="44"/>
      <c r="E328" s="44"/>
      <c r="F328" s="149"/>
      <c r="G328" s="149"/>
      <c r="H328" s="149"/>
      <c r="I328" s="151"/>
      <c r="J328" s="151"/>
      <c r="K328" s="151"/>
      <c r="L328" s="151"/>
      <c r="M328" s="151"/>
      <c r="N328" s="151"/>
      <c r="O328" s="159"/>
      <c r="P328" s="159"/>
    </row>
    <row r="329" spans="2:16" x14ac:dyDescent="0.3">
      <c r="B329" s="44"/>
      <c r="C329" s="44"/>
      <c r="D329" s="44"/>
      <c r="E329" s="44"/>
      <c r="F329" s="149"/>
      <c r="G329" s="149"/>
      <c r="H329" s="149"/>
      <c r="I329" s="151"/>
      <c r="J329" s="151"/>
      <c r="K329" s="151"/>
      <c r="L329" s="151"/>
      <c r="M329" s="151"/>
      <c r="N329" s="151"/>
      <c r="O329" s="159"/>
      <c r="P329" s="159"/>
    </row>
    <row r="330" spans="2:16" x14ac:dyDescent="0.3">
      <c r="B330" s="44"/>
      <c r="C330" s="44"/>
      <c r="D330" s="44"/>
      <c r="E330" s="44"/>
      <c r="F330" s="149"/>
      <c r="G330" s="149"/>
      <c r="H330" s="149"/>
      <c r="I330" s="151"/>
      <c r="J330" s="151"/>
      <c r="K330" s="151"/>
      <c r="L330" s="151"/>
      <c r="M330" s="151"/>
      <c r="N330" s="151"/>
      <c r="O330" s="159"/>
      <c r="P330" s="159"/>
    </row>
    <row r="331" spans="2:16" x14ac:dyDescent="0.3">
      <c r="B331" s="44"/>
      <c r="C331" s="44"/>
      <c r="D331" s="44"/>
      <c r="E331" s="44"/>
      <c r="F331" s="149"/>
      <c r="G331" s="149"/>
      <c r="H331" s="149"/>
      <c r="I331" s="151"/>
      <c r="J331" s="151"/>
      <c r="K331" s="151"/>
      <c r="L331" s="151"/>
      <c r="M331" s="151"/>
      <c r="N331" s="151"/>
      <c r="O331" s="159"/>
      <c r="P331" s="159"/>
    </row>
    <row r="332" spans="2:16" x14ac:dyDescent="0.3">
      <c r="B332" s="44"/>
      <c r="C332" s="44"/>
      <c r="D332" s="44"/>
      <c r="E332" s="44"/>
      <c r="F332" s="149"/>
      <c r="G332" s="149"/>
      <c r="H332" s="149"/>
      <c r="I332" s="151"/>
      <c r="J332" s="151"/>
      <c r="K332" s="151"/>
      <c r="L332" s="151"/>
      <c r="M332" s="151"/>
      <c r="N332" s="151"/>
      <c r="O332" s="159"/>
      <c r="P332" s="159"/>
    </row>
    <row r="333" spans="2:16" x14ac:dyDescent="0.3">
      <c r="B333" s="44"/>
      <c r="C333" s="44"/>
      <c r="D333" s="44"/>
      <c r="E333" s="44"/>
      <c r="F333" s="149"/>
      <c r="G333" s="149"/>
      <c r="H333" s="149"/>
      <c r="I333" s="151"/>
      <c r="J333" s="151"/>
      <c r="K333" s="151"/>
      <c r="L333" s="151"/>
      <c r="M333" s="151"/>
      <c r="N333" s="151"/>
      <c r="O333" s="159"/>
      <c r="P333" s="159"/>
    </row>
    <row r="334" spans="2:16" x14ac:dyDescent="0.3">
      <c r="B334" s="44"/>
      <c r="C334" s="44"/>
      <c r="D334" s="44"/>
      <c r="E334" s="44"/>
      <c r="F334" s="149"/>
      <c r="G334" s="149"/>
      <c r="H334" s="149"/>
      <c r="I334" s="151"/>
      <c r="J334" s="151"/>
      <c r="K334" s="151"/>
      <c r="L334" s="151"/>
      <c r="M334" s="151"/>
      <c r="N334" s="151"/>
      <c r="O334" s="159"/>
      <c r="P334" s="159"/>
    </row>
    <row r="335" spans="2:16" x14ac:dyDescent="0.3">
      <c r="B335" s="44"/>
      <c r="C335" s="44"/>
      <c r="D335" s="44"/>
      <c r="E335" s="44"/>
      <c r="F335" s="149"/>
      <c r="G335" s="149"/>
      <c r="H335" s="149"/>
      <c r="I335" s="151"/>
      <c r="J335" s="151"/>
      <c r="K335" s="151"/>
      <c r="L335" s="151"/>
      <c r="M335" s="151"/>
      <c r="N335" s="151"/>
      <c r="O335" s="159"/>
      <c r="P335" s="159"/>
    </row>
    <row r="336" spans="2:16" x14ac:dyDescent="0.3">
      <c r="B336" s="44"/>
      <c r="C336" s="44"/>
      <c r="D336" s="44"/>
      <c r="E336" s="44"/>
      <c r="F336" s="149"/>
      <c r="G336" s="149"/>
      <c r="H336" s="149"/>
      <c r="I336" s="151"/>
      <c r="J336" s="151"/>
      <c r="K336" s="151"/>
      <c r="L336" s="151"/>
      <c r="M336" s="151"/>
      <c r="N336" s="151"/>
      <c r="O336" s="159"/>
      <c r="P336" s="159"/>
    </row>
    <row r="337" spans="2:16" x14ac:dyDescent="0.3">
      <c r="B337" s="44"/>
      <c r="C337" s="44"/>
      <c r="D337" s="44"/>
      <c r="E337" s="44"/>
      <c r="F337" s="149"/>
      <c r="G337" s="149"/>
      <c r="H337" s="149"/>
      <c r="I337" s="151"/>
      <c r="J337" s="151"/>
      <c r="K337" s="151"/>
      <c r="L337" s="151"/>
      <c r="M337" s="151"/>
      <c r="N337" s="151"/>
      <c r="O337" s="159"/>
      <c r="P337" s="159"/>
    </row>
    <row r="338" spans="2:16" x14ac:dyDescent="0.3">
      <c r="B338" s="44"/>
      <c r="C338" s="44"/>
      <c r="D338" s="44"/>
      <c r="E338" s="44"/>
      <c r="F338" s="149"/>
      <c r="G338" s="149"/>
      <c r="H338" s="149"/>
      <c r="I338" s="151"/>
      <c r="J338" s="151"/>
      <c r="K338" s="151"/>
      <c r="L338" s="151"/>
      <c r="M338" s="151"/>
      <c r="N338" s="151"/>
      <c r="O338" s="159"/>
      <c r="P338" s="159"/>
    </row>
    <row r="339" spans="2:16" x14ac:dyDescent="0.3">
      <c r="B339" s="44"/>
      <c r="C339" s="44"/>
      <c r="D339" s="44"/>
      <c r="E339" s="44"/>
      <c r="F339" s="149"/>
      <c r="G339" s="149"/>
      <c r="H339" s="149"/>
      <c r="I339" s="151"/>
      <c r="J339" s="151"/>
      <c r="K339" s="151"/>
      <c r="L339" s="151"/>
      <c r="M339" s="151"/>
      <c r="N339" s="151"/>
      <c r="O339" s="159"/>
      <c r="P339" s="159"/>
    </row>
    <row r="340" spans="2:16" x14ac:dyDescent="0.3">
      <c r="B340" s="44"/>
      <c r="C340" s="44"/>
      <c r="D340" s="44"/>
      <c r="E340" s="44"/>
      <c r="F340" s="149"/>
      <c r="G340" s="149"/>
      <c r="H340" s="149"/>
      <c r="I340" s="151"/>
      <c r="J340" s="151"/>
      <c r="K340" s="151"/>
      <c r="L340" s="151"/>
      <c r="M340" s="151"/>
      <c r="N340" s="151"/>
      <c r="O340" s="159"/>
      <c r="P340" s="159"/>
    </row>
    <row r="341" spans="2:16" x14ac:dyDescent="0.3">
      <c r="B341" s="44"/>
      <c r="C341" s="44"/>
      <c r="D341" s="44"/>
      <c r="E341" s="44"/>
      <c r="F341" s="149"/>
      <c r="G341" s="149"/>
      <c r="H341" s="149"/>
      <c r="I341" s="151"/>
      <c r="J341" s="151"/>
      <c r="K341" s="151"/>
      <c r="L341" s="151"/>
      <c r="M341" s="151"/>
      <c r="N341" s="151"/>
      <c r="O341" s="159"/>
      <c r="P341" s="159"/>
    </row>
    <row r="342" spans="2:16" x14ac:dyDescent="0.3">
      <c r="B342" s="44"/>
      <c r="C342" s="44"/>
      <c r="D342" s="44"/>
      <c r="E342" s="44"/>
      <c r="F342" s="149"/>
      <c r="G342" s="149"/>
      <c r="H342" s="149"/>
      <c r="I342" s="151"/>
      <c r="J342" s="151"/>
      <c r="K342" s="151"/>
      <c r="L342" s="151"/>
      <c r="M342" s="151"/>
      <c r="N342" s="151"/>
      <c r="O342" s="159"/>
      <c r="P342" s="159"/>
    </row>
    <row r="343" spans="2:16" x14ac:dyDescent="0.3">
      <c r="B343" s="44"/>
      <c r="C343" s="44"/>
      <c r="D343" s="44"/>
      <c r="E343" s="44"/>
      <c r="F343" s="149"/>
      <c r="G343" s="149"/>
      <c r="H343" s="149"/>
      <c r="I343" s="151"/>
      <c r="J343" s="151"/>
      <c r="K343" s="151"/>
      <c r="L343" s="151"/>
      <c r="M343" s="151"/>
      <c r="N343" s="151"/>
      <c r="O343" s="159"/>
      <c r="P343" s="159"/>
    </row>
    <row r="344" spans="2:16" x14ac:dyDescent="0.3">
      <c r="B344" s="44"/>
      <c r="C344" s="44"/>
      <c r="D344" s="44"/>
      <c r="E344" s="44"/>
      <c r="F344" s="149"/>
      <c r="G344" s="149"/>
      <c r="H344" s="149"/>
      <c r="I344" s="151"/>
      <c r="J344" s="151"/>
      <c r="K344" s="151"/>
      <c r="L344" s="151"/>
      <c r="M344" s="151"/>
      <c r="N344" s="151"/>
      <c r="O344" s="159"/>
      <c r="P344" s="159"/>
    </row>
    <row r="345" spans="2:16" x14ac:dyDescent="0.3">
      <c r="B345" s="44"/>
      <c r="C345" s="44"/>
      <c r="D345" s="44"/>
      <c r="E345" s="44"/>
      <c r="F345" s="149"/>
      <c r="G345" s="149"/>
      <c r="H345" s="149"/>
      <c r="I345" s="151"/>
      <c r="J345" s="151"/>
      <c r="K345" s="151"/>
      <c r="L345" s="151"/>
      <c r="M345" s="151"/>
      <c r="N345" s="151"/>
      <c r="O345" s="159"/>
      <c r="P345" s="159"/>
    </row>
    <row r="346" spans="2:16" x14ac:dyDescent="0.3">
      <c r="B346" s="44"/>
      <c r="C346" s="44"/>
      <c r="D346" s="44"/>
      <c r="E346" s="44"/>
      <c r="F346" s="149"/>
      <c r="G346" s="149"/>
      <c r="H346" s="149"/>
      <c r="I346" s="151"/>
      <c r="J346" s="151"/>
      <c r="K346" s="151"/>
      <c r="L346" s="151"/>
      <c r="M346" s="151"/>
      <c r="N346" s="151"/>
      <c r="O346" s="159"/>
      <c r="P346" s="159"/>
    </row>
    <row r="347" spans="2:16" x14ac:dyDescent="0.3">
      <c r="B347" s="44"/>
      <c r="C347" s="44"/>
      <c r="D347" s="44"/>
      <c r="E347" s="44"/>
      <c r="F347" s="149"/>
      <c r="G347" s="149"/>
      <c r="H347" s="149"/>
      <c r="I347" s="151"/>
      <c r="J347" s="151"/>
      <c r="K347" s="151"/>
      <c r="L347" s="151"/>
      <c r="M347" s="151"/>
      <c r="N347" s="151"/>
      <c r="O347" s="159"/>
      <c r="P347" s="159"/>
    </row>
    <row r="348" spans="2:16" x14ac:dyDescent="0.3">
      <c r="B348" s="44"/>
      <c r="C348" s="44"/>
      <c r="D348" s="44"/>
      <c r="E348" s="44"/>
      <c r="F348" s="149"/>
      <c r="G348" s="149"/>
      <c r="H348" s="149"/>
      <c r="I348" s="151"/>
      <c r="J348" s="151"/>
      <c r="K348" s="151"/>
      <c r="L348" s="151"/>
      <c r="M348" s="151"/>
      <c r="N348" s="151"/>
      <c r="O348" s="159"/>
      <c r="P348" s="159"/>
    </row>
    <row r="349" spans="2:16" x14ac:dyDescent="0.3">
      <c r="B349" s="44"/>
      <c r="C349" s="44"/>
      <c r="D349" s="44"/>
      <c r="E349" s="44"/>
      <c r="F349" s="149"/>
      <c r="G349" s="149"/>
      <c r="H349" s="149"/>
      <c r="I349" s="151"/>
      <c r="J349" s="151"/>
      <c r="K349" s="151"/>
      <c r="L349" s="151"/>
      <c r="M349" s="151"/>
      <c r="N349" s="151"/>
      <c r="O349" s="159"/>
      <c r="P349" s="159"/>
    </row>
    <row r="350" spans="2:16" x14ac:dyDescent="0.3">
      <c r="B350" s="44"/>
      <c r="C350" s="44"/>
      <c r="D350" s="44"/>
      <c r="E350" s="44"/>
      <c r="F350" s="149"/>
      <c r="G350" s="149"/>
      <c r="H350" s="149"/>
      <c r="I350" s="151"/>
      <c r="J350" s="151"/>
      <c r="K350" s="151"/>
      <c r="L350" s="151"/>
      <c r="M350" s="151"/>
      <c r="N350" s="151"/>
      <c r="O350" s="159"/>
      <c r="P350" s="159"/>
    </row>
    <row r="351" spans="2:16" x14ac:dyDescent="0.3">
      <c r="B351" s="44"/>
      <c r="C351" s="44"/>
      <c r="D351" s="44"/>
      <c r="E351" s="44"/>
      <c r="F351" s="149"/>
      <c r="G351" s="149"/>
      <c r="H351" s="149"/>
      <c r="I351" s="151"/>
      <c r="J351" s="151"/>
      <c r="K351" s="151"/>
      <c r="L351" s="151"/>
      <c r="M351" s="151"/>
      <c r="N351" s="151"/>
      <c r="O351" s="159"/>
      <c r="P351" s="159"/>
    </row>
    <row r="352" spans="2:16" x14ac:dyDescent="0.3">
      <c r="B352" s="44"/>
      <c r="C352" s="44"/>
      <c r="D352" s="44"/>
      <c r="E352" s="44"/>
      <c r="F352" s="149"/>
      <c r="G352" s="149"/>
      <c r="H352" s="149"/>
      <c r="I352" s="151"/>
      <c r="J352" s="151"/>
      <c r="K352" s="151"/>
      <c r="L352" s="151"/>
      <c r="M352" s="151"/>
      <c r="N352" s="151"/>
      <c r="O352" s="159"/>
      <c r="P352" s="159"/>
    </row>
    <row r="353" spans="2:16" x14ac:dyDescent="0.3">
      <c r="B353" s="44"/>
      <c r="C353" s="44"/>
      <c r="D353" s="44"/>
      <c r="E353" s="44"/>
      <c r="F353" s="149"/>
      <c r="G353" s="149"/>
      <c r="H353" s="149"/>
      <c r="I353" s="151"/>
      <c r="J353" s="151"/>
      <c r="K353" s="151"/>
      <c r="L353" s="151"/>
      <c r="M353" s="151"/>
      <c r="N353" s="151"/>
      <c r="O353" s="159"/>
      <c r="P353" s="159"/>
    </row>
    <row r="354" spans="2:16" x14ac:dyDescent="0.3">
      <c r="B354" s="44"/>
      <c r="C354" s="44"/>
      <c r="D354" s="44"/>
      <c r="E354" s="44"/>
      <c r="F354" s="149"/>
      <c r="G354" s="149"/>
      <c r="H354" s="149"/>
      <c r="I354" s="151"/>
      <c r="J354" s="151"/>
      <c r="K354" s="151"/>
      <c r="L354" s="151"/>
      <c r="M354" s="151"/>
      <c r="N354" s="151"/>
      <c r="O354" s="159"/>
      <c r="P354" s="159"/>
    </row>
    <row r="355" spans="2:16" x14ac:dyDescent="0.3">
      <c r="B355" s="44"/>
      <c r="C355" s="44"/>
      <c r="D355" s="44"/>
      <c r="E355" s="44"/>
      <c r="F355" s="149"/>
      <c r="G355" s="149"/>
      <c r="H355" s="149"/>
      <c r="I355" s="151"/>
      <c r="J355" s="151"/>
      <c r="K355" s="151"/>
      <c r="L355" s="151"/>
      <c r="M355" s="151"/>
      <c r="N355" s="151"/>
      <c r="O355" s="159"/>
      <c r="P355" s="159"/>
    </row>
    <row r="356" spans="2:16" x14ac:dyDescent="0.3">
      <c r="B356" s="44"/>
      <c r="C356" s="44"/>
      <c r="D356" s="44"/>
      <c r="E356" s="44"/>
      <c r="F356" s="149"/>
      <c r="G356" s="149"/>
      <c r="H356" s="149"/>
      <c r="I356" s="151"/>
      <c r="J356" s="151"/>
      <c r="K356" s="151"/>
      <c r="L356" s="151"/>
      <c r="M356" s="151"/>
      <c r="N356" s="151"/>
      <c r="O356" s="159"/>
      <c r="P356" s="159"/>
    </row>
    <row r="357" spans="2:16" x14ac:dyDescent="0.3">
      <c r="B357" s="44"/>
      <c r="C357" s="44"/>
      <c r="D357" s="44"/>
      <c r="E357" s="44"/>
      <c r="F357" s="149"/>
      <c r="G357" s="149"/>
      <c r="H357" s="149"/>
      <c r="I357" s="151"/>
      <c r="J357" s="151"/>
      <c r="K357" s="151"/>
      <c r="L357" s="151"/>
      <c r="M357" s="151"/>
      <c r="N357" s="151"/>
      <c r="O357" s="159"/>
      <c r="P357" s="159"/>
    </row>
    <row r="358" spans="2:16" x14ac:dyDescent="0.3">
      <c r="B358" s="44"/>
      <c r="C358" s="44"/>
      <c r="D358" s="44"/>
      <c r="E358" s="44"/>
      <c r="F358" s="149"/>
      <c r="G358" s="149"/>
      <c r="H358" s="149"/>
      <c r="I358" s="151"/>
      <c r="J358" s="151"/>
      <c r="K358" s="151"/>
      <c r="L358" s="151"/>
      <c r="M358" s="151"/>
      <c r="N358" s="151"/>
      <c r="O358" s="159"/>
      <c r="P358" s="159"/>
    </row>
    <row r="359" spans="2:16" x14ac:dyDescent="0.3">
      <c r="B359" s="44"/>
      <c r="C359" s="44"/>
      <c r="D359" s="44"/>
      <c r="E359" s="44"/>
      <c r="F359" s="149"/>
      <c r="G359" s="149"/>
      <c r="H359" s="149"/>
      <c r="I359" s="151"/>
      <c r="J359" s="151"/>
      <c r="K359" s="151"/>
      <c r="L359" s="151"/>
      <c r="M359" s="151"/>
      <c r="N359" s="151"/>
      <c r="O359" s="159"/>
      <c r="P359" s="159"/>
    </row>
    <row r="360" spans="2:16" x14ac:dyDescent="0.3">
      <c r="B360" s="44"/>
      <c r="C360" s="44"/>
      <c r="D360" s="44"/>
      <c r="E360" s="44"/>
      <c r="F360" s="149"/>
      <c r="G360" s="149"/>
      <c r="H360" s="149"/>
      <c r="I360" s="151"/>
      <c r="J360" s="151"/>
      <c r="K360" s="151"/>
      <c r="L360" s="151"/>
      <c r="M360" s="151"/>
      <c r="N360" s="151"/>
      <c r="O360" s="159"/>
      <c r="P360" s="159"/>
    </row>
    <row r="361" spans="2:16" x14ac:dyDescent="0.3">
      <c r="B361" s="44"/>
      <c r="C361" s="44"/>
      <c r="D361" s="44"/>
      <c r="E361" s="44"/>
      <c r="F361" s="149"/>
      <c r="G361" s="149"/>
      <c r="H361" s="149"/>
      <c r="I361" s="151"/>
      <c r="J361" s="151"/>
      <c r="K361" s="151"/>
      <c r="L361" s="151"/>
      <c r="M361" s="151"/>
      <c r="N361" s="151"/>
      <c r="O361" s="159"/>
      <c r="P361" s="159"/>
    </row>
    <row r="362" spans="2:16" x14ac:dyDescent="0.3">
      <c r="B362" s="44"/>
      <c r="C362" s="44"/>
      <c r="D362" s="44"/>
      <c r="E362" s="44"/>
      <c r="F362" s="149"/>
      <c r="G362" s="149"/>
      <c r="H362" s="149"/>
      <c r="I362" s="151"/>
      <c r="J362" s="151"/>
      <c r="K362" s="151"/>
      <c r="L362" s="151"/>
      <c r="M362" s="151"/>
      <c r="N362" s="151"/>
      <c r="O362" s="159"/>
      <c r="P362" s="159"/>
    </row>
    <row r="363" spans="2:16" x14ac:dyDescent="0.3">
      <c r="B363" s="44"/>
      <c r="C363" s="44"/>
      <c r="D363" s="44"/>
      <c r="E363" s="44"/>
      <c r="F363" s="149"/>
      <c r="G363" s="149"/>
      <c r="H363" s="149"/>
      <c r="I363" s="151"/>
      <c r="J363" s="151"/>
      <c r="K363" s="151"/>
      <c r="L363" s="151"/>
      <c r="M363" s="151"/>
      <c r="N363" s="151"/>
      <c r="O363" s="159"/>
      <c r="P363" s="159"/>
    </row>
    <row r="364" spans="2:16" x14ac:dyDescent="0.3">
      <c r="B364" s="44"/>
      <c r="C364" s="44"/>
      <c r="D364" s="44"/>
      <c r="E364" s="44"/>
      <c r="F364" s="149"/>
      <c r="G364" s="149"/>
      <c r="H364" s="149"/>
      <c r="I364" s="151"/>
      <c r="J364" s="151"/>
      <c r="K364" s="151"/>
      <c r="L364" s="151"/>
      <c r="M364" s="151"/>
      <c r="N364" s="151"/>
      <c r="O364" s="159"/>
      <c r="P364" s="159"/>
    </row>
    <row r="365" spans="2:16" x14ac:dyDescent="0.3">
      <c r="B365" s="44"/>
      <c r="C365" s="44"/>
      <c r="D365" s="44"/>
      <c r="E365" s="44"/>
      <c r="F365" s="149"/>
      <c r="G365" s="149"/>
      <c r="H365" s="149"/>
      <c r="I365" s="151"/>
      <c r="J365" s="151"/>
      <c r="K365" s="151"/>
      <c r="L365" s="151"/>
      <c r="M365" s="151"/>
      <c r="N365" s="151"/>
      <c r="O365" s="159"/>
      <c r="P365" s="159"/>
    </row>
    <row r="366" spans="2:16" x14ac:dyDescent="0.3">
      <c r="B366" s="44"/>
      <c r="C366" s="44"/>
      <c r="D366" s="44"/>
      <c r="E366" s="44"/>
      <c r="F366" s="149"/>
      <c r="G366" s="149"/>
      <c r="H366" s="149"/>
      <c r="I366" s="151"/>
      <c r="J366" s="151"/>
      <c r="K366" s="151"/>
      <c r="L366" s="151"/>
      <c r="M366" s="151"/>
      <c r="N366" s="151"/>
      <c r="O366" s="159"/>
      <c r="P366" s="159"/>
    </row>
    <row r="367" spans="2:16" x14ac:dyDescent="0.3">
      <c r="B367" s="44"/>
      <c r="C367" s="44"/>
      <c r="D367" s="44"/>
      <c r="E367" s="44"/>
      <c r="F367" s="149"/>
      <c r="G367" s="149"/>
      <c r="H367" s="149"/>
      <c r="I367" s="151"/>
      <c r="J367" s="151"/>
      <c r="K367" s="151"/>
      <c r="L367" s="151"/>
      <c r="M367" s="151"/>
      <c r="N367" s="151"/>
      <c r="O367" s="159"/>
      <c r="P367" s="159"/>
    </row>
    <row r="368" spans="2:16" x14ac:dyDescent="0.3">
      <c r="B368" s="44"/>
      <c r="C368" s="44"/>
      <c r="D368" s="44"/>
      <c r="E368" s="44"/>
      <c r="F368" s="149"/>
      <c r="G368" s="149"/>
      <c r="H368" s="149"/>
      <c r="I368" s="151"/>
      <c r="J368" s="151"/>
      <c r="K368" s="151"/>
      <c r="L368" s="151"/>
      <c r="M368" s="151"/>
      <c r="N368" s="151"/>
      <c r="O368" s="159"/>
      <c r="P368" s="159"/>
    </row>
    <row r="369" spans="2:16" x14ac:dyDescent="0.3">
      <c r="B369" s="44"/>
      <c r="C369" s="44"/>
      <c r="D369" s="44"/>
      <c r="E369" s="44"/>
      <c r="F369" s="149"/>
      <c r="G369" s="149"/>
      <c r="H369" s="149"/>
      <c r="I369" s="151"/>
      <c r="J369" s="151"/>
      <c r="K369" s="151"/>
      <c r="L369" s="151"/>
      <c r="M369" s="151"/>
      <c r="N369" s="151"/>
      <c r="O369" s="159"/>
      <c r="P369" s="159"/>
    </row>
    <row r="370" spans="2:16" x14ac:dyDescent="0.3">
      <c r="B370" s="44"/>
      <c r="C370" s="44"/>
      <c r="D370" s="44"/>
      <c r="E370" s="44"/>
      <c r="F370" s="149"/>
      <c r="G370" s="149"/>
      <c r="H370" s="149"/>
      <c r="I370" s="151"/>
      <c r="J370" s="151"/>
      <c r="K370" s="151"/>
      <c r="L370" s="151"/>
      <c r="M370" s="151"/>
      <c r="N370" s="151"/>
      <c r="O370" s="159"/>
      <c r="P370" s="159"/>
    </row>
    <row r="371" spans="2:16" x14ac:dyDescent="0.3">
      <c r="B371" s="44"/>
      <c r="C371" s="44"/>
      <c r="D371" s="44"/>
      <c r="E371" s="44"/>
      <c r="F371" s="149"/>
      <c r="G371" s="149"/>
      <c r="H371" s="149"/>
      <c r="I371" s="151"/>
      <c r="J371" s="151"/>
      <c r="K371" s="151"/>
      <c r="L371" s="151"/>
      <c r="M371" s="151"/>
      <c r="N371" s="151"/>
      <c r="O371" s="159"/>
      <c r="P371" s="159"/>
    </row>
    <row r="372" spans="2:16" x14ac:dyDescent="0.3">
      <c r="B372" s="44"/>
      <c r="C372" s="44"/>
      <c r="D372" s="44"/>
      <c r="E372" s="44"/>
      <c r="F372" s="149"/>
      <c r="G372" s="149"/>
      <c r="H372" s="149"/>
      <c r="I372" s="151"/>
      <c r="J372" s="151"/>
      <c r="K372" s="151"/>
      <c r="L372" s="151"/>
      <c r="M372" s="151"/>
      <c r="N372" s="151"/>
      <c r="O372" s="159"/>
      <c r="P372" s="159"/>
    </row>
    <row r="373" spans="2:16" x14ac:dyDescent="0.3">
      <c r="B373" s="44"/>
      <c r="C373" s="44"/>
      <c r="D373" s="44"/>
      <c r="E373" s="44"/>
      <c r="F373" s="149"/>
      <c r="G373" s="149"/>
      <c r="H373" s="149"/>
      <c r="I373" s="151"/>
      <c r="J373" s="151"/>
      <c r="K373" s="151"/>
      <c r="L373" s="151"/>
      <c r="M373" s="151"/>
      <c r="N373" s="151"/>
      <c r="O373" s="159"/>
      <c r="P373" s="159"/>
    </row>
    <row r="374" spans="2:16" x14ac:dyDescent="0.3">
      <c r="B374" s="44"/>
      <c r="C374" s="44"/>
      <c r="D374" s="44"/>
      <c r="E374" s="44"/>
      <c r="F374" s="149"/>
      <c r="G374" s="149"/>
      <c r="H374" s="149"/>
      <c r="I374" s="151"/>
      <c r="J374" s="151"/>
      <c r="K374" s="151"/>
      <c r="L374" s="151"/>
      <c r="M374" s="151"/>
      <c r="N374" s="151"/>
      <c r="O374" s="159"/>
      <c r="P374" s="159"/>
    </row>
    <row r="375" spans="2:16" x14ac:dyDescent="0.3">
      <c r="B375" s="44"/>
      <c r="C375" s="44"/>
      <c r="D375" s="44"/>
      <c r="E375" s="44"/>
      <c r="F375" s="149"/>
      <c r="G375" s="149"/>
      <c r="H375" s="149"/>
      <c r="I375" s="151"/>
      <c r="J375" s="151"/>
      <c r="K375" s="151"/>
      <c r="L375" s="151"/>
      <c r="M375" s="151"/>
      <c r="N375" s="151"/>
      <c r="O375" s="159"/>
      <c r="P375" s="159"/>
    </row>
    <row r="376" spans="2:16" x14ac:dyDescent="0.3">
      <c r="B376" s="44"/>
      <c r="C376" s="44"/>
      <c r="D376" s="44"/>
      <c r="E376" s="44"/>
      <c r="F376" s="149"/>
      <c r="G376" s="149"/>
      <c r="H376" s="149"/>
      <c r="I376" s="151"/>
      <c r="J376" s="151"/>
      <c r="K376" s="151"/>
      <c r="L376" s="151"/>
      <c r="M376" s="151"/>
      <c r="N376" s="151"/>
      <c r="O376" s="159"/>
      <c r="P376" s="159"/>
    </row>
    <row r="377" spans="2:16" x14ac:dyDescent="0.3">
      <c r="B377" s="44"/>
      <c r="C377" s="44"/>
      <c r="D377" s="44"/>
      <c r="E377" s="44"/>
      <c r="F377" s="149"/>
      <c r="G377" s="149"/>
      <c r="H377" s="149"/>
      <c r="I377" s="151"/>
      <c r="J377" s="151"/>
      <c r="K377" s="151"/>
      <c r="L377" s="151"/>
      <c r="M377" s="151"/>
      <c r="N377" s="151"/>
      <c r="O377" s="159"/>
      <c r="P377" s="159"/>
    </row>
    <row r="378" spans="2:16" x14ac:dyDescent="0.3">
      <c r="B378" s="44"/>
      <c r="C378" s="44"/>
      <c r="D378" s="44"/>
      <c r="E378" s="44"/>
      <c r="F378" s="149"/>
      <c r="G378" s="149"/>
      <c r="H378" s="149"/>
      <c r="I378" s="151"/>
      <c r="J378" s="151"/>
      <c r="K378" s="151"/>
      <c r="L378" s="151"/>
      <c r="M378" s="151"/>
      <c r="N378" s="151"/>
      <c r="O378" s="159"/>
      <c r="P378" s="159"/>
    </row>
    <row r="379" spans="2:16" x14ac:dyDescent="0.3">
      <c r="B379" s="44"/>
      <c r="C379" s="44"/>
      <c r="D379" s="44"/>
      <c r="E379" s="44"/>
      <c r="F379" s="149"/>
      <c r="G379" s="149"/>
      <c r="H379" s="149"/>
      <c r="I379" s="151"/>
      <c r="J379" s="151"/>
      <c r="K379" s="151"/>
      <c r="L379" s="151"/>
      <c r="M379" s="151"/>
      <c r="N379" s="151"/>
      <c r="O379" s="159"/>
      <c r="P379" s="159"/>
    </row>
    <row r="380" spans="2:16" x14ac:dyDescent="0.3">
      <c r="B380" s="44"/>
      <c r="C380" s="44"/>
      <c r="D380" s="44"/>
      <c r="E380" s="44"/>
      <c r="F380" s="149"/>
      <c r="G380" s="149"/>
      <c r="H380" s="149"/>
      <c r="I380" s="151"/>
      <c r="J380" s="151"/>
      <c r="K380" s="151"/>
      <c r="L380" s="151"/>
      <c r="M380" s="151"/>
      <c r="N380" s="151"/>
      <c r="O380" s="159"/>
      <c r="P380" s="159"/>
    </row>
    <row r="381" spans="2:16" x14ac:dyDescent="0.3">
      <c r="B381" s="44"/>
      <c r="C381" s="44"/>
      <c r="D381" s="44"/>
      <c r="E381" s="44"/>
      <c r="F381" s="149"/>
      <c r="G381" s="149"/>
      <c r="H381" s="149"/>
      <c r="I381" s="151"/>
      <c r="J381" s="151"/>
      <c r="K381" s="151"/>
      <c r="L381" s="151"/>
      <c r="M381" s="151"/>
      <c r="N381" s="151"/>
      <c r="O381" s="159"/>
      <c r="P381" s="159"/>
    </row>
    <row r="382" spans="2:16" x14ac:dyDescent="0.3">
      <c r="B382" s="44"/>
      <c r="C382" s="44"/>
      <c r="D382" s="44"/>
      <c r="E382" s="44"/>
      <c r="F382" s="149"/>
      <c r="G382" s="149"/>
      <c r="H382" s="149"/>
      <c r="I382" s="151"/>
      <c r="J382" s="151"/>
      <c r="K382" s="151"/>
      <c r="L382" s="151"/>
      <c r="M382" s="151"/>
      <c r="N382" s="151"/>
      <c r="O382" s="159"/>
      <c r="P382" s="159"/>
    </row>
    <row r="383" spans="2:16" x14ac:dyDescent="0.3">
      <c r="B383" s="44"/>
      <c r="C383" s="44"/>
      <c r="D383" s="44"/>
      <c r="E383" s="44"/>
      <c r="F383" s="149"/>
      <c r="G383" s="149"/>
      <c r="H383" s="149"/>
      <c r="I383" s="151"/>
      <c r="J383" s="151"/>
      <c r="K383" s="151"/>
      <c r="L383" s="151"/>
      <c r="M383" s="151"/>
      <c r="N383" s="151"/>
      <c r="O383" s="159"/>
      <c r="P383" s="159"/>
    </row>
    <row r="384" spans="2:16" x14ac:dyDescent="0.3">
      <c r="B384" s="44"/>
      <c r="C384" s="44"/>
      <c r="D384" s="44"/>
      <c r="E384" s="44"/>
      <c r="F384" s="149"/>
      <c r="G384" s="149"/>
      <c r="H384" s="149"/>
      <c r="I384" s="151"/>
      <c r="J384" s="151"/>
      <c r="K384" s="151"/>
      <c r="L384" s="151"/>
      <c r="M384" s="151"/>
      <c r="N384" s="151"/>
      <c r="O384" s="159"/>
      <c r="P384" s="159"/>
    </row>
    <row r="385" spans="2:16" x14ac:dyDescent="0.3">
      <c r="B385" s="44"/>
      <c r="C385" s="44"/>
      <c r="D385" s="44"/>
      <c r="E385" s="44"/>
      <c r="F385" s="149"/>
      <c r="G385" s="149"/>
      <c r="H385" s="149"/>
      <c r="I385" s="151"/>
      <c r="J385" s="151"/>
      <c r="K385" s="151"/>
      <c r="L385" s="151"/>
      <c r="M385" s="151"/>
      <c r="N385" s="151"/>
      <c r="O385" s="159"/>
      <c r="P385" s="159"/>
    </row>
    <row r="386" spans="2:16" x14ac:dyDescent="0.3">
      <c r="B386" s="44"/>
      <c r="C386" s="44"/>
      <c r="D386" s="44"/>
      <c r="E386" s="44"/>
      <c r="F386" s="149"/>
      <c r="G386" s="149"/>
      <c r="H386" s="149"/>
      <c r="I386" s="151"/>
      <c r="J386" s="151"/>
      <c r="K386" s="151"/>
      <c r="L386" s="151"/>
      <c r="M386" s="151"/>
      <c r="N386" s="151"/>
      <c r="O386" s="159"/>
      <c r="P386" s="159"/>
    </row>
    <row r="387" spans="2:16" x14ac:dyDescent="0.3">
      <c r="B387" s="44"/>
      <c r="C387" s="44"/>
      <c r="D387" s="44"/>
      <c r="E387" s="44"/>
      <c r="F387" s="149"/>
      <c r="G387" s="149"/>
      <c r="H387" s="149"/>
      <c r="I387" s="151"/>
      <c r="J387" s="151"/>
      <c r="K387" s="151"/>
      <c r="L387" s="151"/>
      <c r="M387" s="151"/>
      <c r="N387" s="151"/>
      <c r="O387" s="159"/>
      <c r="P387" s="159"/>
    </row>
    <row r="388" spans="2:16" x14ac:dyDescent="0.3">
      <c r="B388" s="44"/>
      <c r="C388" s="44"/>
      <c r="D388" s="44"/>
      <c r="E388" s="44"/>
      <c r="F388" s="149"/>
      <c r="G388" s="149"/>
      <c r="H388" s="149"/>
      <c r="I388" s="151"/>
      <c r="J388" s="151"/>
      <c r="K388" s="151"/>
      <c r="L388" s="151"/>
      <c r="M388" s="151"/>
      <c r="N388" s="151"/>
      <c r="O388" s="159"/>
      <c r="P388" s="159"/>
    </row>
    <row r="389" spans="2:16" x14ac:dyDescent="0.3">
      <c r="B389" s="44"/>
      <c r="C389" s="44"/>
      <c r="D389" s="44"/>
      <c r="E389" s="44"/>
      <c r="F389" s="149"/>
      <c r="G389" s="149"/>
      <c r="H389" s="149"/>
      <c r="I389" s="151"/>
      <c r="J389" s="151"/>
      <c r="K389" s="151"/>
      <c r="L389" s="151"/>
      <c r="M389" s="151"/>
      <c r="N389" s="151"/>
      <c r="O389" s="159"/>
      <c r="P389" s="159"/>
    </row>
    <row r="426" spans="17:17" x14ac:dyDescent="0.3">
      <c r="Q426" s="26"/>
    </row>
  </sheetData>
  <mergeCells count="15">
    <mergeCell ref="B1:Q1"/>
    <mergeCell ref="Q26:R26"/>
    <mergeCell ref="T26:U26"/>
    <mergeCell ref="W26:X26"/>
    <mergeCell ref="Z26:AA26"/>
    <mergeCell ref="AX26:AY26"/>
    <mergeCell ref="X60:Z60"/>
    <mergeCell ref="Q3:Q4"/>
    <mergeCell ref="AF26:AG26"/>
    <mergeCell ref="AI26:AJ26"/>
    <mergeCell ref="AL26:AM26"/>
    <mergeCell ref="AO26:AP26"/>
    <mergeCell ref="AR26:AS26"/>
    <mergeCell ref="AU26:AV26"/>
    <mergeCell ref="AC26:AD26"/>
  </mergeCells>
  <phoneticPr fontId="3" type="noConversion"/>
  <conditionalFormatting sqref="C7:S16">
    <cfRule type="expression" dxfId="87" priority="1">
      <formula>$J7=0</formula>
    </cfRule>
  </conditionalFormatting>
  <dataValidations count="1">
    <dataValidation type="list" allowBlank="1" showInputMessage="1" showErrorMessage="1" sqref="N7:N16">
      <formula1>"단리, 월복리"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/>
    <pageSetUpPr autoPageBreaks="0" fitToPage="1"/>
  </sheetPr>
  <dimension ref="A1:Y438"/>
  <sheetViews>
    <sheetView showGridLines="0" topLeftCell="A4" zoomScale="90" zoomScaleNormal="90" workbookViewId="0">
      <selection activeCell="J9" sqref="J9:V9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21" width="11.125" style="1" customWidth="1"/>
    <col min="22" max="22" width="23.625" style="1" customWidth="1"/>
    <col min="23" max="23" width="4.75" style="1" customWidth="1"/>
    <col min="24" max="16384" width="8.875" style="1"/>
  </cols>
  <sheetData>
    <row r="1" spans="1:23" ht="16.5" customHeight="1" x14ac:dyDescent="0.3">
      <c r="A1" s="407">
        <f>메인!$R$3</f>
        <v>2025</v>
      </c>
      <c r="B1" s="541" t="s">
        <v>132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1"/>
      <c r="V1" s="541"/>
      <c r="W1" s="54"/>
    </row>
    <row r="2" spans="1:23" ht="16.5" customHeight="1" x14ac:dyDescent="0.3">
      <c r="A2" s="408">
        <f>메인!$E$11</f>
        <v>1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"/>
    </row>
    <row r="3" spans="1:23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5"/>
    </row>
    <row r="4" spans="1:23" ht="17.45" customHeight="1" x14ac:dyDescent="0.3">
      <c r="S4" s="3"/>
      <c r="T4" s="3"/>
      <c r="U4" s="3"/>
      <c r="V4" s="3"/>
    </row>
    <row r="5" spans="1:23" ht="19.899999999999999" customHeight="1" x14ac:dyDescent="0.3">
      <c r="B5" s="56" t="s">
        <v>64</v>
      </c>
      <c r="C5" s="59">
        <f>SUM($C$32+$C$56)</f>
        <v>15000</v>
      </c>
      <c r="D5" s="3"/>
      <c r="F5" s="363"/>
      <c r="G5" s="363"/>
      <c r="H5" s="374"/>
      <c r="J5" s="56" t="s">
        <v>187</v>
      </c>
      <c r="K5" s="78"/>
      <c r="L5" s="78"/>
      <c r="M5" s="78"/>
      <c r="N5" s="78"/>
      <c r="O5" s="78"/>
      <c r="P5" s="78"/>
      <c r="Q5" s="516" t="s">
        <v>88</v>
      </c>
      <c r="R5" s="365"/>
      <c r="S5" s="3"/>
      <c r="T5" s="3"/>
      <c r="U5" s="3"/>
      <c r="V5" s="3"/>
    </row>
    <row r="6" spans="1:23" ht="19.899999999999999" customHeight="1" x14ac:dyDescent="0.3">
      <c r="B6" s="56" t="s">
        <v>65</v>
      </c>
      <c r="C6" s="75">
        <f>SUM($K$32+$L$56)</f>
        <v>2625100</v>
      </c>
      <c r="D6" s="3"/>
      <c r="F6" s="363"/>
      <c r="G6" s="363"/>
      <c r="H6" s="97"/>
      <c r="J6" s="350" t="s">
        <v>317</v>
      </c>
      <c r="K6" s="350"/>
      <c r="L6" s="350"/>
      <c r="M6" s="350"/>
      <c r="N6" s="350"/>
      <c r="O6" s="350"/>
      <c r="P6" s="350"/>
      <c r="Q6" s="352" t="s">
        <v>316</v>
      </c>
      <c r="R6" s="350"/>
      <c r="S6" s="352"/>
      <c r="T6" s="352"/>
      <c r="U6" s="352"/>
      <c r="V6" s="352"/>
    </row>
    <row r="7" spans="1:23" ht="19.899999999999999" customHeight="1" x14ac:dyDescent="0.3">
      <c r="B7" s="62" t="s">
        <v>43</v>
      </c>
      <c r="C7" s="57">
        <f>$C$5-$C$6</f>
        <v>-2610100</v>
      </c>
      <c r="D7" s="3"/>
      <c r="E7" s="3"/>
      <c r="F7" s="3"/>
      <c r="G7" s="3"/>
      <c r="H7" s="3"/>
      <c r="J7" s="351" t="s">
        <v>357</v>
      </c>
      <c r="K7" s="351"/>
      <c r="L7" s="351"/>
      <c r="M7" s="351"/>
      <c r="N7" s="351"/>
      <c r="O7" s="351"/>
      <c r="P7" s="351"/>
      <c r="Q7" s="351" t="s">
        <v>352</v>
      </c>
      <c r="R7" s="351"/>
      <c r="S7" s="353"/>
      <c r="T7" s="353"/>
      <c r="U7" s="353"/>
      <c r="V7" s="353"/>
    </row>
    <row r="8" spans="1:23" ht="19.899999999999999" customHeight="1" x14ac:dyDescent="0.3">
      <c r="G8" s="412" t="s">
        <v>257</v>
      </c>
      <c r="H8" s="413">
        <f ca="1">COUNTIF(B10:H28,"무지출")</f>
        <v>29</v>
      </c>
    </row>
    <row r="9" spans="1:23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U9" s="531"/>
      <c r="V9" s="531"/>
    </row>
    <row r="10" spans="1:23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587"/>
      <c r="Q10" s="587"/>
    </row>
    <row r="11" spans="1:23" ht="19.899999999999999" customHeight="1" x14ac:dyDescent="0.3">
      <c r="B11" s="404">
        <f>DATE($A$1,$A$2,1)-WEEKDAY(DATE($A$1,$A$2,1))+1</f>
        <v>45655</v>
      </c>
      <c r="C11" s="405">
        <f>B11+1</f>
        <v>45656</v>
      </c>
      <c r="D11" s="405">
        <f t="shared" ref="D11:G11" si="0">C11+1</f>
        <v>45657</v>
      </c>
      <c r="E11" s="405">
        <f t="shared" si="0"/>
        <v>45658</v>
      </c>
      <c r="F11" s="405">
        <f t="shared" si="0"/>
        <v>45659</v>
      </c>
      <c r="G11" s="405">
        <f t="shared" si="0"/>
        <v>45660</v>
      </c>
      <c r="H11" s="406">
        <f>G11+1</f>
        <v>45661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VLOOKUP(J11,예산!$B$41:$N$53,2,FALSE)</f>
        <v>50000</v>
      </c>
      <c r="M11" s="428">
        <f>L11-K11</f>
        <v>50000</v>
      </c>
      <c r="N11" s="433"/>
      <c r="O11" s="433"/>
      <c r="P11" s="596"/>
      <c r="Q11" s="596"/>
    </row>
    <row r="12" spans="1:23" ht="19.899999999999999" customHeight="1" x14ac:dyDescent="0.3">
      <c r="B12" s="532" t="str">
        <f ca="1">IF(MONTH(B11)&lt;&gt;$A$2,"",IF(AND(SUMIF($J$81:$J$165,B11,$T$81:$T$165)=0,B11&lt;TODAY()),"무지출",SUMIF($J$81:$J$165,B11,$T$81:$T$165)))</f>
        <v/>
      </c>
      <c r="C12" s="533" t="str">
        <f ca="1">IF(MONTH(C11)&lt;&gt;$A$2,"",IF(AND(SUMIF($J$81:$J$165,C11,$T$81:$T$165)=0,C11&lt;TODAY()),"무지출",SUMIF($J$81:$J$165,C11,$T$81:$T$165)))</f>
        <v/>
      </c>
      <c r="D12" s="533" t="str">
        <f ca="1">IF(MONTH(D11)&lt;&gt;$A$2,"",IF(AND(SUMIF($J$81:$J$165,D11,$T$81:$T$165)=0,D11&lt;TODAY()),"무지출",SUMIF($J$81:$J$165,D11,$T$81:$T$165)))</f>
        <v/>
      </c>
      <c r="E12" s="533">
        <f ca="1">IF(MONTH(E11)&lt;&gt;$A$2,"",IF(AND(SUMIF($J$81:$J$165,E11,$T$81:$T$165)=0,E11&lt;TODAY()),"무지출",SUMIF($J$81:$J$165,E11,$T$81:$T$165)))</f>
        <v>13700</v>
      </c>
      <c r="F12" s="533" t="str">
        <f ca="1">IF(MONTH(F11)&lt;&gt;$A$2,"",IF(AND(SUMIF($J$81:$J$165,F11,$T$81:$T$165)=0,F11&lt;TODAY()),"무지출",SUMIF($J$81:$J$165,F11,$T$81:$T$165)))</f>
        <v>무지출</v>
      </c>
      <c r="G12" s="533" t="str">
        <f ca="1">IF(MONTH(G11)&lt;&gt;$A$2,"",IF(AND(SUMIF($J$81:$J$165,G11,$T$81:$T$165)=0,G11&lt;TODAY()),"무지출",SUMIF($J$81:$J$165,G11,$T$81:$T$165)))</f>
        <v>무지출</v>
      </c>
      <c r="H12" s="534" t="str">
        <f ca="1">IF(MONTH(H11)&lt;&gt;$A$2,"",IF(AND(SUMIF($J$81:$J$165,H11,$T$81:$T$165)=0,H11&lt;TODAY()),"무지출",SUMIF($J$81:$J$165,H11,$T$81:$T$165)))</f>
        <v>무지출</v>
      </c>
      <c r="J12" s="369" t="str">
        <f>항목!F$3</f>
        <v>주거비</v>
      </c>
      <c r="K12" s="426">
        <f t="shared" ref="K12:K23" si="1">SUMIF($N$58:$N$165,J12,$T$58:$T$165)</f>
        <v>212000</v>
      </c>
      <c r="L12" s="426">
        <f>VLOOKUP(J12,예산!$B$41:$N$53,2,FALSE)</f>
        <v>200000</v>
      </c>
      <c r="M12" s="428">
        <f>L12-K12</f>
        <v>-12000</v>
      </c>
      <c r="N12" s="433"/>
      <c r="O12" s="433"/>
      <c r="P12" s="596"/>
      <c r="Q12" s="596"/>
    </row>
    <row r="13" spans="1:23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1"/>
        <v>0</v>
      </c>
      <c r="L13" s="426">
        <f>VLOOKUP(J13,예산!$B$41:$N$53,2,FALSE)</f>
        <v>30000</v>
      </c>
      <c r="M13" s="428">
        <f>L13-K13</f>
        <v>30000</v>
      </c>
      <c r="N13" s="433"/>
      <c r="O13" s="433"/>
      <c r="P13" s="596"/>
      <c r="Q13" s="596"/>
    </row>
    <row r="14" spans="1:23" ht="19.899999999999999" customHeight="1" x14ac:dyDescent="0.3">
      <c r="B14" s="404">
        <f>B11+7</f>
        <v>45662</v>
      </c>
      <c r="C14" s="405">
        <f t="shared" ref="C14:H14" si="2">C11+7</f>
        <v>45663</v>
      </c>
      <c r="D14" s="405">
        <f t="shared" si="2"/>
        <v>45664</v>
      </c>
      <c r="E14" s="405">
        <f t="shared" si="2"/>
        <v>45665</v>
      </c>
      <c r="F14" s="405">
        <f t="shared" si="2"/>
        <v>45666</v>
      </c>
      <c r="G14" s="405">
        <f t="shared" si="2"/>
        <v>45667</v>
      </c>
      <c r="H14" s="406">
        <f t="shared" si="2"/>
        <v>45668</v>
      </c>
      <c r="J14" s="369" t="str">
        <f>항목!H$3</f>
        <v>반려동물비</v>
      </c>
      <c r="K14" s="426">
        <f t="shared" si="1"/>
        <v>0</v>
      </c>
      <c r="L14" s="426">
        <f>VLOOKUP(J14,예산!$B$41:$N$53,2,FALSE)</f>
        <v>10000</v>
      </c>
      <c r="M14" s="428">
        <f>L14-K14</f>
        <v>10000</v>
      </c>
      <c r="N14" s="433"/>
      <c r="O14" s="433"/>
      <c r="P14" s="596"/>
      <c r="Q14" s="596"/>
    </row>
    <row r="15" spans="1:23" ht="19.899999999999999" customHeight="1" x14ac:dyDescent="0.3">
      <c r="B15" s="532" t="str">
        <f ca="1">IF(MONTH(B14)&lt;&gt;$A$2,"",IF(AND(SUMIF($J$81:$J$165,B14,$T$81:$T$165)=0,B14&lt;TODAY()),"무지출",SUMIF($J$81:$J$165,B14,$T$81:$T$165)))</f>
        <v>무지출</v>
      </c>
      <c r="C15" s="533" t="str">
        <f ca="1">IF(MONTH(C14)&lt;&gt;$A$2,"",IF(AND(SUMIF($J$81:$J$165,C14,$T$81:$T$165)=0,C14&lt;TODAY()),"무지출",SUMIF($J$81:$J$165,C14,$T$81:$T$165)))</f>
        <v>무지출</v>
      </c>
      <c r="D15" s="533" t="str">
        <f ca="1">IF(MONTH(D14)&lt;&gt;$A$2,"",IF(AND(SUMIF($J$81:$J$165,D14,$T$81:$T$165)=0,D14&lt;TODAY()),"무지출",SUMIF($J$81:$J$165,D14,$T$81:$T$165)))</f>
        <v>무지출</v>
      </c>
      <c r="E15" s="533" t="str">
        <f ca="1">IF(MONTH(E14)&lt;&gt;$A$2,"",IF(AND(SUMIF($J$81:$J$165,E14,$T$81:$T$165)=0,E14&lt;TODAY()),"무지출",SUMIF($J$81:$J$165,E14,$T$81:$T$165)))</f>
        <v>무지출</v>
      </c>
      <c r="F15" s="533" t="str">
        <f ca="1">IF(MONTH(F14)&lt;&gt;$A$2,"",IF(AND(SUMIF($J$81:$J$165,F14,$T$81:$T$165)=0,F14&lt;TODAY()),"무지출",SUMIF($J$81:$J$165,F14,$T$81:$T$165)))</f>
        <v>무지출</v>
      </c>
      <c r="G15" s="533" t="str">
        <f ca="1">IF(MONTH(G14)&lt;&gt;$A$2,"",IF(AND(SUMIF($J$81:$J$165,G14,$T$81:$T$165)=0,G14&lt;TODAY()),"무지출",SUMIF($J$81:$J$165,G14,$T$81:$T$165)))</f>
        <v>무지출</v>
      </c>
      <c r="H15" s="534" t="str">
        <f ca="1">IF(MONTH(H14)&lt;&gt;$A$2,"",IF(AND(SUMIF($J$81:$J$165,H14,$T$81:$T$165)=0,H14&lt;TODAY()),"무지출",SUMIF($J$81:$J$165,H14,$T$81:$T$165)))</f>
        <v>무지출</v>
      </c>
      <c r="J15" s="369" t="str">
        <f>항목!I$3</f>
        <v>의류미용비</v>
      </c>
      <c r="K15" s="426">
        <f t="shared" si="1"/>
        <v>0</v>
      </c>
      <c r="L15" s="426">
        <f>VLOOKUP(J15,예산!$B$41:$N$53,2,FALSE)</f>
        <v>10000</v>
      </c>
      <c r="M15" s="428">
        <f>L15-K15</f>
        <v>10000</v>
      </c>
      <c r="N15" s="433"/>
      <c r="O15" s="433"/>
      <c r="P15" s="596"/>
      <c r="Q15" s="596"/>
    </row>
    <row r="16" spans="1:23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1"/>
        <v>0</v>
      </c>
      <c r="L16" s="426">
        <f>VLOOKUP(J16,예산!$B$41:$N$53,2,FALSE)</f>
        <v>500000</v>
      </c>
      <c r="M16" s="428">
        <f>L16-K16</f>
        <v>500000</v>
      </c>
      <c r="N16" s="433"/>
      <c r="O16" s="433"/>
      <c r="P16" s="596"/>
      <c r="Q16" s="596"/>
    </row>
    <row r="17" spans="2:23" ht="19.899999999999999" customHeight="1" x14ac:dyDescent="0.3">
      <c r="B17" s="404">
        <f>B11+14</f>
        <v>45669</v>
      </c>
      <c r="C17" s="405">
        <f t="shared" ref="C17:H17" si="3">C11+14</f>
        <v>45670</v>
      </c>
      <c r="D17" s="405">
        <f t="shared" si="3"/>
        <v>45671</v>
      </c>
      <c r="E17" s="405">
        <f t="shared" si="3"/>
        <v>45672</v>
      </c>
      <c r="F17" s="405">
        <f t="shared" si="3"/>
        <v>45673</v>
      </c>
      <c r="G17" s="405">
        <f t="shared" si="3"/>
        <v>45674</v>
      </c>
      <c r="H17" s="406">
        <f t="shared" si="3"/>
        <v>45675</v>
      </c>
      <c r="J17" s="369" t="str">
        <f>항목!K$3</f>
        <v>문화생활비</v>
      </c>
      <c r="K17" s="426">
        <f t="shared" si="1"/>
        <v>63100</v>
      </c>
      <c r="L17" s="426">
        <f>VLOOKUP(J17,예산!$B$41:$N$53,2,FALSE)</f>
        <v>0</v>
      </c>
      <c r="M17" s="428">
        <f>L17-K17</f>
        <v>-63100</v>
      </c>
      <c r="N17" s="433"/>
      <c r="O17" s="433"/>
      <c r="P17" s="596"/>
      <c r="Q17" s="596"/>
    </row>
    <row r="18" spans="2:23" ht="19.899999999999999" customHeight="1" x14ac:dyDescent="0.3">
      <c r="B18" s="532" t="str">
        <f ca="1">IF(MONTH(B17)&lt;&gt;$A$2,"",IF(AND(SUMIF($J$81:$J$165,B17,$T$81:$T$165)=0,B17&lt;TODAY()),"무지출",SUMIF($J$81:$J$165,B17,$T$81:$T$165)))</f>
        <v>무지출</v>
      </c>
      <c r="C18" s="533" t="str">
        <f ca="1">IF(MONTH(C17)&lt;&gt;$A$2,"",IF(AND(SUMIF($J$81:$J$165,C17,$T$81:$T$165)=0,C17&lt;TODAY()),"무지출",SUMIF($J$81:$J$165,C17,$T$81:$T$165)))</f>
        <v>무지출</v>
      </c>
      <c r="D18" s="533" t="str">
        <f ca="1">IF(MONTH(D17)&lt;&gt;$A$2,"",IF(AND(SUMIF($J$81:$J$165,D17,$T$81:$T$165)=0,D17&lt;TODAY()),"무지출",SUMIF($J$81:$J$165,D17,$T$81:$T$165)))</f>
        <v>무지출</v>
      </c>
      <c r="E18" s="533" t="str">
        <f ca="1">IF(MONTH(E17)&lt;&gt;$A$2,"",IF(AND(SUMIF($J$81:$J$165,E17,$T$81:$T$165)=0,E17&lt;TODAY()),"무지출",SUMIF($J$81:$J$165,E17,$T$81:$T$165)))</f>
        <v>무지출</v>
      </c>
      <c r="F18" s="533">
        <f ca="1">IF(MONTH(F17)&lt;&gt;$A$2,"",IF(AND(SUMIF($J$81:$J$165,F17,$T$81:$T$165)=0,F17&lt;TODAY()),"무지출",SUMIF($J$81:$J$165,F17,$T$81:$T$165)))</f>
        <v>49400</v>
      </c>
      <c r="G18" s="533" t="str">
        <f ca="1">IF(MONTH(G17)&lt;&gt;$A$2,"",IF(AND(SUMIF($J$81:$J$165,G17,$T$81:$T$165)=0,G17&lt;TODAY()),"무지출",SUMIF($J$81:$J$165,G17,$T$81:$T$165)))</f>
        <v>무지출</v>
      </c>
      <c r="H18" s="534" t="str">
        <f ca="1">IF(MONTH(H17)&lt;&gt;$A$2,"",IF(AND(SUMIF($J$81:$J$165,H17,$T$81:$T$165)=0,H17&lt;TODAY()),"무지출",SUMIF($J$81:$J$165,H17,$T$81:$T$165)))</f>
        <v>무지출</v>
      </c>
      <c r="J18" s="369" t="str">
        <f>항목!L$3</f>
        <v>의료비</v>
      </c>
      <c r="K18" s="426">
        <f t="shared" si="1"/>
        <v>0</v>
      </c>
      <c r="L18" s="426">
        <f>VLOOKUP(J18,예산!$B$41:$N$53,2,FALSE)</f>
        <v>12000</v>
      </c>
      <c r="M18" s="428">
        <f>L18-K18</f>
        <v>12000</v>
      </c>
      <c r="N18" s="433"/>
      <c r="O18" s="433"/>
      <c r="P18" s="596"/>
      <c r="Q18" s="596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1"/>
        <v>0</v>
      </c>
      <c r="L19" s="426">
        <f>VLOOKUP(J19,예산!$B$41:$N$53,2,FALSE)</f>
        <v>100000</v>
      </c>
      <c r="M19" s="428">
        <f>L19-K19</f>
        <v>100000</v>
      </c>
      <c r="N19" s="433"/>
      <c r="O19" s="433"/>
      <c r="P19" s="596"/>
      <c r="Q19" s="596"/>
    </row>
    <row r="20" spans="2:23" ht="19.899999999999999" customHeight="1" x14ac:dyDescent="0.3">
      <c r="B20" s="404">
        <f>B11+21</f>
        <v>45676</v>
      </c>
      <c r="C20" s="405">
        <f t="shared" ref="C20:H20" si="4">C11+21</f>
        <v>45677</v>
      </c>
      <c r="D20" s="405">
        <f t="shared" si="4"/>
        <v>45678</v>
      </c>
      <c r="E20" s="405">
        <f t="shared" si="4"/>
        <v>45679</v>
      </c>
      <c r="F20" s="405">
        <f t="shared" si="4"/>
        <v>45680</v>
      </c>
      <c r="G20" s="405">
        <f t="shared" si="4"/>
        <v>45681</v>
      </c>
      <c r="H20" s="406">
        <f t="shared" si="4"/>
        <v>45682</v>
      </c>
      <c r="J20" s="369" t="str">
        <f>항목!N$3</f>
        <v>통신비</v>
      </c>
      <c r="K20" s="426">
        <f t="shared" si="1"/>
        <v>0</v>
      </c>
      <c r="L20" s="426">
        <f>VLOOKUP(J20,예산!$B$41:$N$53,2,FALSE)</f>
        <v>50000</v>
      </c>
      <c r="M20" s="428">
        <f>L20-K20</f>
        <v>50000</v>
      </c>
      <c r="N20" s="433"/>
      <c r="O20" s="433"/>
      <c r="P20" s="596"/>
      <c r="Q20" s="596"/>
    </row>
    <row r="21" spans="2:23" ht="19.899999999999999" customHeight="1" x14ac:dyDescent="0.3">
      <c r="B21" s="532" t="str">
        <f ca="1">IF(MONTH(B20)&lt;&gt;$A$2,"",IF(AND(SUMIF($J$81:$J$165,B20,$T$81:$T$165)=0,B20&lt;TODAY()),"무지출",SUMIF($J$81:$J$165,B20,$T$81:$T$165)))</f>
        <v>무지출</v>
      </c>
      <c r="C21" s="533" t="str">
        <f ca="1">IF(MONTH(C20)&lt;&gt;$A$2,"",IF(AND(SUMIF($J$81:$J$165,C20,$T$81:$T$165)=0,C20&lt;TODAY()),"무지출",SUMIF($J$81:$J$165,C20,$T$81:$T$165)))</f>
        <v>무지출</v>
      </c>
      <c r="D21" s="533" t="str">
        <f ca="1">IF(MONTH(D20)&lt;&gt;$A$2,"",IF(AND(SUMIF($J$81:$J$165,D20,$T$81:$T$165)=0,D20&lt;TODAY()),"무지출",SUMIF($J$81:$J$165,D20,$T$81:$T$165)))</f>
        <v>무지출</v>
      </c>
      <c r="E21" s="533" t="str">
        <f ca="1">IF(MONTH(E20)&lt;&gt;$A$2,"",IF(AND(SUMIF($J$81:$J$165,E20,$T$81:$T$165)=0,E20&lt;TODAY()),"무지출",SUMIF($J$81:$J$165,E20,$T$81:$T$165)))</f>
        <v>무지출</v>
      </c>
      <c r="F21" s="533" t="str">
        <f ca="1">IF(MONTH(F20)&lt;&gt;$A$2,"",IF(AND(SUMIF($J$81:$J$165,F20,$T$81:$T$165)=0,F20&lt;TODAY()),"무지출",SUMIF($J$81:$J$165,F20,$T$81:$T$165)))</f>
        <v>무지출</v>
      </c>
      <c r="G21" s="533" t="str">
        <f ca="1">IF(MONTH(G20)&lt;&gt;$A$2,"",IF(AND(SUMIF($J$81:$J$165,G20,$T$81:$T$165)=0,G20&lt;TODAY()),"무지출",SUMIF($J$81:$J$165,G20,$T$81:$T$165)))</f>
        <v>무지출</v>
      </c>
      <c r="H21" s="534" t="str">
        <f ca="1">IF(MONTH(H20)&lt;&gt;$A$2,"",IF(AND(SUMIF($J$81:$J$165,H20,$T$81:$T$165)=0,H20&lt;TODAY()),"무지출",SUMIF($J$81:$J$165,H20,$T$81:$T$165)))</f>
        <v>무지출</v>
      </c>
      <c r="J21" s="369" t="str">
        <f>항목!O$3</f>
        <v>경조사회비</v>
      </c>
      <c r="K21" s="426">
        <f t="shared" si="1"/>
        <v>0</v>
      </c>
      <c r="L21" s="426">
        <f>VLOOKUP(J21,예산!$B$41:$N$53,2,FALSE)</f>
        <v>50000</v>
      </c>
      <c r="M21" s="428">
        <f>L21-K21</f>
        <v>50000</v>
      </c>
      <c r="N21" s="433"/>
      <c r="O21" s="433"/>
      <c r="P21" s="596"/>
      <c r="Q21" s="596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1"/>
        <v>0</v>
      </c>
      <c r="L22" s="426">
        <f>VLOOKUP(J22,예산!$B$41:$N$53,2,FALSE)</f>
        <v>50000</v>
      </c>
      <c r="M22" s="428">
        <f>L22-K22</f>
        <v>50000</v>
      </c>
      <c r="N22" s="433"/>
      <c r="O22" s="433"/>
      <c r="P22" s="596"/>
      <c r="Q22" s="596"/>
    </row>
    <row r="23" spans="2:23" ht="19.899999999999999" customHeight="1" x14ac:dyDescent="0.3">
      <c r="B23" s="404">
        <f>B11+28</f>
        <v>45683</v>
      </c>
      <c r="C23" s="405">
        <f t="shared" ref="C23:H23" si="5">C11+28</f>
        <v>45684</v>
      </c>
      <c r="D23" s="405">
        <f t="shared" si="5"/>
        <v>45685</v>
      </c>
      <c r="E23" s="405">
        <f t="shared" si="5"/>
        <v>45686</v>
      </c>
      <c r="F23" s="405">
        <f t="shared" si="5"/>
        <v>45687</v>
      </c>
      <c r="G23" s="405">
        <f t="shared" si="5"/>
        <v>45688</v>
      </c>
      <c r="H23" s="406">
        <f t="shared" si="5"/>
        <v>45689</v>
      </c>
      <c r="J23" s="332" t="str">
        <f>항목!Q$3</f>
        <v>추가항목</v>
      </c>
      <c r="K23" s="426">
        <f t="shared" si="1"/>
        <v>0</v>
      </c>
      <c r="L23" s="427">
        <f>VLOOKUP(J23,예산!$B$41:$N$53,2,FALSE)</f>
        <v>0</v>
      </c>
      <c r="M23" s="429">
        <f>L23-K23</f>
        <v>0</v>
      </c>
      <c r="N23" s="434"/>
      <c r="O23" s="434"/>
      <c r="P23" s="596"/>
      <c r="Q23" s="596"/>
    </row>
    <row r="24" spans="2:23" ht="19.899999999999999" customHeight="1" x14ac:dyDescent="0.3">
      <c r="B24" s="532" t="str">
        <f ca="1">IF(MONTH(B23)&lt;&gt;$A$2,"",IF(AND(SUMIF($J$81:$J$165,B23,$T$81:$T$165)=0,B23&lt;TODAY()),"무지출",SUMIF($J$81:$J$165,B23,$T$81:$T$165)))</f>
        <v>무지출</v>
      </c>
      <c r="C24" s="533" t="str">
        <f ca="1">IF(MONTH(C23)&lt;&gt;$A$2,"",IF(AND(SUMIF($J$81:$J$165,C23,$T$81:$T$165)=0,C23&lt;TODAY()),"무지출",SUMIF($J$81:$J$165,C23,$T$81:$T$165)))</f>
        <v>무지출</v>
      </c>
      <c r="D24" s="533" t="str">
        <f ca="1">IF(MONTH(D23)&lt;&gt;$A$2,"",IF(AND(SUMIF($J$81:$J$165,D23,$T$81:$T$165)=0,D23&lt;TODAY()),"무지출",SUMIF($J$81:$J$165,D23,$T$81:$T$165)))</f>
        <v>무지출</v>
      </c>
      <c r="E24" s="533" t="str">
        <f ca="1">IF(MONTH(E23)&lt;&gt;$A$2,"",IF(AND(SUMIF($J$81:$J$165,E23,$T$81:$T$165)=0,E23&lt;TODAY()),"무지출",SUMIF($J$81:$J$165,E23,$T$81:$T$165)))</f>
        <v>무지출</v>
      </c>
      <c r="F24" s="533" t="str">
        <f ca="1">IF(MONTH(F23)&lt;&gt;$A$2,"",IF(AND(SUMIF($J$81:$J$165,F23,$T$81:$T$165)=0,F23&lt;TODAY()),"무지출",SUMIF($J$81:$J$165,F23,$T$81:$T$165)))</f>
        <v>무지출</v>
      </c>
      <c r="G24" s="533" t="str">
        <f ca="1">IF(MONTH(G23)&lt;&gt;$A$2,"",IF(AND(SUMIF($J$81:$J$165,G23,$T$81:$T$165)=0,G23&lt;TODAY()),"무지출",SUMIF($J$81:$J$165,G23,$T$81:$T$165)))</f>
        <v>무지출</v>
      </c>
      <c r="H24" s="534" t="str">
        <f ca="1">IF(MONTH(H23)&lt;&gt;$A$2,"",IF(AND(SUMIF($J$81:$J$165,H23,$T$81:$T$165)=0,H23&lt;TODAY()),"무지출",SUMIF($J$81:$J$165,H23,$T$81:$T$165)))</f>
        <v/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P25" s="597"/>
      <c r="Q25" s="597"/>
    </row>
    <row r="26" spans="2:23" ht="19.899999999999999" customHeight="1" x14ac:dyDescent="0.3">
      <c r="B26" s="404">
        <f>B11+35</f>
        <v>45690</v>
      </c>
      <c r="C26" s="405">
        <f t="shared" ref="C26:H26" si="6">C11+35</f>
        <v>45691</v>
      </c>
      <c r="D26" s="405">
        <f t="shared" si="6"/>
        <v>45692</v>
      </c>
      <c r="E26" s="405">
        <f t="shared" si="6"/>
        <v>45693</v>
      </c>
      <c r="F26" s="405">
        <f t="shared" si="6"/>
        <v>45694</v>
      </c>
      <c r="G26" s="405">
        <f t="shared" si="6"/>
        <v>45695</v>
      </c>
      <c r="H26" s="406">
        <f t="shared" si="6"/>
        <v>45696</v>
      </c>
      <c r="J26" s="368" t="s">
        <v>359</v>
      </c>
      <c r="K26" s="368"/>
      <c r="L26" s="368"/>
      <c r="M26" s="368"/>
      <c r="N26" s="368"/>
      <c r="O26" s="368"/>
      <c r="P26" s="597"/>
      <c r="Q26" s="597"/>
    </row>
    <row r="27" spans="2:23" ht="19.899999999999999" customHeight="1" x14ac:dyDescent="0.3">
      <c r="B27" s="532" t="str">
        <f ca="1">IF(MONTH(B26)&lt;&gt;$A$2,"",IF(AND(SUMIF($J$81:$J$165,B26,$T$81:$T$165)=0,B26&lt;TODAY()),"무지출",SUMIF($J$81:$J$165,B26,$T$81:$T$165)))</f>
        <v/>
      </c>
      <c r="C27" s="533" t="str">
        <f ca="1">IF(MONTH(C26)&lt;&gt;$A$2,"",IF(AND(SUMIF($J$81:$J$165,C26,$T$81:$T$165)=0,C26&lt;TODAY()),"무지출",SUMIF($J$81:$J$165,C26,$T$81:$T$165)))</f>
        <v/>
      </c>
      <c r="D27" s="533" t="str">
        <f ca="1">IF(MONTH(D26)&lt;&gt;$A$2,"",IF(AND(SUMIF($J$81:$J$165,D26,$T$81:$T$165)=0,D26&lt;TODAY()),"무지출",SUMIF($J$81:$J$165,D26,$T$81:$T$165)))</f>
        <v/>
      </c>
      <c r="E27" s="533" t="str">
        <f ca="1">IF(MONTH(E26)&lt;&gt;$A$2,"",IF(AND(SUMIF($J$81:$J$165,E26,$T$81:$T$165)=0,E26&lt;TODAY()),"무지출",SUMIF($J$81:$J$165,E26,$T$81:$T$165)))</f>
        <v/>
      </c>
      <c r="F27" s="533" t="str">
        <f ca="1">IF(MONTH(F26)&lt;&gt;$A$2,"",IF(AND(SUMIF($J$81:$J$165,F26,$T$81:$T$165)=0,F26&lt;TODAY()),"무지출",SUMIF($J$81:$J$165,F26,$T$81:$T$165)))</f>
        <v/>
      </c>
      <c r="G27" s="533" t="str">
        <f ca="1">IF(MONTH(G26)&lt;&gt;$A$2,"",IF(AND(SUMIF($J$81:$J$165,G26,$T$81:$T$165)=0,G26&lt;TODAY()),"무지출",SUMIF($J$81:$J$165,G26,$T$81:$T$165)))</f>
        <v/>
      </c>
      <c r="H27" s="534" t="str">
        <f ca="1">IF(MONTH(H26)&lt;&gt;$A$2,"",IF(AND(SUMIF($J$81:$J$165,H26,$T$81:$T$165)=0,H26&lt;TODAY()),"무지출",SUMIF($J$81:$J$165,H26,$T$81:$T$165)))</f>
        <v/>
      </c>
      <c r="J27" s="368" t="s">
        <v>358</v>
      </c>
      <c r="K27" s="368"/>
      <c r="L27" s="368"/>
      <c r="M27" s="368"/>
      <c r="N27" s="368"/>
      <c r="O27" s="368"/>
      <c r="P27" s="597"/>
      <c r="Q27" s="597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P28" s="597"/>
      <c r="Q28" s="597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35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35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371" t="s">
        <v>271</v>
      </c>
      <c r="Q34" s="416"/>
      <c r="R34" s="6">
        <v>500000</v>
      </c>
      <c r="S34" s="397">
        <v>0</v>
      </c>
      <c r="T34" s="473">
        <f>IF(R34="","",R34-S34)</f>
        <v>500000</v>
      </c>
      <c r="U34" s="417" t="s">
        <v>356</v>
      </c>
      <c r="V34" s="41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371" t="s">
        <v>312</v>
      </c>
      <c r="Q35" s="416"/>
      <c r="R35" s="6">
        <v>250000</v>
      </c>
      <c r="S35" s="397">
        <v>0</v>
      </c>
      <c r="T35" s="473">
        <f t="shared" ref="T35:T53" si="7">IF(R35="","",R35-S35)</f>
        <v>250000</v>
      </c>
      <c r="U35" s="83"/>
      <c r="V35" s="419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371" t="s">
        <v>234</v>
      </c>
      <c r="Q36" s="416"/>
      <c r="R36" s="6">
        <v>100000</v>
      </c>
      <c r="S36" s="397">
        <v>0</v>
      </c>
      <c r="T36" s="473">
        <f t="shared" si="7"/>
        <v>100000</v>
      </c>
      <c r="U36" s="83"/>
      <c r="V36" s="419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371" t="s">
        <v>219</v>
      </c>
      <c r="Q37" s="416"/>
      <c r="R37" s="6">
        <v>1500000</v>
      </c>
      <c r="S37" s="397">
        <v>0</v>
      </c>
      <c r="T37" s="473">
        <f t="shared" si="7"/>
        <v>1500000</v>
      </c>
      <c r="U37" s="83"/>
      <c r="V37" s="419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371"/>
      <c r="Q38" s="416"/>
      <c r="R38" s="6"/>
      <c r="S38" s="397"/>
      <c r="T38" s="473" t="str">
        <f t="shared" si="7"/>
        <v/>
      </c>
      <c r="U38" s="83"/>
      <c r="V38" s="419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371"/>
      <c r="Q39" s="416"/>
      <c r="R39" s="6"/>
      <c r="S39" s="397"/>
      <c r="T39" s="473" t="str">
        <f t="shared" si="7"/>
        <v/>
      </c>
      <c r="U39" s="397"/>
      <c r="V39" s="420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371"/>
      <c r="Q40" s="416"/>
      <c r="R40" s="397"/>
      <c r="S40" s="397"/>
      <c r="T40" s="473" t="str">
        <f t="shared" si="7"/>
        <v/>
      </c>
      <c r="U40" s="83"/>
      <c r="V40" s="419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371"/>
      <c r="Q41" s="416"/>
      <c r="R41" s="397"/>
      <c r="S41" s="397"/>
      <c r="T41" s="473" t="str">
        <f t="shared" si="7"/>
        <v/>
      </c>
      <c r="U41" s="83"/>
      <c r="V41" s="419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371"/>
      <c r="Q42" s="416"/>
      <c r="R42" s="397"/>
      <c r="S42" s="397"/>
      <c r="T42" s="473" t="str">
        <f t="shared" si="7"/>
        <v/>
      </c>
      <c r="U42" s="397"/>
      <c r="V42" s="420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371"/>
      <c r="Q43" s="416"/>
      <c r="R43" s="397"/>
      <c r="S43" s="397"/>
      <c r="T43" s="473" t="str">
        <f t="shared" si="7"/>
        <v/>
      </c>
      <c r="U43" s="397"/>
      <c r="V43" s="420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371"/>
      <c r="Q44" s="416"/>
      <c r="R44" s="397"/>
      <c r="S44" s="397"/>
      <c r="T44" s="473" t="str">
        <f t="shared" si="7"/>
        <v/>
      </c>
      <c r="U44" s="397"/>
      <c r="V44" s="420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371"/>
      <c r="Q45" s="416"/>
      <c r="R45" s="398"/>
      <c r="S45" s="398"/>
      <c r="T45" s="473" t="str">
        <f t="shared" si="7"/>
        <v/>
      </c>
      <c r="U45" s="397"/>
      <c r="V45" s="420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371"/>
      <c r="Q46" s="416"/>
      <c r="R46" s="398"/>
      <c r="S46" s="398"/>
      <c r="T46" s="473" t="str">
        <f t="shared" si="7"/>
        <v/>
      </c>
      <c r="U46" s="397"/>
      <c r="V46" s="420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371"/>
      <c r="Q47" s="416"/>
      <c r="R47" s="398"/>
      <c r="S47" s="398"/>
      <c r="T47" s="473" t="str">
        <f t="shared" si="7"/>
        <v/>
      </c>
      <c r="U47" s="397"/>
      <c r="V47" s="420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371"/>
      <c r="Q48" s="416"/>
      <c r="R48" s="398"/>
      <c r="S48" s="398"/>
      <c r="T48" s="473" t="str">
        <f t="shared" si="7"/>
        <v/>
      </c>
      <c r="U48" s="397"/>
      <c r="V48" s="420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371"/>
      <c r="Q49" s="416"/>
      <c r="R49" s="398"/>
      <c r="S49" s="398"/>
      <c r="T49" s="473" t="str">
        <f t="shared" si="7"/>
        <v/>
      </c>
      <c r="U49" s="397"/>
      <c r="V49" s="420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371"/>
      <c r="Q50" s="416"/>
      <c r="R50" s="398"/>
      <c r="S50" s="398"/>
      <c r="T50" s="473" t="str">
        <f t="shared" si="7"/>
        <v/>
      </c>
      <c r="U50" s="397"/>
      <c r="V50" s="420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371"/>
      <c r="Q51" s="416"/>
      <c r="R51" s="398"/>
      <c r="S51" s="398"/>
      <c r="T51" s="473" t="str">
        <f t="shared" si="7"/>
        <v/>
      </c>
      <c r="U51" s="397"/>
      <c r="V51" s="420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371"/>
      <c r="Q52" s="416"/>
      <c r="R52" s="398"/>
      <c r="S52" s="398"/>
      <c r="T52" s="473" t="str">
        <f t="shared" si="7"/>
        <v/>
      </c>
      <c r="U52" s="397"/>
      <c r="V52" s="420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371"/>
      <c r="Q53" s="416"/>
      <c r="R53" s="398"/>
      <c r="S53" s="398"/>
      <c r="T53" s="473" t="str">
        <f t="shared" si="7"/>
        <v/>
      </c>
      <c r="U53" s="397"/>
      <c r="V53" s="420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예산!C40</f>
        <v>1062000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35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3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3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414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862000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416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8">IF(R59="","",R59-S59)</f>
        <v>12000</v>
      </c>
      <c r="U59" s="190">
        <f>IF(T59="","",U58-T59)</f>
        <v>850000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415"/>
      <c r="G60" s="416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415"/>
      <c r="G61" s="416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415"/>
      <c r="G62" s="416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415"/>
      <c r="G63" s="416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415"/>
      <c r="G64" s="416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415"/>
      <c r="G65" s="416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8"/>
        <v/>
      </c>
      <c r="U65" s="190" t="str">
        <f t="shared" ref="U65:U77" si="9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415"/>
      <c r="G66" s="416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8"/>
        <v/>
      </c>
      <c r="U66" s="195" t="str">
        <f t="shared" si="9"/>
        <v/>
      </c>
      <c r="V66" s="362"/>
    </row>
    <row r="67" spans="2:22" ht="18" customHeight="1" x14ac:dyDescent="0.3">
      <c r="B67" s="4"/>
      <c r="C67" s="8"/>
      <c r="D67" s="8"/>
      <c r="E67" s="8"/>
      <c r="F67" s="415"/>
      <c r="G67" s="416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8"/>
        <v/>
      </c>
      <c r="U67" s="190" t="str">
        <f t="shared" si="9"/>
        <v/>
      </c>
      <c r="V67" s="362"/>
    </row>
    <row r="68" spans="2:22" ht="18" customHeight="1" x14ac:dyDescent="0.3">
      <c r="B68" s="4"/>
      <c r="C68" s="8"/>
      <c r="D68" s="8"/>
      <c r="E68" s="8"/>
      <c r="F68" s="415"/>
      <c r="G68" s="416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8"/>
        <v/>
      </c>
      <c r="U68" s="190" t="str">
        <f t="shared" si="9"/>
        <v/>
      </c>
      <c r="V68" s="361"/>
    </row>
    <row r="69" spans="2:22" ht="18" customHeight="1" x14ac:dyDescent="0.3">
      <c r="B69" s="4"/>
      <c r="C69" s="8"/>
      <c r="D69" s="8"/>
      <c r="E69" s="8"/>
      <c r="F69" s="415"/>
      <c r="G69" s="416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8"/>
        <v/>
      </c>
      <c r="U69" s="190" t="str">
        <f t="shared" si="9"/>
        <v/>
      </c>
      <c r="V69" s="362"/>
    </row>
    <row r="70" spans="2:22" ht="18" customHeight="1" x14ac:dyDescent="0.3">
      <c r="B70" s="4"/>
      <c r="C70" s="8"/>
      <c r="D70" s="8"/>
      <c r="E70" s="8"/>
      <c r="F70" s="415"/>
      <c r="G70" s="416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8"/>
        <v/>
      </c>
      <c r="U70" s="190" t="str">
        <f t="shared" si="9"/>
        <v/>
      </c>
      <c r="V70" s="362"/>
    </row>
    <row r="71" spans="2:22" ht="18" customHeight="1" x14ac:dyDescent="0.3">
      <c r="B71" s="4"/>
      <c r="C71" s="8"/>
      <c r="D71" s="8"/>
      <c r="E71" s="5"/>
      <c r="F71" s="415"/>
      <c r="G71" s="416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8"/>
        <v/>
      </c>
      <c r="U71" s="190" t="str">
        <f t="shared" si="9"/>
        <v/>
      </c>
      <c r="V71" s="362"/>
    </row>
    <row r="72" spans="2:22" ht="18" customHeight="1" x14ac:dyDescent="0.3">
      <c r="B72" s="4"/>
      <c r="C72" s="8"/>
      <c r="D72" s="8"/>
      <c r="E72" s="5"/>
      <c r="F72" s="415"/>
      <c r="G72" s="416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8"/>
        <v/>
      </c>
      <c r="U72" s="190" t="str">
        <f t="shared" si="9"/>
        <v/>
      </c>
      <c r="V72" s="362"/>
    </row>
    <row r="73" spans="2:22" ht="18" customHeight="1" x14ac:dyDescent="0.3">
      <c r="B73" s="4"/>
      <c r="C73" s="8"/>
      <c r="D73" s="8"/>
      <c r="E73" s="8"/>
      <c r="F73" s="415"/>
      <c r="G73" s="416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8"/>
        <v/>
      </c>
      <c r="U73" s="190" t="str">
        <f t="shared" si="9"/>
        <v/>
      </c>
      <c r="V73" s="362"/>
    </row>
    <row r="74" spans="2:22" ht="18" customHeight="1" x14ac:dyDescent="0.3">
      <c r="B74" s="4"/>
      <c r="C74" s="8"/>
      <c r="D74" s="8"/>
      <c r="E74" s="8"/>
      <c r="F74" s="415"/>
      <c r="G74" s="416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8"/>
        <v/>
      </c>
      <c r="U74" s="190" t="str">
        <f t="shared" si="9"/>
        <v/>
      </c>
      <c r="V74" s="362"/>
    </row>
    <row r="75" spans="2:22" ht="18" customHeight="1" x14ac:dyDescent="0.3">
      <c r="B75" s="4"/>
      <c r="C75" s="8"/>
      <c r="D75" s="8"/>
      <c r="E75" s="5"/>
      <c r="F75" s="415"/>
      <c r="G75" s="416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8"/>
        <v/>
      </c>
      <c r="U75" s="190" t="str">
        <f t="shared" si="9"/>
        <v/>
      </c>
      <c r="V75" s="362"/>
    </row>
    <row r="76" spans="2:22" ht="18" customHeight="1" x14ac:dyDescent="0.3">
      <c r="B76" s="4"/>
      <c r="C76" s="8"/>
      <c r="D76" s="8"/>
      <c r="E76" s="5"/>
      <c r="F76" s="415"/>
      <c r="G76" s="416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8"/>
        <v/>
      </c>
      <c r="U76" s="190" t="str">
        <f t="shared" si="9"/>
        <v/>
      </c>
      <c r="V76" s="362"/>
    </row>
    <row r="77" spans="2:22" ht="18" customHeight="1" x14ac:dyDescent="0.3">
      <c r="B77" s="4"/>
      <c r="C77" s="8"/>
      <c r="D77" s="8"/>
      <c r="E77" s="5"/>
      <c r="F77" s="415"/>
      <c r="G77" s="416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8"/>
        <v/>
      </c>
      <c r="U77" s="190" t="str">
        <f t="shared" si="9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850000</v>
      </c>
      <c r="V79" s="424"/>
    </row>
    <row r="80" spans="2:22" ht="18" customHeight="1" thickBot="1" x14ac:dyDescent="0.35">
      <c r="I80" s="3"/>
      <c r="J80" s="35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3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840000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836300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0">IF(R83="","",R83-S83)</f>
        <v>49400</v>
      </c>
      <c r="U83" s="190">
        <f t="shared" ref="U83:U165" si="11">IF(T83="","",U82-T83)</f>
        <v>786900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0"/>
        <v/>
      </c>
      <c r="U84" s="190" t="str">
        <f t="shared" si="11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ref="T85:T104" si="12">IF(R85="","",R85-S85)</f>
        <v/>
      </c>
      <c r="U85" s="190" t="str">
        <f t="shared" si="11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2"/>
        <v/>
      </c>
      <c r="U86" s="190" t="str">
        <f t="shared" ref="U86:U87" si="13">IF(T86="","",U85-T86)</f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2"/>
        <v/>
      </c>
      <c r="U87" s="190" t="str">
        <f t="shared" si="13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2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2"/>
        <v/>
      </c>
      <c r="U89" s="190" t="str">
        <f t="shared" ref="U89:U91" si="14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2"/>
        <v/>
      </c>
      <c r="U90" s="190" t="str">
        <f t="shared" si="14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2"/>
        <v/>
      </c>
      <c r="U91" s="190" t="str">
        <f t="shared" si="14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2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2"/>
        <v/>
      </c>
      <c r="U93" s="190" t="str">
        <f t="shared" ref="U93:U105" si="15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2"/>
        <v/>
      </c>
      <c r="U94" s="190" t="str">
        <f t="shared" si="15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2"/>
        <v/>
      </c>
      <c r="U95" s="190" t="str">
        <f t="shared" si="15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2"/>
        <v/>
      </c>
      <c r="U96" s="190" t="str">
        <f t="shared" si="15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2"/>
        <v/>
      </c>
      <c r="U97" s="190" t="str">
        <f t="shared" si="15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2"/>
        <v/>
      </c>
      <c r="U98" s="190" t="str">
        <f t="shared" si="15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2"/>
        <v/>
      </c>
      <c r="U99" s="190" t="str">
        <f t="shared" si="15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2"/>
        <v/>
      </c>
      <c r="U100" s="190" t="str">
        <f t="shared" si="15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2"/>
        <v/>
      </c>
      <c r="U101" s="190" t="str">
        <f t="shared" si="15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2"/>
        <v/>
      </c>
      <c r="U102" s="190" t="str">
        <f t="shared" si="15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2"/>
        <v/>
      </c>
      <c r="U103" s="190" t="str">
        <f t="shared" si="15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2"/>
        <v/>
      </c>
      <c r="U104" s="190" t="str">
        <f t="shared" si="15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0"/>
        <v/>
      </c>
      <c r="U105" s="190" t="str">
        <f t="shared" si="15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0"/>
        <v/>
      </c>
      <c r="U106" s="190" t="str">
        <f t="shared" si="11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0"/>
        <v/>
      </c>
      <c r="U107" s="190" t="str">
        <f t="shared" si="11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0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0"/>
        <v/>
      </c>
      <c r="U109" s="190" t="str">
        <f t="shared" si="11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0"/>
        <v/>
      </c>
      <c r="U110" s="190" t="str">
        <f t="shared" si="11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0"/>
        <v/>
      </c>
      <c r="U111" s="190" t="str">
        <f t="shared" si="11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0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0"/>
        <v/>
      </c>
      <c r="U113" s="190" t="str">
        <f t="shared" si="11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0"/>
        <v/>
      </c>
      <c r="U114" s="190" t="str">
        <f t="shared" si="11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0"/>
        <v/>
      </c>
      <c r="U115" s="190" t="str">
        <f t="shared" si="11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0"/>
        <v/>
      </c>
      <c r="U116" s="190" t="str">
        <f t="shared" si="11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0"/>
        <v/>
      </c>
      <c r="U117" s="190" t="str">
        <f t="shared" si="11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0"/>
        <v/>
      </c>
      <c r="U118" s="190" t="str">
        <f t="shared" si="11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0"/>
        <v/>
      </c>
      <c r="U119" s="190" t="str">
        <f t="shared" si="11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0"/>
        <v/>
      </c>
      <c r="U120" s="190" t="str">
        <f t="shared" si="11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0"/>
        <v/>
      </c>
      <c r="U121" s="190" t="str">
        <f t="shared" si="11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0"/>
        <v/>
      </c>
      <c r="U122" s="190" t="str">
        <f t="shared" si="11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0"/>
        <v/>
      </c>
      <c r="U123" s="190" t="str">
        <f t="shared" si="11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0"/>
        <v/>
      </c>
      <c r="U124" s="190" t="str">
        <f t="shared" si="11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0"/>
        <v/>
      </c>
      <c r="U125" s="190" t="str">
        <f t="shared" si="11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0"/>
        <v/>
      </c>
      <c r="U126" s="190" t="str">
        <f t="shared" si="11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0"/>
        <v/>
      </c>
      <c r="U127" s="190" t="str">
        <f t="shared" si="11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0"/>
        <v/>
      </c>
      <c r="U128" s="190" t="str">
        <f t="shared" si="11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0"/>
        <v/>
      </c>
      <c r="U129" s="190" t="str">
        <f t="shared" si="11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0"/>
        <v/>
      </c>
      <c r="U130" s="190" t="str">
        <f t="shared" si="11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0"/>
        <v/>
      </c>
      <c r="U131" s="190" t="str">
        <f t="shared" si="11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0"/>
        <v/>
      </c>
      <c r="U132" s="190" t="str">
        <f t="shared" si="11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0"/>
        <v/>
      </c>
      <c r="U133" s="190" t="str">
        <f t="shared" si="11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0"/>
        <v/>
      </c>
      <c r="U134" s="190" t="str">
        <f t="shared" si="11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0"/>
        <v/>
      </c>
      <c r="U135" s="190" t="str">
        <f t="shared" si="11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0"/>
        <v/>
      </c>
      <c r="U136" s="190" t="str">
        <f t="shared" si="11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0"/>
        <v/>
      </c>
      <c r="U137" s="190" t="str">
        <f t="shared" si="11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0"/>
        <v/>
      </c>
      <c r="U138" s="190" t="str">
        <f t="shared" si="11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0"/>
        <v/>
      </c>
      <c r="U139" s="190" t="str">
        <f t="shared" si="11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0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0"/>
        <v/>
      </c>
      <c r="U141" s="190" t="str">
        <f t="shared" si="11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0"/>
        <v/>
      </c>
      <c r="U142" s="190" t="str">
        <f t="shared" si="11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0"/>
        <v/>
      </c>
      <c r="U143" s="190" t="str">
        <f t="shared" si="11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0"/>
        <v/>
      </c>
      <c r="U144" s="190" t="str">
        <f t="shared" si="11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0"/>
        <v/>
      </c>
      <c r="U145" s="190" t="str">
        <f t="shared" si="11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0"/>
        <v/>
      </c>
      <c r="U146" s="190" t="str">
        <f t="shared" si="11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0"/>
        <v/>
      </c>
      <c r="U147" s="190" t="str">
        <f t="shared" si="11"/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0"/>
        <v/>
      </c>
      <c r="U148" s="190" t="str">
        <f t="shared" si="11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0"/>
        <v/>
      </c>
      <c r="U149" s="190" t="str">
        <f t="shared" si="11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0"/>
        <v/>
      </c>
      <c r="U150" s="190" t="str">
        <f t="shared" si="11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0"/>
        <v/>
      </c>
      <c r="U151" s="190" t="str">
        <f t="shared" si="11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0"/>
        <v/>
      </c>
      <c r="U152" s="190" t="str">
        <f t="shared" si="11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0"/>
        <v/>
      </c>
      <c r="U153" s="190" t="str">
        <f t="shared" si="11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0"/>
        <v/>
      </c>
      <c r="U154" s="190" t="str">
        <f t="shared" si="11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0"/>
        <v/>
      </c>
      <c r="U155" s="190" t="str">
        <f t="shared" si="11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0"/>
        <v/>
      </c>
      <c r="U156" s="190" t="str">
        <f t="shared" si="11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0"/>
        <v/>
      </c>
      <c r="U157" s="190" t="str">
        <f t="shared" si="11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0"/>
        <v/>
      </c>
      <c r="U158" s="190" t="str">
        <f t="shared" si="11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0"/>
        <v/>
      </c>
      <c r="U159" s="190" t="str">
        <f t="shared" si="11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0"/>
        <v/>
      </c>
      <c r="U160" s="190" t="str">
        <f t="shared" si="11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0"/>
        <v/>
      </c>
      <c r="U161" s="190" t="str">
        <f t="shared" si="11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0"/>
        <v/>
      </c>
      <c r="U162" s="190" t="str">
        <f t="shared" si="11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0"/>
        <v/>
      </c>
      <c r="U163" s="190" t="str">
        <f t="shared" si="11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0"/>
        <v/>
      </c>
      <c r="U164" s="190" t="str">
        <f t="shared" si="11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0"/>
        <v/>
      </c>
      <c r="U165" s="190" t="str">
        <f t="shared" si="11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" customHeight="1" x14ac:dyDescent="0.3">
      <c r="H167" s="2"/>
      <c r="T167" s="2"/>
    </row>
    <row r="168" spans="1:23" ht="18" customHeight="1" x14ac:dyDescent="0.3">
      <c r="H168" s="2"/>
      <c r="T168" s="2"/>
    </row>
    <row r="169" spans="1:23" ht="18" customHeight="1" x14ac:dyDescent="0.3">
      <c r="H169" s="2"/>
      <c r="T169" s="2"/>
    </row>
    <row r="170" spans="1:23" ht="18" customHeight="1" x14ac:dyDescent="0.3">
      <c r="H170" s="2"/>
      <c r="T170" s="2"/>
    </row>
    <row r="171" spans="1:23" ht="18" customHeight="1" x14ac:dyDescent="0.3">
      <c r="H171" s="2"/>
      <c r="T171" s="2"/>
    </row>
    <row r="172" spans="1:23" ht="18" customHeight="1" x14ac:dyDescent="0.3">
      <c r="H172" s="2"/>
      <c r="T172" s="2"/>
    </row>
    <row r="173" spans="1:23" ht="18" customHeight="1" x14ac:dyDescent="0.3">
      <c r="H173" s="2"/>
      <c r="T173" s="2"/>
    </row>
    <row r="174" spans="1:23" ht="18" customHeight="1" x14ac:dyDescent="0.3">
      <c r="H174" s="2"/>
      <c r="T174" s="2"/>
    </row>
    <row r="175" spans="1:23" ht="18" customHeight="1" x14ac:dyDescent="0.3">
      <c r="H175" s="2"/>
      <c r="T175" s="2"/>
    </row>
    <row r="176" spans="1:23" ht="18" customHeight="1" x14ac:dyDescent="0.3">
      <c r="H176" s="2"/>
      <c r="T176" s="2"/>
    </row>
    <row r="177" spans="8:20" ht="18" customHeight="1" x14ac:dyDescent="0.3">
      <c r="H177" s="2"/>
      <c r="T177" s="2"/>
    </row>
    <row r="178" spans="8:20" ht="18" customHeight="1" x14ac:dyDescent="0.3">
      <c r="H178" s="2"/>
      <c r="T178" s="2"/>
    </row>
    <row r="179" spans="8:20" ht="18" customHeight="1" x14ac:dyDescent="0.3">
      <c r="H179" s="2"/>
      <c r="T179" s="2"/>
    </row>
    <row r="180" spans="8:20" ht="18" customHeight="1" x14ac:dyDescent="0.3">
      <c r="H180" s="2"/>
      <c r="T180" s="2"/>
    </row>
    <row r="181" spans="8:20" ht="18" customHeight="1" x14ac:dyDescent="0.3">
      <c r="H181" s="2"/>
      <c r="T181" s="2"/>
    </row>
    <row r="182" spans="8:20" ht="18" customHeight="1" x14ac:dyDescent="0.3">
      <c r="H182" s="2"/>
      <c r="T182" s="2"/>
    </row>
    <row r="183" spans="8:20" ht="18" customHeight="1" x14ac:dyDescent="0.3">
      <c r="H183" s="2"/>
      <c r="T183" s="2"/>
    </row>
    <row r="184" spans="8:20" ht="18" customHeight="1" x14ac:dyDescent="0.3">
      <c r="H184" s="2"/>
      <c r="T184" s="2"/>
    </row>
    <row r="185" spans="8:20" ht="18" customHeight="1" x14ac:dyDescent="0.3">
      <c r="H185" s="2"/>
      <c r="T185" s="2"/>
    </row>
    <row r="186" spans="8:20" ht="18" customHeight="1" x14ac:dyDescent="0.3">
      <c r="H186" s="2"/>
      <c r="T186" s="2"/>
    </row>
    <row r="187" spans="8:20" ht="18" customHeight="1" x14ac:dyDescent="0.3">
      <c r="H187" s="2"/>
      <c r="T187" s="2"/>
    </row>
    <row r="188" spans="8:20" ht="18" customHeight="1" x14ac:dyDescent="0.3">
      <c r="H188" s="2"/>
      <c r="T188" s="2"/>
    </row>
    <row r="189" spans="8:20" ht="18" customHeight="1" x14ac:dyDescent="0.3">
      <c r="H189" s="2"/>
      <c r="T189" s="2"/>
    </row>
    <row r="190" spans="8:20" ht="18" customHeight="1" x14ac:dyDescent="0.3">
      <c r="H190" s="2"/>
      <c r="T190" s="2"/>
    </row>
    <row r="191" spans="8:20" ht="18" customHeight="1" x14ac:dyDescent="0.3">
      <c r="H191" s="2"/>
      <c r="T191" s="2"/>
    </row>
    <row r="192" spans="8:20" ht="18" customHeight="1" x14ac:dyDescent="0.3">
      <c r="H192" s="2"/>
      <c r="T192" s="2"/>
    </row>
    <row r="193" spans="8:20" ht="18" customHeight="1" x14ac:dyDescent="0.3">
      <c r="H193" s="2"/>
      <c r="T193" s="2"/>
    </row>
    <row r="194" spans="8:20" ht="18" customHeight="1" x14ac:dyDescent="0.3">
      <c r="H194" s="2"/>
      <c r="T194" s="2"/>
    </row>
    <row r="195" spans="8:20" ht="18" customHeight="1" x14ac:dyDescent="0.3">
      <c r="H195" s="2"/>
      <c r="T195" s="2"/>
    </row>
    <row r="196" spans="8:20" ht="18" customHeight="1" x14ac:dyDescent="0.3">
      <c r="H196" s="2"/>
      <c r="T196" s="2"/>
    </row>
    <row r="197" spans="8:20" ht="18" customHeight="1" x14ac:dyDescent="0.3">
      <c r="H197" s="2"/>
      <c r="T197" s="2"/>
    </row>
    <row r="198" spans="8:20" ht="18" customHeight="1" x14ac:dyDescent="0.3">
      <c r="H198" s="2"/>
      <c r="T198" s="2"/>
    </row>
    <row r="199" spans="8:20" ht="18" customHeight="1" x14ac:dyDescent="0.3">
      <c r="H199" s="2"/>
      <c r="T199" s="2"/>
    </row>
    <row r="200" spans="8:20" ht="18" customHeight="1" x14ac:dyDescent="0.3">
      <c r="H200" s="2"/>
      <c r="T200" s="2"/>
    </row>
    <row r="201" spans="8:20" ht="18" customHeight="1" x14ac:dyDescent="0.3">
      <c r="H201" s="2"/>
      <c r="T201" s="2"/>
    </row>
    <row r="202" spans="8:20" ht="18" customHeight="1" x14ac:dyDescent="0.3">
      <c r="H202" s="2"/>
      <c r="T202" s="2"/>
    </row>
    <row r="203" spans="8:20" ht="18" customHeight="1" x14ac:dyDescent="0.3">
      <c r="H203" s="2"/>
      <c r="T203" s="2"/>
    </row>
    <row r="204" spans="8:20" ht="18" customHeight="1" x14ac:dyDescent="0.3">
      <c r="H204" s="2"/>
      <c r="T204" s="2"/>
    </row>
    <row r="205" spans="8:20" ht="18" customHeight="1" x14ac:dyDescent="0.3">
      <c r="H205" s="2"/>
      <c r="T205" s="2"/>
    </row>
    <row r="206" spans="8:20" ht="18" customHeight="1" x14ac:dyDescent="0.3">
      <c r="H206" s="2"/>
      <c r="T206" s="2"/>
    </row>
    <row r="207" spans="8:20" ht="18" customHeight="1" x14ac:dyDescent="0.3">
      <c r="H207" s="2"/>
      <c r="T207" s="2"/>
    </row>
    <row r="208" spans="8:20" ht="18" customHeight="1" x14ac:dyDescent="0.3">
      <c r="H208" s="2"/>
      <c r="T208" s="2"/>
    </row>
    <row r="209" spans="8:20" ht="18" customHeight="1" x14ac:dyDescent="0.3">
      <c r="H209" s="2"/>
      <c r="T209" s="2"/>
    </row>
    <row r="210" spans="8:20" ht="18" customHeight="1" x14ac:dyDescent="0.3">
      <c r="H210" s="2"/>
      <c r="T210" s="2"/>
    </row>
    <row r="211" spans="8:20" ht="18" customHeight="1" x14ac:dyDescent="0.3">
      <c r="H211" s="2"/>
      <c r="T211" s="2"/>
    </row>
    <row r="212" spans="8:20" ht="18" customHeight="1" x14ac:dyDescent="0.3">
      <c r="H212" s="2"/>
      <c r="T212" s="2"/>
    </row>
    <row r="213" spans="8:20" ht="18" customHeight="1" x14ac:dyDescent="0.3">
      <c r="H213" s="2"/>
      <c r="T213" s="2"/>
    </row>
    <row r="214" spans="8:20" ht="18" customHeight="1" x14ac:dyDescent="0.3">
      <c r="H214" s="2"/>
      <c r="T214" s="2"/>
    </row>
    <row r="215" spans="8:20" ht="18" customHeight="1" x14ac:dyDescent="0.3">
      <c r="H215" s="2"/>
      <c r="T215" s="2"/>
    </row>
    <row r="216" spans="8:20" ht="18" customHeight="1" x14ac:dyDescent="0.3">
      <c r="H216" s="2"/>
      <c r="T216" s="2"/>
    </row>
    <row r="217" spans="8:20" ht="18" customHeight="1" x14ac:dyDescent="0.3">
      <c r="H217" s="2"/>
      <c r="T217" s="2"/>
    </row>
    <row r="218" spans="8:20" ht="18" customHeight="1" x14ac:dyDescent="0.3">
      <c r="H218" s="2"/>
      <c r="T218" s="2"/>
    </row>
    <row r="219" spans="8:20" ht="18" customHeight="1" x14ac:dyDescent="0.3">
      <c r="H219" s="2"/>
      <c r="T219" s="2"/>
    </row>
    <row r="220" spans="8:20" ht="18" customHeight="1" x14ac:dyDescent="0.3">
      <c r="H220" s="2"/>
      <c r="T220" s="2"/>
    </row>
    <row r="221" spans="8:20" ht="18" customHeight="1" x14ac:dyDescent="0.3">
      <c r="H221" s="2"/>
      <c r="T221" s="2"/>
    </row>
    <row r="222" spans="8:20" ht="18" customHeight="1" x14ac:dyDescent="0.3">
      <c r="H222" s="2"/>
      <c r="T222" s="2"/>
    </row>
    <row r="223" spans="8:20" ht="18" customHeight="1" x14ac:dyDescent="0.3">
      <c r="H223" s="2"/>
      <c r="T223" s="2"/>
    </row>
    <row r="224" spans="8:20" ht="18" customHeight="1" x14ac:dyDescent="0.3">
      <c r="H224" s="2"/>
      <c r="T224" s="2"/>
    </row>
    <row r="225" spans="8:20" ht="18" customHeight="1" x14ac:dyDescent="0.3">
      <c r="H225" s="2"/>
      <c r="T225" s="2"/>
    </row>
    <row r="226" spans="8:20" ht="18" customHeight="1" x14ac:dyDescent="0.3">
      <c r="H226" s="2"/>
      <c r="T226" s="2"/>
    </row>
    <row r="227" spans="8:20" ht="18" customHeight="1" x14ac:dyDescent="0.3">
      <c r="H227" s="2"/>
      <c r="T227" s="2"/>
    </row>
    <row r="228" spans="8:20" ht="18" customHeight="1" x14ac:dyDescent="0.3">
      <c r="H228" s="2"/>
      <c r="T228" s="2"/>
    </row>
    <row r="229" spans="8:20" ht="18" customHeight="1" x14ac:dyDescent="0.3">
      <c r="H229" s="2"/>
      <c r="T229" s="2"/>
    </row>
    <row r="230" spans="8:20" ht="18" customHeight="1" x14ac:dyDescent="0.3">
      <c r="H230" s="2"/>
      <c r="T230" s="2"/>
    </row>
    <row r="231" spans="8:20" ht="18" customHeight="1" x14ac:dyDescent="0.3">
      <c r="H231" s="2"/>
      <c r="T231" s="2"/>
    </row>
    <row r="232" spans="8:20" ht="18" customHeight="1" x14ac:dyDescent="0.3">
      <c r="H232" s="2"/>
      <c r="T232" s="2"/>
    </row>
    <row r="233" spans="8:20" ht="18" customHeight="1" x14ac:dyDescent="0.3">
      <c r="H233" s="2"/>
      <c r="T233" s="2"/>
    </row>
    <row r="234" spans="8:20" ht="18" customHeight="1" x14ac:dyDescent="0.3">
      <c r="H234" s="2"/>
      <c r="T234" s="2"/>
    </row>
    <row r="235" spans="8:20" ht="18" customHeight="1" x14ac:dyDescent="0.3">
      <c r="H235" s="2"/>
      <c r="T235" s="2"/>
    </row>
    <row r="236" spans="8:20" ht="18" customHeight="1" x14ac:dyDescent="0.3">
      <c r="H236" s="2"/>
      <c r="T236" s="2"/>
    </row>
    <row r="237" spans="8:20" ht="18" customHeight="1" x14ac:dyDescent="0.3">
      <c r="H237" s="2"/>
      <c r="T237" s="2"/>
    </row>
    <row r="238" spans="8:20" ht="18" customHeight="1" x14ac:dyDescent="0.3">
      <c r="H238" s="2"/>
      <c r="T238" s="2"/>
    </row>
    <row r="239" spans="8:20" ht="18" customHeight="1" x14ac:dyDescent="0.3">
      <c r="H239" s="2"/>
      <c r="T239" s="2"/>
    </row>
    <row r="240" spans="8:20" ht="18" customHeight="1" x14ac:dyDescent="0.3">
      <c r="H240" s="2"/>
      <c r="T240" s="2"/>
    </row>
    <row r="241" spans="8:20" ht="18" customHeight="1" x14ac:dyDescent="0.3">
      <c r="H241" s="2"/>
      <c r="T241" s="2"/>
    </row>
    <row r="242" spans="8:20" ht="18" customHeight="1" x14ac:dyDescent="0.3">
      <c r="H242" s="2"/>
      <c r="T242" s="2"/>
    </row>
    <row r="243" spans="8:20" ht="18" customHeight="1" x14ac:dyDescent="0.3">
      <c r="H243" s="2"/>
      <c r="T243" s="2"/>
    </row>
    <row r="244" spans="8:20" ht="18" customHeight="1" x14ac:dyDescent="0.3">
      <c r="H244" s="2"/>
      <c r="T244" s="2"/>
    </row>
    <row r="245" spans="8:20" ht="18" customHeight="1" x14ac:dyDescent="0.3">
      <c r="H245" s="2"/>
      <c r="T245" s="2"/>
    </row>
    <row r="246" spans="8:20" ht="18" customHeight="1" x14ac:dyDescent="0.3">
      <c r="H246" s="2"/>
      <c r="T246" s="2"/>
    </row>
    <row r="247" spans="8:20" ht="18" customHeight="1" x14ac:dyDescent="0.3">
      <c r="H247" s="2"/>
      <c r="T247" s="2"/>
    </row>
    <row r="248" spans="8:20" ht="18" customHeight="1" x14ac:dyDescent="0.3">
      <c r="H248" s="2"/>
      <c r="T248" s="2"/>
    </row>
    <row r="249" spans="8:20" ht="18" customHeight="1" x14ac:dyDescent="0.3">
      <c r="H249" s="2"/>
      <c r="T249" s="2"/>
    </row>
    <row r="250" spans="8:20" ht="18" customHeight="1" x14ac:dyDescent="0.3">
      <c r="H250" s="2"/>
      <c r="T250" s="2"/>
    </row>
    <row r="251" spans="8:20" ht="18" customHeight="1" x14ac:dyDescent="0.3">
      <c r="H251" s="2"/>
      <c r="T251" s="2"/>
    </row>
    <row r="252" spans="8:20" ht="18" customHeight="1" x14ac:dyDescent="0.3">
      <c r="H252" s="2"/>
      <c r="T252" s="2"/>
    </row>
    <row r="253" spans="8:20" ht="18" customHeight="1" x14ac:dyDescent="0.3">
      <c r="H253" s="2"/>
      <c r="T253" s="2"/>
    </row>
    <row r="254" spans="8:20" ht="18" customHeight="1" x14ac:dyDescent="0.3">
      <c r="H254" s="2"/>
      <c r="T254" s="2"/>
    </row>
    <row r="255" spans="8:20" ht="18" customHeight="1" x14ac:dyDescent="0.3">
      <c r="H255" s="2"/>
      <c r="T255" s="2"/>
    </row>
    <row r="256" spans="8:20" ht="18" customHeight="1" x14ac:dyDescent="0.3">
      <c r="H256" s="2"/>
      <c r="T256" s="2"/>
    </row>
    <row r="257" spans="8:20" ht="18" customHeight="1" x14ac:dyDescent="0.3">
      <c r="H257" s="2"/>
      <c r="T257" s="2"/>
    </row>
    <row r="258" spans="8:20" ht="18" customHeight="1" x14ac:dyDescent="0.3">
      <c r="H258" s="2"/>
      <c r="T258" s="2"/>
    </row>
    <row r="259" spans="8:20" ht="18" customHeight="1" x14ac:dyDescent="0.3">
      <c r="H259" s="2"/>
      <c r="T259" s="2"/>
    </row>
    <row r="260" spans="8:20" ht="18" customHeight="1" x14ac:dyDescent="0.3">
      <c r="H260" s="2"/>
      <c r="T260" s="2"/>
    </row>
    <row r="261" spans="8:20" ht="18" customHeight="1" x14ac:dyDescent="0.3">
      <c r="H261" s="2"/>
      <c r="T261" s="2"/>
    </row>
    <row r="262" spans="8:20" ht="18" customHeight="1" x14ac:dyDescent="0.3">
      <c r="H262" s="2"/>
      <c r="T262" s="2"/>
    </row>
    <row r="263" spans="8:20" ht="18" customHeight="1" x14ac:dyDescent="0.3">
      <c r="H263" s="2"/>
      <c r="T263" s="2"/>
    </row>
    <row r="264" spans="8:20" ht="18" customHeight="1" x14ac:dyDescent="0.3">
      <c r="H264" s="2"/>
      <c r="T264" s="2"/>
    </row>
    <row r="265" spans="8:20" ht="18" customHeight="1" x14ac:dyDescent="0.3">
      <c r="H265" s="2"/>
      <c r="T265" s="2"/>
    </row>
    <row r="266" spans="8:20" ht="18" customHeight="1" x14ac:dyDescent="0.3">
      <c r="H266" s="2"/>
      <c r="T266" s="2"/>
    </row>
    <row r="267" spans="8:20" ht="18" customHeight="1" x14ac:dyDescent="0.3">
      <c r="H267" s="2"/>
      <c r="T267" s="2"/>
    </row>
    <row r="268" spans="8:20" ht="18" customHeight="1" x14ac:dyDescent="0.3">
      <c r="H268" s="2"/>
      <c r="T268" s="2"/>
    </row>
    <row r="269" spans="8:20" ht="18" customHeight="1" x14ac:dyDescent="0.3">
      <c r="H269" s="2"/>
      <c r="T269" s="2"/>
    </row>
    <row r="270" spans="8:20" ht="18" customHeight="1" x14ac:dyDescent="0.3">
      <c r="H270" s="2"/>
      <c r="T270" s="2"/>
    </row>
    <row r="271" spans="8:20" ht="18" customHeight="1" x14ac:dyDescent="0.3">
      <c r="H271" s="2"/>
      <c r="T271" s="2"/>
    </row>
    <row r="272" spans="8:20" ht="18" customHeight="1" x14ac:dyDescent="0.3">
      <c r="H272" s="2"/>
      <c r="T272" s="2"/>
    </row>
    <row r="273" spans="8:20" ht="18" customHeight="1" x14ac:dyDescent="0.3">
      <c r="H273" s="2"/>
      <c r="T273" s="2"/>
    </row>
    <row r="274" spans="8:20" ht="18" customHeight="1" x14ac:dyDescent="0.3">
      <c r="H274" s="2"/>
      <c r="T274" s="2"/>
    </row>
    <row r="275" spans="8:20" ht="18" customHeight="1" x14ac:dyDescent="0.3">
      <c r="H275" s="2"/>
      <c r="T275" s="2"/>
    </row>
    <row r="276" spans="8:20" ht="18" customHeight="1" x14ac:dyDescent="0.3">
      <c r="H276" s="2"/>
      <c r="T276" s="2"/>
    </row>
    <row r="277" spans="8:20" ht="18" customHeight="1" x14ac:dyDescent="0.3">
      <c r="H277" s="2"/>
      <c r="T277" s="2"/>
    </row>
    <row r="278" spans="8:20" ht="18" customHeight="1" x14ac:dyDescent="0.3">
      <c r="H278" s="2"/>
      <c r="T278" s="2"/>
    </row>
    <row r="279" spans="8:20" ht="18" customHeight="1" x14ac:dyDescent="0.3">
      <c r="H279" s="2"/>
      <c r="T279" s="2"/>
    </row>
    <row r="280" spans="8:20" ht="18" customHeight="1" x14ac:dyDescent="0.3">
      <c r="H280" s="2"/>
      <c r="T280" s="2"/>
    </row>
    <row r="281" spans="8:20" ht="18" customHeight="1" x14ac:dyDescent="0.3">
      <c r="H281" s="2"/>
      <c r="T281" s="2"/>
    </row>
    <row r="282" spans="8:20" ht="18" customHeight="1" x14ac:dyDescent="0.3">
      <c r="H282" s="2"/>
      <c r="T282" s="2"/>
    </row>
    <row r="283" spans="8:20" ht="18" customHeight="1" x14ac:dyDescent="0.3">
      <c r="H283" s="2"/>
      <c r="T283" s="2"/>
    </row>
    <row r="284" spans="8:20" ht="18" customHeight="1" x14ac:dyDescent="0.3">
      <c r="H284" s="2"/>
      <c r="T284" s="2"/>
    </row>
    <row r="285" spans="8:20" ht="18" customHeight="1" x14ac:dyDescent="0.3">
      <c r="H285" s="2"/>
      <c r="T285" s="2"/>
    </row>
    <row r="286" spans="8:20" ht="18" customHeight="1" x14ac:dyDescent="0.3">
      <c r="H286" s="2"/>
      <c r="T286" s="2"/>
    </row>
    <row r="287" spans="8:20" ht="18" customHeight="1" x14ac:dyDescent="0.3">
      <c r="H287" s="2"/>
      <c r="T287" s="2"/>
    </row>
    <row r="288" spans="8:20" ht="18" customHeight="1" x14ac:dyDescent="0.3">
      <c r="H288" s="2"/>
      <c r="T288" s="2"/>
    </row>
    <row r="289" spans="8:20" ht="18" customHeight="1" x14ac:dyDescent="0.3">
      <c r="H289" s="2"/>
      <c r="T289" s="2"/>
    </row>
    <row r="290" spans="8:20" ht="18" customHeight="1" x14ac:dyDescent="0.3">
      <c r="H290" s="2"/>
      <c r="T290" s="2"/>
    </row>
    <row r="291" spans="8:20" ht="18" customHeight="1" x14ac:dyDescent="0.3">
      <c r="H291" s="2"/>
      <c r="T291" s="2"/>
    </row>
    <row r="292" spans="8:20" ht="18" customHeight="1" x14ac:dyDescent="0.3">
      <c r="H292" s="2"/>
      <c r="T292" s="2"/>
    </row>
    <row r="293" spans="8:20" ht="18" customHeight="1" x14ac:dyDescent="0.3">
      <c r="H293" s="2"/>
      <c r="T293" s="2"/>
    </row>
    <row r="294" spans="8:20" ht="18" customHeight="1" x14ac:dyDescent="0.3">
      <c r="H294" s="2"/>
      <c r="T294" s="2"/>
    </row>
    <row r="295" spans="8:20" ht="18" customHeight="1" x14ac:dyDescent="0.3">
      <c r="H295" s="2"/>
      <c r="T295" s="2"/>
    </row>
    <row r="296" spans="8:20" ht="18" customHeight="1" x14ac:dyDescent="0.3">
      <c r="H296" s="2"/>
      <c r="T296" s="2"/>
    </row>
    <row r="297" spans="8:20" ht="18" customHeight="1" x14ac:dyDescent="0.3">
      <c r="H297" s="2"/>
      <c r="T297" s="2"/>
    </row>
    <row r="298" spans="8:20" ht="18" customHeight="1" x14ac:dyDescent="0.3">
      <c r="H298" s="2"/>
      <c r="T298" s="2"/>
    </row>
    <row r="299" spans="8:20" ht="18" customHeight="1" x14ac:dyDescent="0.3">
      <c r="H299" s="2"/>
      <c r="T299" s="2"/>
    </row>
    <row r="300" spans="8:20" ht="18" customHeight="1" x14ac:dyDescent="0.3">
      <c r="H300" s="2"/>
      <c r="T300" s="2"/>
    </row>
    <row r="301" spans="8:20" ht="18" customHeight="1" x14ac:dyDescent="0.3">
      <c r="H301" s="2"/>
      <c r="T301" s="2"/>
    </row>
    <row r="302" spans="8:20" ht="18" customHeight="1" x14ac:dyDescent="0.3">
      <c r="H302" s="2"/>
      <c r="T302" s="2"/>
    </row>
    <row r="303" spans="8:20" ht="18" customHeight="1" x14ac:dyDescent="0.3">
      <c r="H303" s="2"/>
      <c r="T303" s="2"/>
    </row>
    <row r="304" spans="8:20" ht="18" customHeight="1" x14ac:dyDescent="0.3">
      <c r="H304" s="2"/>
      <c r="T304" s="2"/>
    </row>
    <row r="305" spans="8:20" ht="18" customHeight="1" x14ac:dyDescent="0.3">
      <c r="H305" s="2"/>
      <c r="T305" s="2"/>
    </row>
    <row r="306" spans="8:20" ht="18" customHeight="1" x14ac:dyDescent="0.3">
      <c r="H306" s="2"/>
      <c r="T306" s="2"/>
    </row>
    <row r="307" spans="8:20" ht="18" customHeight="1" x14ac:dyDescent="0.3">
      <c r="H307" s="2"/>
      <c r="T307" s="2"/>
    </row>
    <row r="308" spans="8:20" ht="18" customHeight="1" x14ac:dyDescent="0.3">
      <c r="H308" s="2"/>
      <c r="T308" s="2"/>
    </row>
    <row r="309" spans="8:20" ht="18" customHeight="1" x14ac:dyDescent="0.3">
      <c r="H309" s="2"/>
      <c r="T309" s="2"/>
    </row>
    <row r="310" spans="8:20" ht="18" customHeight="1" x14ac:dyDescent="0.3">
      <c r="H310" s="2"/>
      <c r="T310" s="2"/>
    </row>
    <row r="311" spans="8:20" ht="18" customHeight="1" x14ac:dyDescent="0.3">
      <c r="H311" s="2"/>
      <c r="T311" s="2"/>
    </row>
    <row r="312" spans="8:20" ht="18" customHeight="1" x14ac:dyDescent="0.3">
      <c r="H312" s="2"/>
      <c r="T312" s="2"/>
    </row>
    <row r="313" spans="8:20" ht="18" customHeight="1" x14ac:dyDescent="0.3">
      <c r="H313" s="2"/>
      <c r="T313" s="2"/>
    </row>
    <row r="314" spans="8:20" ht="18" customHeight="1" x14ac:dyDescent="0.3">
      <c r="H314" s="2"/>
      <c r="T314" s="2"/>
    </row>
    <row r="315" spans="8:20" ht="18" customHeight="1" x14ac:dyDescent="0.3">
      <c r="H315" s="2"/>
      <c r="T315" s="2"/>
    </row>
    <row r="316" spans="8:20" ht="18" customHeight="1" x14ac:dyDescent="0.3">
      <c r="H316" s="2"/>
      <c r="T316" s="2"/>
    </row>
    <row r="317" spans="8:20" ht="18" customHeight="1" x14ac:dyDescent="0.3">
      <c r="H317" s="2"/>
      <c r="T317" s="2"/>
    </row>
    <row r="318" spans="8:20" ht="18" customHeight="1" x14ac:dyDescent="0.3">
      <c r="H318" s="2"/>
      <c r="T318" s="2"/>
    </row>
    <row r="319" spans="8:20" ht="18" customHeight="1" x14ac:dyDescent="0.3">
      <c r="H319" s="2"/>
      <c r="T319" s="2"/>
    </row>
    <row r="320" spans="8:20" ht="18" customHeight="1" x14ac:dyDescent="0.3">
      <c r="H320" s="2"/>
      <c r="T320" s="2"/>
    </row>
    <row r="321" spans="8:20" ht="18" customHeight="1" x14ac:dyDescent="0.3">
      <c r="H321" s="2"/>
      <c r="T321" s="2"/>
    </row>
    <row r="322" spans="8:20" ht="18" customHeight="1" x14ac:dyDescent="0.3">
      <c r="H322" s="2"/>
      <c r="T322" s="2"/>
    </row>
    <row r="323" spans="8:20" ht="18" customHeight="1" x14ac:dyDescent="0.3">
      <c r="H323" s="2"/>
      <c r="T323" s="2"/>
    </row>
    <row r="324" spans="8:20" ht="18" customHeight="1" x14ac:dyDescent="0.3">
      <c r="H324" s="2"/>
      <c r="T324" s="2"/>
    </row>
    <row r="325" spans="8:20" ht="18" customHeight="1" x14ac:dyDescent="0.3">
      <c r="H325" s="2"/>
      <c r="T325" s="2"/>
    </row>
    <row r="326" spans="8:20" ht="18" customHeight="1" x14ac:dyDescent="0.3">
      <c r="H326" s="2"/>
      <c r="T326" s="2"/>
    </row>
    <row r="327" spans="8:20" ht="18" customHeight="1" x14ac:dyDescent="0.3">
      <c r="H327" s="2"/>
      <c r="T327" s="2"/>
    </row>
    <row r="328" spans="8:20" ht="18" customHeight="1" x14ac:dyDescent="0.3">
      <c r="H328" s="2"/>
      <c r="T328" s="2"/>
    </row>
    <row r="329" spans="8:20" ht="18" customHeight="1" x14ac:dyDescent="0.3">
      <c r="H329" s="2"/>
      <c r="T329" s="2"/>
    </row>
    <row r="330" spans="8:20" ht="18" customHeight="1" x14ac:dyDescent="0.3">
      <c r="H330" s="2"/>
      <c r="T330" s="2"/>
    </row>
    <row r="331" spans="8:20" ht="18" customHeight="1" x14ac:dyDescent="0.3">
      <c r="H331" s="2"/>
      <c r="T331" s="2"/>
    </row>
    <row r="332" spans="8:20" ht="18" customHeight="1" x14ac:dyDescent="0.3">
      <c r="H332" s="2"/>
      <c r="T332" s="2"/>
    </row>
    <row r="333" spans="8:20" ht="18" customHeight="1" x14ac:dyDescent="0.3">
      <c r="H333" s="2"/>
      <c r="T333" s="2"/>
    </row>
    <row r="334" spans="8:20" ht="18" customHeight="1" x14ac:dyDescent="0.3">
      <c r="H334" s="2"/>
      <c r="T334" s="2"/>
    </row>
    <row r="335" spans="8:20" ht="18" customHeight="1" x14ac:dyDescent="0.3">
      <c r="H335" s="2"/>
      <c r="T335" s="2"/>
    </row>
    <row r="336" spans="8:20" ht="18" customHeight="1" x14ac:dyDescent="0.3">
      <c r="H336" s="2"/>
      <c r="T336" s="2"/>
    </row>
    <row r="337" spans="8:20" ht="18" customHeight="1" x14ac:dyDescent="0.3">
      <c r="H337" s="2"/>
      <c r="T337" s="2"/>
    </row>
    <row r="338" spans="8:20" ht="18" customHeight="1" x14ac:dyDescent="0.3">
      <c r="H338" s="2"/>
      <c r="T338" s="2"/>
    </row>
    <row r="339" spans="8:20" ht="18" customHeight="1" x14ac:dyDescent="0.3">
      <c r="H339" s="2"/>
      <c r="T339" s="2"/>
    </row>
    <row r="340" spans="8:20" ht="18" customHeight="1" x14ac:dyDescent="0.3">
      <c r="H340" s="2"/>
      <c r="T340" s="2"/>
    </row>
    <row r="341" spans="8:20" ht="18" customHeight="1" x14ac:dyDescent="0.3">
      <c r="H341" s="2"/>
      <c r="T341" s="2"/>
    </row>
    <row r="342" spans="8:20" ht="18" customHeight="1" x14ac:dyDescent="0.3">
      <c r="H342" s="2"/>
      <c r="T342" s="2"/>
    </row>
    <row r="343" spans="8:20" ht="18" customHeight="1" x14ac:dyDescent="0.3">
      <c r="H343" s="2"/>
      <c r="T343" s="2"/>
    </row>
    <row r="344" spans="8:20" ht="18" customHeight="1" x14ac:dyDescent="0.3">
      <c r="H344" s="2"/>
      <c r="T344" s="2"/>
    </row>
    <row r="345" spans="8:20" ht="18" customHeight="1" x14ac:dyDescent="0.3">
      <c r="H345" s="2"/>
      <c r="T345" s="2"/>
    </row>
    <row r="346" spans="8:20" ht="18" customHeight="1" x14ac:dyDescent="0.3">
      <c r="H346" s="2"/>
      <c r="T346" s="2"/>
    </row>
    <row r="347" spans="8:20" ht="18" customHeight="1" x14ac:dyDescent="0.3">
      <c r="H347" s="2"/>
      <c r="T347" s="2"/>
    </row>
    <row r="348" spans="8:20" ht="18" customHeight="1" x14ac:dyDescent="0.3">
      <c r="H348" s="2"/>
      <c r="T348" s="2"/>
    </row>
    <row r="349" spans="8:20" ht="18" customHeight="1" x14ac:dyDescent="0.3">
      <c r="H349" s="2"/>
      <c r="T349" s="2"/>
    </row>
    <row r="350" spans="8:20" ht="18" customHeight="1" x14ac:dyDescent="0.3">
      <c r="H350" s="2"/>
      <c r="T350" s="2"/>
    </row>
    <row r="351" spans="8:20" ht="18" customHeight="1" x14ac:dyDescent="0.3">
      <c r="H351" s="2"/>
      <c r="T351" s="2"/>
    </row>
    <row r="352" spans="8:20" ht="18" customHeight="1" x14ac:dyDescent="0.3">
      <c r="H352" s="2"/>
      <c r="T352" s="2"/>
    </row>
    <row r="353" spans="8:20" ht="18" customHeight="1" x14ac:dyDescent="0.3">
      <c r="H353" s="2"/>
      <c r="T353" s="2"/>
    </row>
    <row r="354" spans="8:20" ht="18" customHeight="1" x14ac:dyDescent="0.3">
      <c r="H354" s="2"/>
      <c r="T354" s="2"/>
    </row>
    <row r="355" spans="8:20" ht="18" customHeight="1" x14ac:dyDescent="0.3">
      <c r="H355" s="2"/>
      <c r="T355" s="2"/>
    </row>
    <row r="356" spans="8:20" ht="18" customHeight="1" x14ac:dyDescent="0.3">
      <c r="H356" s="2"/>
      <c r="T356" s="2"/>
    </row>
    <row r="357" spans="8:20" ht="18" customHeight="1" x14ac:dyDescent="0.3">
      <c r="H357" s="2"/>
      <c r="T357" s="2"/>
    </row>
    <row r="358" spans="8:20" ht="18" customHeight="1" x14ac:dyDescent="0.3">
      <c r="H358" s="2"/>
      <c r="T358" s="2"/>
    </row>
    <row r="359" spans="8:20" ht="18" customHeight="1" x14ac:dyDescent="0.3">
      <c r="H359" s="2"/>
      <c r="T359" s="2"/>
    </row>
    <row r="360" spans="8:20" ht="18" customHeight="1" x14ac:dyDescent="0.3">
      <c r="H360" s="2"/>
      <c r="T360" s="2"/>
    </row>
    <row r="361" spans="8:20" ht="18" customHeight="1" x14ac:dyDescent="0.3">
      <c r="H361" s="2"/>
      <c r="T361" s="2"/>
    </row>
    <row r="362" spans="8:20" ht="18" customHeight="1" x14ac:dyDescent="0.3">
      <c r="H362" s="2"/>
      <c r="T362" s="2"/>
    </row>
    <row r="363" spans="8:20" ht="18" customHeight="1" x14ac:dyDescent="0.3">
      <c r="H363" s="2"/>
      <c r="T363" s="2"/>
    </row>
    <row r="364" spans="8:20" ht="18" customHeight="1" x14ac:dyDescent="0.3">
      <c r="H364" s="2"/>
      <c r="T364" s="2"/>
    </row>
    <row r="365" spans="8:20" ht="18" customHeight="1" x14ac:dyDescent="0.3">
      <c r="H365" s="2"/>
      <c r="T365" s="2"/>
    </row>
    <row r="366" spans="8:20" ht="18" customHeight="1" x14ac:dyDescent="0.3">
      <c r="H366" s="2"/>
      <c r="T366" s="2"/>
    </row>
    <row r="367" spans="8:20" ht="18" customHeight="1" x14ac:dyDescent="0.3">
      <c r="H367" s="2"/>
      <c r="T367" s="2"/>
    </row>
    <row r="368" spans="8:20" ht="18" customHeight="1" x14ac:dyDescent="0.3">
      <c r="H368" s="2"/>
      <c r="T368" s="2"/>
    </row>
    <row r="369" spans="8:20" ht="18" customHeight="1" x14ac:dyDescent="0.3">
      <c r="H369" s="2"/>
      <c r="T369" s="2"/>
    </row>
    <row r="370" spans="8:20" ht="18" customHeight="1" x14ac:dyDescent="0.3">
      <c r="H370" s="2"/>
      <c r="T370" s="2"/>
    </row>
    <row r="371" spans="8:20" ht="18" customHeight="1" x14ac:dyDescent="0.3">
      <c r="H371" s="2"/>
      <c r="T371" s="2"/>
    </row>
    <row r="372" spans="8:20" ht="18" customHeight="1" x14ac:dyDescent="0.3">
      <c r="H372" s="2"/>
      <c r="T372" s="2"/>
    </row>
    <row r="373" spans="8:20" ht="18" customHeight="1" x14ac:dyDescent="0.3">
      <c r="H373" s="2"/>
      <c r="T373" s="2"/>
    </row>
    <row r="374" spans="8:20" ht="18" customHeight="1" x14ac:dyDescent="0.3">
      <c r="H374" s="2"/>
      <c r="T374" s="2"/>
    </row>
    <row r="375" spans="8:20" ht="18" customHeight="1" x14ac:dyDescent="0.3">
      <c r="H375" s="2"/>
      <c r="T375" s="2"/>
    </row>
    <row r="376" spans="8:20" ht="18" customHeight="1" x14ac:dyDescent="0.3">
      <c r="H376" s="2"/>
      <c r="T376" s="2"/>
    </row>
    <row r="377" spans="8:20" ht="18" customHeight="1" x14ac:dyDescent="0.3">
      <c r="H377" s="2"/>
      <c r="T377" s="2"/>
    </row>
    <row r="378" spans="8:20" ht="18" customHeight="1" x14ac:dyDescent="0.3">
      <c r="H378" s="2"/>
      <c r="T378" s="2"/>
    </row>
    <row r="379" spans="8:20" ht="18" customHeight="1" x14ac:dyDescent="0.3">
      <c r="H379" s="2"/>
      <c r="T379" s="2"/>
    </row>
    <row r="380" spans="8:20" ht="18" customHeight="1" x14ac:dyDescent="0.3">
      <c r="H380" s="2"/>
      <c r="T380" s="2"/>
    </row>
    <row r="381" spans="8:20" ht="18" customHeight="1" x14ac:dyDescent="0.3">
      <c r="H381" s="2"/>
      <c r="T381" s="2"/>
    </row>
    <row r="382" spans="8:20" ht="18" customHeight="1" x14ac:dyDescent="0.3">
      <c r="H382" s="2"/>
      <c r="T382" s="2"/>
    </row>
    <row r="383" spans="8:20" ht="18" customHeight="1" x14ac:dyDescent="0.3">
      <c r="H383" s="2"/>
      <c r="T383" s="2"/>
    </row>
    <row r="384" spans="8:20" ht="18" customHeight="1" x14ac:dyDescent="0.3">
      <c r="H384" s="2"/>
      <c r="T384" s="2"/>
    </row>
    <row r="385" spans="8:20" ht="18" customHeight="1" x14ac:dyDescent="0.3">
      <c r="H385" s="2"/>
      <c r="T385" s="2"/>
    </row>
    <row r="386" spans="8:20" ht="18" customHeight="1" x14ac:dyDescent="0.3">
      <c r="H386" s="2"/>
      <c r="T386" s="2"/>
    </row>
    <row r="387" spans="8:20" ht="18" customHeight="1" x14ac:dyDescent="0.3">
      <c r="H387" s="2"/>
      <c r="T387" s="2"/>
    </row>
    <row r="388" spans="8:20" ht="18" customHeight="1" x14ac:dyDescent="0.3">
      <c r="H388" s="2"/>
      <c r="T388" s="2"/>
    </row>
    <row r="389" spans="8:20" ht="18" customHeight="1" x14ac:dyDescent="0.3">
      <c r="H389" s="2"/>
      <c r="T389" s="2"/>
    </row>
    <row r="390" spans="8:20" ht="18" customHeight="1" x14ac:dyDescent="0.3">
      <c r="H390" s="2"/>
      <c r="T390" s="2"/>
    </row>
    <row r="391" spans="8:20" ht="18" customHeight="1" x14ac:dyDescent="0.3">
      <c r="H391" s="2"/>
      <c r="T391" s="2"/>
    </row>
    <row r="392" spans="8:20" ht="18" customHeight="1" x14ac:dyDescent="0.3">
      <c r="H392" s="2"/>
      <c r="T392" s="2"/>
    </row>
    <row r="393" spans="8:20" ht="18" customHeight="1" x14ac:dyDescent="0.3">
      <c r="H393" s="2"/>
      <c r="T393" s="2"/>
    </row>
    <row r="394" spans="8:20" ht="18" customHeight="1" x14ac:dyDescent="0.3">
      <c r="H394" s="2"/>
      <c r="T394" s="2"/>
    </row>
    <row r="395" spans="8:20" ht="18" customHeight="1" x14ac:dyDescent="0.3">
      <c r="H395" s="2"/>
      <c r="T395" s="2"/>
    </row>
    <row r="396" spans="8:20" ht="18" customHeight="1" x14ac:dyDescent="0.3">
      <c r="H396" s="2"/>
      <c r="T396" s="2"/>
    </row>
    <row r="397" spans="8:20" ht="18" customHeight="1" x14ac:dyDescent="0.3">
      <c r="H397" s="2"/>
      <c r="T397" s="2"/>
    </row>
    <row r="398" spans="8:20" ht="18" customHeight="1" x14ac:dyDescent="0.3">
      <c r="H398" s="2"/>
      <c r="T398" s="2"/>
    </row>
    <row r="399" spans="8:20" ht="18" customHeight="1" x14ac:dyDescent="0.3">
      <c r="H399" s="2"/>
      <c r="T399" s="2"/>
    </row>
    <row r="400" spans="8:20" ht="18" customHeight="1" x14ac:dyDescent="0.3">
      <c r="H400" s="2"/>
      <c r="T400" s="2"/>
    </row>
    <row r="401" spans="8:20" ht="18" customHeight="1" x14ac:dyDescent="0.3">
      <c r="H401" s="2"/>
      <c r="T401" s="2"/>
    </row>
    <row r="402" spans="8:20" ht="18" customHeight="1" x14ac:dyDescent="0.3">
      <c r="H402" s="2"/>
      <c r="T402" s="2"/>
    </row>
    <row r="403" spans="8:20" ht="18" customHeight="1" x14ac:dyDescent="0.3">
      <c r="H403" s="2"/>
      <c r="T403" s="2"/>
    </row>
    <row r="404" spans="8:20" ht="18" customHeight="1" x14ac:dyDescent="0.3">
      <c r="H404" s="2"/>
      <c r="T404" s="2"/>
    </row>
    <row r="405" spans="8:20" ht="18" customHeight="1" x14ac:dyDescent="0.3">
      <c r="H405" s="2"/>
      <c r="T405" s="2"/>
    </row>
    <row r="406" spans="8:20" ht="18" customHeight="1" x14ac:dyDescent="0.3">
      <c r="H406" s="2"/>
      <c r="T406" s="2"/>
    </row>
    <row r="407" spans="8:20" ht="18" customHeight="1" x14ac:dyDescent="0.3">
      <c r="H407" s="2"/>
      <c r="T407" s="2"/>
    </row>
    <row r="408" spans="8:20" ht="18" customHeight="1" x14ac:dyDescent="0.3">
      <c r="H408" s="2"/>
      <c r="T408" s="2"/>
    </row>
    <row r="409" spans="8:20" ht="18" customHeight="1" x14ac:dyDescent="0.3">
      <c r="H409" s="2"/>
      <c r="T409" s="2"/>
    </row>
    <row r="410" spans="8:20" ht="18" customHeight="1" x14ac:dyDescent="0.3">
      <c r="H410" s="2"/>
      <c r="T410" s="2"/>
    </row>
    <row r="411" spans="8:20" ht="18" customHeight="1" x14ac:dyDescent="0.3">
      <c r="H411" s="2"/>
      <c r="T411" s="2"/>
    </row>
    <row r="412" spans="8:20" ht="18" customHeight="1" x14ac:dyDescent="0.3">
      <c r="H412" s="2"/>
      <c r="T412" s="2"/>
    </row>
    <row r="413" spans="8:20" ht="18" customHeight="1" x14ac:dyDescent="0.3">
      <c r="H413" s="2"/>
      <c r="T413" s="2"/>
    </row>
    <row r="414" spans="8:20" ht="18" customHeight="1" x14ac:dyDescent="0.3">
      <c r="H414" s="2"/>
      <c r="T414" s="2"/>
    </row>
    <row r="415" spans="8:20" ht="18" customHeight="1" x14ac:dyDescent="0.3">
      <c r="H415" s="2"/>
      <c r="T415" s="2"/>
    </row>
    <row r="416" spans="8:20" ht="18" customHeight="1" x14ac:dyDescent="0.3">
      <c r="H416" s="2"/>
      <c r="T416" s="2"/>
    </row>
    <row r="417" spans="8:20" ht="18" customHeight="1" x14ac:dyDescent="0.3">
      <c r="H417" s="2"/>
      <c r="T417" s="2"/>
    </row>
    <row r="418" spans="8:20" ht="18" customHeight="1" x14ac:dyDescent="0.3">
      <c r="H418" s="2"/>
      <c r="T418" s="2"/>
    </row>
    <row r="419" spans="8:20" ht="18" customHeight="1" x14ac:dyDescent="0.3">
      <c r="H419" s="2"/>
      <c r="T419" s="2"/>
    </row>
    <row r="420" spans="8:20" ht="18" customHeight="1" x14ac:dyDescent="0.3">
      <c r="H420" s="2"/>
      <c r="T420" s="2"/>
    </row>
    <row r="421" spans="8:20" ht="18" customHeight="1" x14ac:dyDescent="0.3">
      <c r="H421" s="2"/>
      <c r="T421" s="2"/>
    </row>
    <row r="422" spans="8:20" ht="18" customHeight="1" x14ac:dyDescent="0.3">
      <c r="H422" s="2"/>
      <c r="T422" s="2"/>
    </row>
    <row r="423" spans="8:20" ht="18" customHeight="1" x14ac:dyDescent="0.3">
      <c r="H423" s="2"/>
      <c r="T423" s="2"/>
    </row>
    <row r="424" spans="8:20" ht="18" customHeight="1" x14ac:dyDescent="0.3">
      <c r="H424" s="2"/>
      <c r="T424" s="2"/>
    </row>
    <row r="425" spans="8:20" ht="18" customHeight="1" x14ac:dyDescent="0.3">
      <c r="H425" s="2"/>
      <c r="T425" s="2"/>
    </row>
    <row r="426" spans="8:20" ht="18" customHeight="1" x14ac:dyDescent="0.3">
      <c r="H426" s="2"/>
      <c r="T426" s="2"/>
    </row>
    <row r="427" spans="8:20" ht="18" customHeight="1" x14ac:dyDescent="0.3">
      <c r="H427" s="2"/>
      <c r="T427" s="2"/>
    </row>
    <row r="428" spans="8:20" ht="18" customHeight="1" x14ac:dyDescent="0.3">
      <c r="H428" s="2"/>
      <c r="T428" s="2"/>
    </row>
    <row r="429" spans="8:20" ht="18" customHeight="1" x14ac:dyDescent="0.3">
      <c r="H429" s="2"/>
      <c r="T429" s="2"/>
    </row>
    <row r="430" spans="8:20" ht="18" customHeight="1" x14ac:dyDescent="0.3">
      <c r="H430" s="2"/>
      <c r="T430" s="2"/>
    </row>
    <row r="431" spans="8:20" ht="18" customHeight="1" x14ac:dyDescent="0.3">
      <c r="H431" s="2"/>
      <c r="T431" s="2"/>
    </row>
    <row r="432" spans="8:20" ht="18" customHeight="1" x14ac:dyDescent="0.3">
      <c r="H432" s="2"/>
      <c r="T432" s="2"/>
    </row>
    <row r="433" spans="8:20" ht="18" customHeight="1" x14ac:dyDescent="0.3">
      <c r="H433" s="2"/>
      <c r="T433" s="2"/>
    </row>
    <row r="434" spans="8:20" ht="18" customHeight="1" x14ac:dyDescent="0.3">
      <c r="H434" s="2"/>
      <c r="T434" s="2"/>
    </row>
    <row r="435" spans="8:20" x14ac:dyDescent="0.3">
      <c r="H435" s="2"/>
      <c r="T435" s="2"/>
    </row>
    <row r="436" spans="8:20" x14ac:dyDescent="0.3">
      <c r="H436" s="2"/>
      <c r="T436" s="2"/>
    </row>
    <row r="437" spans="8:20" x14ac:dyDescent="0.3">
      <c r="H437" s="2"/>
      <c r="T437" s="2"/>
    </row>
    <row r="438" spans="8:20" x14ac:dyDescent="0.3">
      <c r="H438" s="2"/>
      <c r="T438" s="2"/>
    </row>
  </sheetData>
  <autoFilter ref="J10:O23">
    <sortState ref="J11:O23">
      <sortCondition descending="1" ref="K10:K23"/>
    </sortState>
  </autoFilter>
  <dataConsolidate>
    <dataRefs count="7">
      <dataRef ref="S56" sheet="1월"/>
      <dataRef ref="S56" sheet="2월"/>
      <dataRef ref="S56" sheet="3월"/>
      <dataRef ref="S56" sheet="4월"/>
      <dataRef ref="S56" sheet="5월"/>
      <dataRef ref="S56" sheet="6월"/>
      <dataRef ref="S56" sheet="7월"/>
    </dataRefs>
  </dataConsolidate>
  <mergeCells count="49">
    <mergeCell ref="F33:G33"/>
    <mergeCell ref="U33:V33"/>
    <mergeCell ref="B1:V3"/>
    <mergeCell ref="B30:H30"/>
    <mergeCell ref="B9:H9"/>
    <mergeCell ref="B12:B13"/>
    <mergeCell ref="C12:C13"/>
    <mergeCell ref="D12:D13"/>
    <mergeCell ref="E12:E13"/>
    <mergeCell ref="F12:F13"/>
    <mergeCell ref="G12:G13"/>
    <mergeCell ref="H12:H13"/>
    <mergeCell ref="B15:B16"/>
    <mergeCell ref="H15:H16"/>
    <mergeCell ref="B18:B19"/>
    <mergeCell ref="C18:C19"/>
    <mergeCell ref="D18:D19"/>
    <mergeCell ref="H18:H19"/>
    <mergeCell ref="C15:C16"/>
    <mergeCell ref="D15:D16"/>
    <mergeCell ref="E15:E16"/>
    <mergeCell ref="F15:F16"/>
    <mergeCell ref="G15:G16"/>
    <mergeCell ref="G24:G25"/>
    <mergeCell ref="H24:H25"/>
    <mergeCell ref="E18:E19"/>
    <mergeCell ref="B21:B22"/>
    <mergeCell ref="C21:C22"/>
    <mergeCell ref="D21:D22"/>
    <mergeCell ref="E21:E22"/>
    <mergeCell ref="F21:F22"/>
    <mergeCell ref="B24:B25"/>
    <mergeCell ref="C24:C25"/>
    <mergeCell ref="D24:D25"/>
    <mergeCell ref="E24:E25"/>
    <mergeCell ref="F24:F25"/>
    <mergeCell ref="F18:F19"/>
    <mergeCell ref="G18:G19"/>
    <mergeCell ref="J9:V9"/>
    <mergeCell ref="B27:B28"/>
    <mergeCell ref="C27:C28"/>
    <mergeCell ref="D27:D28"/>
    <mergeCell ref="E27:E28"/>
    <mergeCell ref="F27:F28"/>
    <mergeCell ref="G27:G28"/>
    <mergeCell ref="H27:H28"/>
    <mergeCell ref="J30:V30"/>
    <mergeCell ref="G21:G22"/>
    <mergeCell ref="H21:H22"/>
  </mergeCells>
  <phoneticPr fontId="3" type="noConversion"/>
  <conditionalFormatting sqref="B11:H11 B14:H14 B17:H17 B20:H20 B23:H23 B26:H26">
    <cfRule type="expression" dxfId="86" priority="5">
      <formula>MONTH(B11)&lt;&gt;$A$2</formula>
    </cfRule>
  </conditionalFormatting>
  <conditionalFormatting sqref="B11:H28">
    <cfRule type="expression" dxfId="85" priority="4">
      <formula>B11="무지출"</formula>
    </cfRule>
  </conditionalFormatting>
  <conditionalFormatting sqref="U58:U78 U81:U84 U106:U165">
    <cfRule type="expression" dxfId="84" priority="8">
      <formula>$U58&lt;0</formula>
    </cfRule>
  </conditionalFormatting>
  <conditionalFormatting sqref="U86:U104">
    <cfRule type="expression" dxfId="83" priority="3">
      <formula>$U86&lt;0</formula>
    </cfRule>
  </conditionalFormatting>
  <conditionalFormatting sqref="U85">
    <cfRule type="expression" dxfId="82" priority="2">
      <formula>$U85&lt;0</formula>
    </cfRule>
  </conditionalFormatting>
  <conditionalFormatting sqref="U105">
    <cfRule type="expression" dxfId="81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C58:C77 C34:C53 K34:K53 K58:K77 K81:K165">
      <formula1>_10_대상분류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ignoredErrors>
    <ignoredError sqref="U106:U108" evalError="1"/>
  </ignoredError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/>
    <pageSetUpPr autoPageBreaks="0" fitToPage="1"/>
  </sheetPr>
  <dimension ref="A1:AB433"/>
  <sheetViews>
    <sheetView showGridLines="0" topLeftCell="A115" zoomScale="90" zoomScaleNormal="90" zoomScalePageLayoutView="10" workbookViewId="0">
      <selection activeCell="Q5" sqref="Q5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21" width="11.125" style="1" customWidth="1"/>
    <col min="22" max="22" width="23.625" style="1" customWidth="1"/>
    <col min="23" max="23" width="4.75" style="1" customWidth="1"/>
    <col min="24" max="16384" width="8.875" style="1"/>
  </cols>
  <sheetData>
    <row r="1" spans="1:28" ht="16.5" customHeight="1" x14ac:dyDescent="0.3">
      <c r="A1" s="407">
        <f>메인!$R$3</f>
        <v>2025</v>
      </c>
      <c r="B1" s="541" t="s">
        <v>131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1"/>
      <c r="V1" s="541"/>
      <c r="W1" s="54"/>
    </row>
    <row r="2" spans="1:28" ht="16.5" customHeight="1" x14ac:dyDescent="0.3">
      <c r="A2" s="408">
        <f>메인!$F$11</f>
        <v>2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"/>
    </row>
    <row r="3" spans="1:28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5"/>
    </row>
    <row r="4" spans="1:28" ht="17.45" customHeight="1" x14ac:dyDescent="0.3"/>
    <row r="5" spans="1:28" ht="19.899999999999999" customHeight="1" x14ac:dyDescent="0.3">
      <c r="B5" s="56" t="s">
        <v>64</v>
      </c>
      <c r="C5" s="59">
        <f>SUM($C$32+$C$56)</f>
        <v>15000</v>
      </c>
      <c r="F5" s="363"/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78"/>
      <c r="Q5" s="516" t="s">
        <v>88</v>
      </c>
      <c r="R5" s="78"/>
      <c r="S5" s="47"/>
      <c r="T5" s="38"/>
      <c r="U5" s="38"/>
      <c r="V5" s="38"/>
      <c r="X5" s="115"/>
      <c r="Y5" s="116"/>
      <c r="AA5" s="117"/>
      <c r="AB5" s="118"/>
    </row>
    <row r="6" spans="1:28" ht="19.899999999999999" customHeight="1" x14ac:dyDescent="0.3">
      <c r="B6" s="56" t="s">
        <v>65</v>
      </c>
      <c r="C6" s="75">
        <f>SUM($K$32+$L$56)</f>
        <v>2625100</v>
      </c>
      <c r="F6" s="363"/>
      <c r="G6" s="363"/>
      <c r="H6" s="97"/>
      <c r="J6" s="350"/>
      <c r="K6" s="394"/>
      <c r="L6" s="394"/>
      <c r="M6" s="394"/>
      <c r="N6" s="394"/>
      <c r="O6" s="394"/>
      <c r="P6" s="394"/>
      <c r="Q6" s="352"/>
      <c r="R6" s="352"/>
      <c r="S6" s="394"/>
      <c r="T6" s="394"/>
      <c r="U6" s="394"/>
      <c r="V6" s="394"/>
      <c r="X6" s="115"/>
      <c r="Y6" s="116"/>
      <c r="AA6" s="117"/>
      <c r="AB6" s="119"/>
    </row>
    <row r="7" spans="1:28" ht="19.899999999999999" customHeight="1" x14ac:dyDescent="0.3">
      <c r="B7" s="62" t="s">
        <v>43</v>
      </c>
      <c r="C7" s="57">
        <f>$C$5-$C$6</f>
        <v>-2610100</v>
      </c>
      <c r="J7" s="351"/>
      <c r="K7" s="395"/>
      <c r="L7" s="395"/>
      <c r="M7" s="395"/>
      <c r="N7" s="395"/>
      <c r="O7" s="395"/>
      <c r="P7" s="395"/>
      <c r="Q7" s="353"/>
      <c r="R7" s="353"/>
      <c r="S7" s="395"/>
      <c r="T7" s="395"/>
      <c r="U7" s="395"/>
      <c r="V7" s="395"/>
      <c r="X7" s="62"/>
      <c r="Y7" s="120"/>
      <c r="AA7" s="117"/>
    </row>
    <row r="8" spans="1:28" ht="19.899999999999999" customHeight="1" x14ac:dyDescent="0.3">
      <c r="G8" s="412" t="s">
        <v>257</v>
      </c>
      <c r="H8" s="413">
        <f ca="1">COUNTIF(B10:H28,"무지출")</f>
        <v>28</v>
      </c>
      <c r="AA8" s="121"/>
    </row>
    <row r="9" spans="1:28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U9" s="531"/>
      <c r="V9" s="531"/>
      <c r="W9" s="88"/>
      <c r="AA9" s="121"/>
    </row>
    <row r="10" spans="1:28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587"/>
      <c r="Q10" s="587"/>
      <c r="R10" s="47"/>
      <c r="AA10" s="121"/>
    </row>
    <row r="11" spans="1:28" ht="19.899999999999999" customHeight="1" x14ac:dyDescent="0.3">
      <c r="B11" s="404">
        <f>DATE($A$1,$A$2,1)-WEEKDAY(DATE($A$1,$A$2,1))+1</f>
        <v>45683</v>
      </c>
      <c r="C11" s="405">
        <f>B11+1</f>
        <v>45684</v>
      </c>
      <c r="D11" s="405">
        <f t="shared" ref="D11:H11" si="0">C11+1</f>
        <v>45685</v>
      </c>
      <c r="E11" s="405">
        <f t="shared" si="0"/>
        <v>45686</v>
      </c>
      <c r="F11" s="405">
        <f t="shared" si="0"/>
        <v>45687</v>
      </c>
      <c r="G11" s="405">
        <f t="shared" si="0"/>
        <v>45688</v>
      </c>
      <c r="H11" s="406">
        <f t="shared" si="0"/>
        <v>45689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VLOOKUP(J11,예산!$B$41:$N$53,3,FALSE)</f>
        <v>0</v>
      </c>
      <c r="M11" s="428">
        <f t="shared" ref="M11:M23" si="1">L11-K11</f>
        <v>0</v>
      </c>
      <c r="N11" s="437">
        <f>VLOOKUP(J11,'1월'!$J$10:$K$23,2,FALSE)</f>
        <v>0</v>
      </c>
      <c r="O11" s="439">
        <f>K11-N11</f>
        <v>0</v>
      </c>
      <c r="P11" s="598"/>
      <c r="Q11" s="598"/>
      <c r="R11" s="3"/>
      <c r="AA11" s="121"/>
    </row>
    <row r="12" spans="1:28" ht="19.899999999999999" customHeight="1" x14ac:dyDescent="0.3">
      <c r="B12" s="532" t="str">
        <f ca="1">IF(MONTH(B11)&lt;&gt;$A$2,"",IF(AND(SUMIF($J$81:$J$145,B11,$T$81:$T$145)=0,B11&lt;TODAY()),"무지출",SUMIF($J$81:$J$145,B11,$T$81:$T$145)))</f>
        <v/>
      </c>
      <c r="C12" s="533" t="str">
        <f ca="1">IF(MONTH(C11)&lt;&gt;$A$2,"",IF(AND(SUMIF($J$81:$J$145,C11,$T$81:$T$145)=0,C11&lt;TODAY()),"무지출",SUMIF($J$81:$J$145,C11,$T$81:$T$145)))</f>
        <v/>
      </c>
      <c r="D12" s="533" t="str">
        <f ca="1">IF(MONTH(D11)&lt;&gt;$A$2,"",IF(AND(SUMIF($J$81:$J$145,D11,$T$81:$T$145)=0,D11&lt;TODAY()),"무지출",SUMIF($J$81:$J$145,D11,$T$81:$T$145)))</f>
        <v/>
      </c>
      <c r="E12" s="533" t="str">
        <f ca="1">IF(MONTH(E11)&lt;&gt;$A$2,"",IF(AND(SUMIF($J$81:$J$145,E11,$T$81:$T$145)=0,E11&lt;TODAY()),"무지출",SUMIF($J$81:$J$145,E11,$T$81:$T$145)))</f>
        <v/>
      </c>
      <c r="F12" s="533" t="str">
        <f ca="1">IF(MONTH(F11)&lt;&gt;$A$2,"",IF(AND(SUMIF($J$81:$J$145,F11,$T$81:$T$145)=0,F11&lt;TODAY()),"무지출",SUMIF($J$81:$J$145,F11,$T$81:$T$145)))</f>
        <v/>
      </c>
      <c r="G12" s="533" t="str">
        <f ca="1">IF(MONTH(G11)&lt;&gt;$A$2,"",IF(AND(SUMIF($J$81:$J$145,G11,$T$81:$T$145)=0,G11&lt;TODAY()),"무지출",SUMIF($J$81:$J$145,G11,$T$81:$T$145)))</f>
        <v/>
      </c>
      <c r="H12" s="534" t="str">
        <f ca="1">IF(MONTH(H11)&lt;&gt;$A$2,"",IF(AND(SUMIF($J$81:$J$145,H11,$T$81:$T$145)=0,H11&lt;TODAY()),"무지출",SUMIF($J$81:$J$145,H11,$T$81:$T$145)))</f>
        <v>무지출</v>
      </c>
      <c r="J12" s="369" t="str">
        <f>항목!F$3</f>
        <v>주거비</v>
      </c>
      <c r="K12" s="426">
        <f t="shared" ref="K12:K23" si="2">SUMIF($N$58:$N$165,J12,$T$58:$T$165)</f>
        <v>212000</v>
      </c>
      <c r="L12" s="426">
        <f>VLOOKUP(J12,예산!$B$41:$N$53,3,FALSE)</f>
        <v>0</v>
      </c>
      <c r="M12" s="428">
        <f t="shared" si="1"/>
        <v>-212000</v>
      </c>
      <c r="N12" s="437">
        <f>VLOOKUP(J12,'1월'!$J$10:$K$23,2,FALSE)</f>
        <v>212000</v>
      </c>
      <c r="O12" s="439">
        <f t="shared" ref="O12:O23" si="3">K12-N12</f>
        <v>0</v>
      </c>
      <c r="P12" s="598"/>
      <c r="Q12" s="598"/>
      <c r="R12" s="3"/>
      <c r="AA12" s="121"/>
    </row>
    <row r="13" spans="1:28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2"/>
        <v>0</v>
      </c>
      <c r="L13" s="426">
        <f>VLOOKUP(J13,예산!$B$41:$N$53,3,FALSE)</f>
        <v>0</v>
      </c>
      <c r="M13" s="428">
        <f t="shared" si="1"/>
        <v>0</v>
      </c>
      <c r="N13" s="437">
        <f>VLOOKUP(J13,'1월'!$J$10:$K$23,2,FALSE)</f>
        <v>0</v>
      </c>
      <c r="O13" s="439">
        <f t="shared" si="3"/>
        <v>0</v>
      </c>
      <c r="P13" s="598"/>
      <c r="Q13" s="598"/>
      <c r="R13" s="3"/>
      <c r="AA13" s="121"/>
    </row>
    <row r="14" spans="1:28" ht="19.899999999999999" customHeight="1" x14ac:dyDescent="0.3">
      <c r="B14" s="404">
        <f>B11+7</f>
        <v>45690</v>
      </c>
      <c r="C14" s="405">
        <f t="shared" ref="C14:H14" si="4">C11+7</f>
        <v>45691</v>
      </c>
      <c r="D14" s="405">
        <f t="shared" si="4"/>
        <v>45692</v>
      </c>
      <c r="E14" s="405">
        <f t="shared" si="4"/>
        <v>45693</v>
      </c>
      <c r="F14" s="405">
        <f t="shared" si="4"/>
        <v>45694</v>
      </c>
      <c r="G14" s="405">
        <f t="shared" si="4"/>
        <v>45695</v>
      </c>
      <c r="H14" s="406">
        <f t="shared" si="4"/>
        <v>45696</v>
      </c>
      <c r="J14" s="369" t="str">
        <f>항목!H$3</f>
        <v>반려동물비</v>
      </c>
      <c r="K14" s="426">
        <f t="shared" si="2"/>
        <v>0</v>
      </c>
      <c r="L14" s="426">
        <f>VLOOKUP(J14,예산!$B$41:$N$53,3,FALSE)</f>
        <v>0</v>
      </c>
      <c r="M14" s="428">
        <f t="shared" si="1"/>
        <v>0</v>
      </c>
      <c r="N14" s="437">
        <f>VLOOKUP(J14,'1월'!$J$10:$K$23,2,FALSE)</f>
        <v>0</v>
      </c>
      <c r="O14" s="439">
        <f t="shared" si="3"/>
        <v>0</v>
      </c>
      <c r="P14" s="598"/>
      <c r="Q14" s="598"/>
      <c r="R14" s="3"/>
      <c r="AA14" s="121"/>
    </row>
    <row r="15" spans="1:28" ht="19.899999999999999" customHeight="1" x14ac:dyDescent="0.3">
      <c r="B15" s="532" t="str">
        <f ca="1">IF(MONTH(B14)&lt;&gt;$A$2,"",IF(AND(SUMIF($J$81:$J$145,B14,$T$81:$T$145)=0,B14&lt;TODAY()),"무지출",SUMIF($J$81:$J$145,B14,$T$81:$T$145)))</f>
        <v>무지출</v>
      </c>
      <c r="C15" s="533" t="str">
        <f ca="1">IF(MONTH(C14)&lt;&gt;$A$2,"",IF(AND(SUMIF($J$81:$J$145,C14,$T$81:$T$145)=0,C14&lt;TODAY()),"무지출",SUMIF($J$81:$J$145,C14,$T$81:$T$145)))</f>
        <v>무지출</v>
      </c>
      <c r="D15" s="533" t="str">
        <f ca="1">IF(MONTH(D14)&lt;&gt;$A$2,"",IF(AND(SUMIF($J$81:$J$145,D14,$T$81:$T$145)=0,D14&lt;TODAY()),"무지출",SUMIF($J$81:$J$145,D14,$T$81:$T$145)))</f>
        <v>무지출</v>
      </c>
      <c r="E15" s="533" t="str">
        <f ca="1">IF(MONTH(E14)&lt;&gt;$A$2,"",IF(AND(SUMIF($J$81:$J$145,E14,$T$81:$T$145)=0,E14&lt;TODAY()),"무지출",SUMIF($J$81:$J$145,E14,$T$81:$T$145)))</f>
        <v>무지출</v>
      </c>
      <c r="F15" s="533" t="str">
        <f ca="1">IF(MONTH(F14)&lt;&gt;$A$2,"",IF(AND(SUMIF($J$81:$J$145,F14,$T$81:$T$145)=0,F14&lt;TODAY()),"무지출",SUMIF($J$81:$J$145,F14,$T$81:$T$145)))</f>
        <v>무지출</v>
      </c>
      <c r="G15" s="533" t="str">
        <f ca="1">IF(MONTH(G14)&lt;&gt;$A$2,"",IF(AND(SUMIF($J$81:$J$145,G14,$T$81:$T$145)=0,G14&lt;TODAY()),"무지출",SUMIF($J$81:$J$145,G14,$T$81:$T$145)))</f>
        <v>무지출</v>
      </c>
      <c r="H15" s="534" t="str">
        <f ca="1">IF(MONTH(H14)&lt;&gt;$A$2,"",IF(AND(SUMIF($J$81:$J$145,H14,$T$81:$T$145)=0,H14&lt;TODAY()),"무지출",SUMIF($J$81:$J$145,H14,$T$81:$T$145)))</f>
        <v>무지출</v>
      </c>
      <c r="J15" s="369" t="str">
        <f>항목!I$3</f>
        <v>의류미용비</v>
      </c>
      <c r="K15" s="426">
        <f t="shared" si="2"/>
        <v>0</v>
      </c>
      <c r="L15" s="426">
        <f>VLOOKUP(J15,예산!$B$41:$N$53,3,FALSE)</f>
        <v>0</v>
      </c>
      <c r="M15" s="428">
        <f t="shared" si="1"/>
        <v>0</v>
      </c>
      <c r="N15" s="437">
        <f>VLOOKUP(J15,'1월'!$J$10:$K$23,2,FALSE)</f>
        <v>0</v>
      </c>
      <c r="O15" s="439">
        <f t="shared" si="3"/>
        <v>0</v>
      </c>
      <c r="P15" s="598"/>
      <c r="Q15" s="598"/>
      <c r="R15" s="3"/>
      <c r="AA15" s="121"/>
    </row>
    <row r="16" spans="1:28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2"/>
        <v>0</v>
      </c>
      <c r="L16" s="426">
        <f>VLOOKUP(J16,예산!$B$41:$N$53,3,FALSE)</f>
        <v>0</v>
      </c>
      <c r="M16" s="428">
        <f t="shared" si="1"/>
        <v>0</v>
      </c>
      <c r="N16" s="437">
        <f>VLOOKUP(J16,'1월'!$J$10:$K$23,2,FALSE)</f>
        <v>0</v>
      </c>
      <c r="O16" s="439">
        <f t="shared" si="3"/>
        <v>0</v>
      </c>
      <c r="P16" s="598"/>
      <c r="Q16" s="598"/>
      <c r="R16" s="3"/>
      <c r="AA16" s="121"/>
    </row>
    <row r="17" spans="2:27" ht="19.899999999999999" customHeight="1" x14ac:dyDescent="0.3">
      <c r="B17" s="404">
        <f>B11+14</f>
        <v>45697</v>
      </c>
      <c r="C17" s="405">
        <f t="shared" ref="C17:H17" si="5">C11+14</f>
        <v>45698</v>
      </c>
      <c r="D17" s="405">
        <f t="shared" si="5"/>
        <v>45699</v>
      </c>
      <c r="E17" s="405">
        <f t="shared" si="5"/>
        <v>45700</v>
      </c>
      <c r="F17" s="405">
        <f t="shared" si="5"/>
        <v>45701</v>
      </c>
      <c r="G17" s="405">
        <f t="shared" si="5"/>
        <v>45702</v>
      </c>
      <c r="H17" s="406">
        <f t="shared" si="5"/>
        <v>45703</v>
      </c>
      <c r="J17" s="369" t="str">
        <f>항목!K$3</f>
        <v>문화생활비</v>
      </c>
      <c r="K17" s="426">
        <f t="shared" si="2"/>
        <v>63100</v>
      </c>
      <c r="L17" s="426">
        <f>VLOOKUP(J17,예산!$B$41:$N$53,3,FALSE)</f>
        <v>0</v>
      </c>
      <c r="M17" s="428">
        <f t="shared" si="1"/>
        <v>-63100</v>
      </c>
      <c r="N17" s="437">
        <f>VLOOKUP(J17,'1월'!$J$10:$K$23,2,FALSE)</f>
        <v>63100</v>
      </c>
      <c r="O17" s="439">
        <f t="shared" si="3"/>
        <v>0</v>
      </c>
      <c r="P17" s="598"/>
      <c r="Q17" s="598"/>
      <c r="R17" s="3"/>
      <c r="AA17" s="121"/>
    </row>
    <row r="18" spans="2:27" ht="19.899999999999999" customHeight="1" x14ac:dyDescent="0.3">
      <c r="B18" s="532" t="str">
        <f ca="1">IF(MONTH(B17)&lt;&gt;$A$2,"",IF(AND(SUMIF($J$81:$J$145,B17,$T$81:$T$145)=0,B17&lt;TODAY()),"무지출",SUMIF($J$81:$J$145,B17,$T$81:$T$145)))</f>
        <v>무지출</v>
      </c>
      <c r="C18" s="533" t="str">
        <f ca="1">IF(MONTH(C17)&lt;&gt;$A$2,"",IF(AND(SUMIF($J$81:$J$145,C17,$T$81:$T$145)=0,C17&lt;TODAY()),"무지출",SUMIF($J$81:$J$145,C17,$T$81:$T$145)))</f>
        <v>무지출</v>
      </c>
      <c r="D18" s="533" t="str">
        <f ca="1">IF(MONTH(D17)&lt;&gt;$A$2,"",IF(AND(SUMIF($J$81:$J$145,D17,$T$81:$T$145)=0,D17&lt;TODAY()),"무지출",SUMIF($J$81:$J$145,D17,$T$81:$T$145)))</f>
        <v>무지출</v>
      </c>
      <c r="E18" s="533" t="str">
        <f ca="1">IF(MONTH(E17)&lt;&gt;$A$2,"",IF(AND(SUMIF($J$81:$J$145,E17,$T$81:$T$145)=0,E17&lt;TODAY()),"무지출",SUMIF($J$81:$J$145,E17,$T$81:$T$145)))</f>
        <v>무지출</v>
      </c>
      <c r="F18" s="533" t="str">
        <f ca="1">IF(MONTH(F17)&lt;&gt;$A$2,"",IF(AND(SUMIF($J$81:$J$145,F17,$T$81:$T$145)=0,F17&lt;TODAY()),"무지출",SUMIF($J$81:$J$145,F17,$T$81:$T$145)))</f>
        <v>무지출</v>
      </c>
      <c r="G18" s="533" t="str">
        <f ca="1">IF(MONTH(G17)&lt;&gt;$A$2,"",IF(AND(SUMIF($J$81:$J$145,G17,$T$81:$T$145)=0,G17&lt;TODAY()),"무지출",SUMIF($J$81:$J$145,G17,$T$81:$T$145)))</f>
        <v>무지출</v>
      </c>
      <c r="H18" s="534" t="str">
        <f ca="1">IF(MONTH(H17)&lt;&gt;$A$2,"",IF(AND(SUMIF($J$81:$J$145,H17,$T$81:$T$145)=0,H17&lt;TODAY()),"무지출",SUMIF($J$81:$J$145,H17,$T$81:$T$145)))</f>
        <v>무지출</v>
      </c>
      <c r="J18" s="369" t="str">
        <f>항목!L$3</f>
        <v>의료비</v>
      </c>
      <c r="K18" s="426">
        <f t="shared" si="2"/>
        <v>0</v>
      </c>
      <c r="L18" s="426">
        <f>VLOOKUP(J18,예산!$B$41:$N$53,3,FALSE)</f>
        <v>0</v>
      </c>
      <c r="M18" s="428">
        <f t="shared" si="1"/>
        <v>0</v>
      </c>
      <c r="N18" s="437">
        <f>VLOOKUP(J18,'1월'!$J$10:$K$23,2,FALSE)</f>
        <v>0</v>
      </c>
      <c r="O18" s="439">
        <f t="shared" si="3"/>
        <v>0</v>
      </c>
      <c r="P18" s="598"/>
      <c r="Q18" s="598"/>
      <c r="R18" s="3"/>
      <c r="AA18" s="121"/>
    </row>
    <row r="19" spans="2:27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2"/>
        <v>0</v>
      </c>
      <c r="L19" s="426">
        <f>VLOOKUP(J19,예산!$B$41:$N$53,3,FALSE)</f>
        <v>0</v>
      </c>
      <c r="M19" s="428">
        <f t="shared" si="1"/>
        <v>0</v>
      </c>
      <c r="N19" s="437">
        <f>VLOOKUP(J19,'1월'!$J$10:$K$23,2,FALSE)</f>
        <v>0</v>
      </c>
      <c r="O19" s="439">
        <f t="shared" si="3"/>
        <v>0</v>
      </c>
      <c r="P19" s="598"/>
      <c r="Q19" s="598"/>
      <c r="R19" s="3"/>
      <c r="AA19" s="121"/>
    </row>
    <row r="20" spans="2:27" ht="19.899999999999999" customHeight="1" x14ac:dyDescent="0.3">
      <c r="B20" s="404">
        <f>B11+21</f>
        <v>45704</v>
      </c>
      <c r="C20" s="405">
        <f t="shared" ref="C20:H20" si="6">C11+21</f>
        <v>45705</v>
      </c>
      <c r="D20" s="405">
        <f t="shared" si="6"/>
        <v>45706</v>
      </c>
      <c r="E20" s="405">
        <f t="shared" si="6"/>
        <v>45707</v>
      </c>
      <c r="F20" s="405">
        <f t="shared" si="6"/>
        <v>45708</v>
      </c>
      <c r="G20" s="405">
        <f t="shared" si="6"/>
        <v>45709</v>
      </c>
      <c r="H20" s="406">
        <f t="shared" si="6"/>
        <v>45710</v>
      </c>
      <c r="J20" s="369" t="str">
        <f>항목!N$3</f>
        <v>통신비</v>
      </c>
      <c r="K20" s="426">
        <f t="shared" si="2"/>
        <v>0</v>
      </c>
      <c r="L20" s="426">
        <f>VLOOKUP(J20,예산!$B$41:$N$53,3,FALSE)</f>
        <v>0</v>
      </c>
      <c r="M20" s="428">
        <f t="shared" si="1"/>
        <v>0</v>
      </c>
      <c r="N20" s="437">
        <f>VLOOKUP(J20,'1월'!$J$10:$K$23,2,FALSE)</f>
        <v>0</v>
      </c>
      <c r="O20" s="439">
        <f t="shared" si="3"/>
        <v>0</v>
      </c>
      <c r="P20" s="598"/>
      <c r="Q20" s="598"/>
      <c r="R20" s="3"/>
      <c r="AA20" s="121"/>
    </row>
    <row r="21" spans="2:27" ht="19.899999999999999" customHeight="1" x14ac:dyDescent="0.3">
      <c r="B21" s="532" t="str">
        <f ca="1">IF(MONTH(B20)&lt;&gt;$A$2,"",IF(AND(SUMIF($J$81:$J$145,B20,$T$81:$T$145)=0,B20&lt;TODAY()),"무지출",SUMIF($J$81:$J$145,B20,$T$81:$T$145)))</f>
        <v>무지출</v>
      </c>
      <c r="C21" s="533" t="str">
        <f ca="1">IF(MONTH(C20)&lt;&gt;$A$2,"",IF(AND(SUMIF($J$81:$J$145,C20,$T$81:$T$145)=0,C20&lt;TODAY()),"무지출",SUMIF($J$81:$J$145,C20,$T$81:$T$145)))</f>
        <v>무지출</v>
      </c>
      <c r="D21" s="533" t="str">
        <f ca="1">IF(MONTH(D20)&lt;&gt;$A$2,"",IF(AND(SUMIF($J$81:$J$145,D20,$T$81:$T$145)=0,D20&lt;TODAY()),"무지출",SUMIF($J$81:$J$145,D20,$T$81:$T$145)))</f>
        <v>무지출</v>
      </c>
      <c r="E21" s="533" t="str">
        <f ca="1">IF(MONTH(E20)&lt;&gt;$A$2,"",IF(AND(SUMIF($J$81:$J$145,E20,$T$81:$T$145)=0,E20&lt;TODAY()),"무지출",SUMIF($J$81:$J$145,E20,$T$81:$T$145)))</f>
        <v>무지출</v>
      </c>
      <c r="F21" s="533" t="str">
        <f ca="1">IF(MONTH(F20)&lt;&gt;$A$2,"",IF(AND(SUMIF($J$81:$J$145,F20,$T$81:$T$145)=0,F20&lt;TODAY()),"무지출",SUMIF($J$81:$J$145,F20,$T$81:$T$145)))</f>
        <v>무지출</v>
      </c>
      <c r="G21" s="533" t="str">
        <f ca="1">IF(MONTH(G20)&lt;&gt;$A$2,"",IF(AND(SUMIF($J$81:$J$145,G20,$T$81:$T$145)=0,G20&lt;TODAY()),"무지출",SUMIF($J$81:$J$145,G20,$T$81:$T$145)))</f>
        <v>무지출</v>
      </c>
      <c r="H21" s="534" t="str">
        <f ca="1">IF(MONTH(H20)&lt;&gt;$A$2,"",IF(AND(SUMIF($J$81:$J$145,H20,$T$81:$T$145)=0,H20&lt;TODAY()),"무지출",SUMIF($J$81:$J$145,H20,$T$81:$T$145)))</f>
        <v>무지출</v>
      </c>
      <c r="J21" s="369" t="str">
        <f>항목!O$3</f>
        <v>경조사회비</v>
      </c>
      <c r="K21" s="426">
        <f t="shared" si="2"/>
        <v>0</v>
      </c>
      <c r="L21" s="426">
        <f>VLOOKUP(J21,예산!$B$41:$N$53,3,FALSE)</f>
        <v>0</v>
      </c>
      <c r="M21" s="428">
        <f t="shared" si="1"/>
        <v>0</v>
      </c>
      <c r="N21" s="437">
        <f>VLOOKUP(J21,'1월'!$J$10:$K$23,2,FALSE)</f>
        <v>0</v>
      </c>
      <c r="O21" s="439">
        <f t="shared" si="3"/>
        <v>0</v>
      </c>
      <c r="P21" s="598"/>
      <c r="Q21" s="598"/>
      <c r="R21" s="3"/>
      <c r="AA21" s="121"/>
    </row>
    <row r="22" spans="2:27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2"/>
        <v>0</v>
      </c>
      <c r="L22" s="426">
        <f>VLOOKUP(J22,예산!$B$41:$N$53,3,FALSE)</f>
        <v>0</v>
      </c>
      <c r="M22" s="428">
        <f t="shared" si="1"/>
        <v>0</v>
      </c>
      <c r="N22" s="437">
        <f>VLOOKUP(J22,'1월'!$J$10:$K$23,2,FALSE)</f>
        <v>0</v>
      </c>
      <c r="O22" s="439">
        <f t="shared" si="3"/>
        <v>0</v>
      </c>
      <c r="P22" s="598"/>
      <c r="Q22" s="598"/>
      <c r="R22" s="3"/>
      <c r="AA22" s="121"/>
    </row>
    <row r="23" spans="2:27" ht="19.899999999999999" customHeight="1" x14ac:dyDescent="0.3">
      <c r="B23" s="404">
        <f>B11+28</f>
        <v>45711</v>
      </c>
      <c r="C23" s="405">
        <f t="shared" ref="C23:H23" si="7">C11+28</f>
        <v>45712</v>
      </c>
      <c r="D23" s="405">
        <f t="shared" si="7"/>
        <v>45713</v>
      </c>
      <c r="E23" s="405">
        <f t="shared" si="7"/>
        <v>45714</v>
      </c>
      <c r="F23" s="405">
        <f t="shared" si="7"/>
        <v>45715</v>
      </c>
      <c r="G23" s="405">
        <f t="shared" si="7"/>
        <v>45716</v>
      </c>
      <c r="H23" s="406">
        <f t="shared" si="7"/>
        <v>45717</v>
      </c>
      <c r="J23" s="332" t="str">
        <f>항목!Q$3</f>
        <v>추가항목</v>
      </c>
      <c r="K23" s="426">
        <f t="shared" si="2"/>
        <v>0</v>
      </c>
      <c r="L23" s="427">
        <f>VLOOKUP(J23,예산!$B$41:$N$53,3,FALSE)</f>
        <v>0</v>
      </c>
      <c r="M23" s="429">
        <f t="shared" si="1"/>
        <v>0</v>
      </c>
      <c r="N23" s="438">
        <f>VLOOKUP(J23,'1월'!$J$10:$K$23,2,FALSE)</f>
        <v>0</v>
      </c>
      <c r="O23" s="440">
        <f t="shared" si="3"/>
        <v>0</v>
      </c>
      <c r="P23" s="598"/>
      <c r="Q23" s="598"/>
      <c r="R23" s="3"/>
      <c r="AA23" s="121"/>
    </row>
    <row r="24" spans="2:27" ht="19.899999999999999" customHeight="1" x14ac:dyDescent="0.3">
      <c r="B24" s="532" t="str">
        <f ca="1">IF(MONTH(B23)&lt;&gt;$A$2,"",IF(AND(SUMIF($J$81:$J$145,B23,$T$81:$T$145)=0,B23&lt;TODAY()),"무지출",SUMIF($J$81:$J$145,B23,$T$81:$T$145)))</f>
        <v>무지출</v>
      </c>
      <c r="C24" s="533" t="str">
        <f ca="1">IF(MONTH(C23)&lt;&gt;$A$2,"",IF(AND(SUMIF($J$81:$J$145,C23,$T$81:$T$145)=0,C23&lt;TODAY()),"무지출",SUMIF($J$81:$J$145,C23,$T$81:$T$145)))</f>
        <v>무지출</v>
      </c>
      <c r="D24" s="533" t="str">
        <f ca="1">IF(MONTH(D23)&lt;&gt;$A$2,"",IF(AND(SUMIF($J$81:$J$145,D23,$T$81:$T$145)=0,D23&lt;TODAY()),"무지출",SUMIF($J$81:$J$145,D23,$T$81:$T$145)))</f>
        <v>무지출</v>
      </c>
      <c r="E24" s="533" t="str">
        <f ca="1">IF(MONTH(E23)&lt;&gt;$A$2,"",IF(AND(SUMIF($J$81:$J$145,E23,$T$81:$T$145)=0,E23&lt;TODAY()),"무지출",SUMIF($J$81:$J$145,E23,$T$81:$T$145)))</f>
        <v>무지출</v>
      </c>
      <c r="F24" s="533" t="str">
        <f ca="1">IF(MONTH(F23)&lt;&gt;$A$2,"",IF(AND(SUMIF($J$81:$J$145,F23,$T$81:$T$145)=0,F23&lt;TODAY()),"무지출",SUMIF($J$81:$J$145,F23,$T$81:$T$145)))</f>
        <v>무지출</v>
      </c>
      <c r="G24" s="533" t="str">
        <f ca="1">IF(MONTH(G23)&lt;&gt;$A$2,"",IF(AND(SUMIF($J$81:$J$145,G23,$T$81:$T$145)=0,G23&lt;TODAY()),"무지출",SUMIF($J$81:$J$145,G23,$T$81:$T$145)))</f>
        <v>무지출</v>
      </c>
      <c r="H24" s="534" t="str">
        <f ca="1">IF(MONTH(H23)&lt;&gt;$A$2,"",IF(AND(SUMIF($J$81:$J$145,H23,$T$81:$T$145)=0,H23&lt;TODAY()),"무지출",SUMIF($J$81:$J$145,H23,$T$81:$T$145)))</f>
        <v/>
      </c>
      <c r="AA24" s="121"/>
    </row>
    <row r="25" spans="2:27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P25" s="597"/>
      <c r="Q25" s="597"/>
      <c r="AA25" s="121"/>
    </row>
    <row r="26" spans="2:27" ht="19.899999999999999" customHeight="1" x14ac:dyDescent="0.3">
      <c r="B26" s="404">
        <f>B11+35</f>
        <v>45718</v>
      </c>
      <c r="C26" s="405">
        <f t="shared" ref="C26:H26" si="8">C11+35</f>
        <v>45719</v>
      </c>
      <c r="D26" s="405">
        <f t="shared" si="8"/>
        <v>45720</v>
      </c>
      <c r="E26" s="405">
        <f t="shared" si="8"/>
        <v>45721</v>
      </c>
      <c r="F26" s="405">
        <f t="shared" si="8"/>
        <v>45722</v>
      </c>
      <c r="G26" s="405">
        <f t="shared" si="8"/>
        <v>45723</v>
      </c>
      <c r="H26" s="406">
        <f t="shared" si="8"/>
        <v>45724</v>
      </c>
      <c r="J26" s="446"/>
      <c r="K26" s="368"/>
      <c r="L26" s="368"/>
      <c r="M26" s="368"/>
      <c r="N26" s="368"/>
      <c r="O26" s="368"/>
      <c r="P26" s="597"/>
      <c r="Q26" s="597"/>
      <c r="AA26" s="121"/>
    </row>
    <row r="27" spans="2:27" ht="19.899999999999999" customHeight="1" x14ac:dyDescent="0.3">
      <c r="B27" s="532" t="str">
        <f ca="1">IF(MONTH(B26)&lt;&gt;$A$2,"",IF(AND(SUMIF($J$81:$J$145,B26,$T$81:$T$145)=0,B26&lt;TODAY()),"무지출",SUMIF($J$81:$J$145,B26,$T$81:$T$145)))</f>
        <v/>
      </c>
      <c r="C27" s="533" t="str">
        <f ca="1">IF(MONTH(C26)&lt;&gt;$A$2,"",IF(AND(SUMIF($J$81:$J$145,C26,$T$81:$T$145)=0,C26&lt;TODAY()),"무지출",SUMIF($J$81:$J$145,C26,$T$81:$T$145)))</f>
        <v/>
      </c>
      <c r="D27" s="533" t="str">
        <f ca="1">IF(MONTH(D26)&lt;&gt;$A$2,"",IF(AND(SUMIF($J$81:$J$145,D26,$T$81:$T$145)=0,D26&lt;TODAY()),"무지출",SUMIF($J$81:$J$145,D26,$T$81:$T$145)))</f>
        <v/>
      </c>
      <c r="E27" s="533" t="str">
        <f ca="1">IF(MONTH(E26)&lt;&gt;$A$2,"",IF(AND(SUMIF($J$81:$J$145,E26,$T$81:$T$145)=0,E26&lt;TODAY()),"무지출",SUMIF($J$81:$J$145,E26,$T$81:$T$145)))</f>
        <v/>
      </c>
      <c r="F27" s="533" t="str">
        <f ca="1">IF(MONTH(F26)&lt;&gt;$A$2,"",IF(AND(SUMIF($J$81:$J$145,F26,$T$81:$T$145)=0,F26&lt;TODAY()),"무지출",SUMIF($J$81:$J$145,F26,$T$81:$T$145)))</f>
        <v/>
      </c>
      <c r="G27" s="533" t="str">
        <f ca="1">IF(MONTH(G26)&lt;&gt;$A$2,"",IF(AND(SUMIF($J$81:$J$145,G26,$T$81:$T$145)=0,G26&lt;TODAY()),"무지출",SUMIF($J$81:$J$145,G26,$T$81:$T$145)))</f>
        <v/>
      </c>
      <c r="H27" s="534" t="str">
        <f ca="1">IF(MONTH(H26)&lt;&gt;$A$2,"",IF(AND(SUMIF($J$81:$J$145,H26,$T$81:$T$145)=0,H26&lt;TODAY()),"무지출",SUMIF($J$81:$J$145,H26,$T$81:$T$145)))</f>
        <v/>
      </c>
      <c r="J27" s="368"/>
      <c r="K27" s="368"/>
      <c r="L27" s="368"/>
      <c r="M27" s="368"/>
      <c r="N27" s="368"/>
      <c r="O27" s="368"/>
      <c r="P27" s="597"/>
      <c r="Q27" s="597"/>
      <c r="AA27" s="121"/>
    </row>
    <row r="28" spans="2:27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P28" s="597"/>
      <c r="Q28" s="597"/>
      <c r="AA28" s="121"/>
    </row>
    <row r="29" spans="2:27" ht="19.899999999999999" customHeight="1" x14ac:dyDescent="0.3">
      <c r="B29" s="425"/>
      <c r="C29" s="425"/>
      <c r="D29" s="425"/>
      <c r="E29" s="425"/>
      <c r="F29" s="425"/>
      <c r="G29" s="425"/>
      <c r="H29" s="425"/>
      <c r="AA29" s="121"/>
    </row>
    <row r="30" spans="2:27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7" ht="10.15" customHeight="1" x14ac:dyDescent="0.3"/>
    <row r="32" spans="2:27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9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9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9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9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9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9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9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9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9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9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9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9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9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9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9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9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9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9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9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0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0"/>
        <v/>
      </c>
      <c r="U65" s="190" t="str">
        <f t="shared" ref="U65:U77" si="11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0"/>
        <v/>
      </c>
      <c r="U66" s="195" t="str">
        <f t="shared" si="11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0"/>
        <v/>
      </c>
      <c r="U67" s="190" t="str">
        <f t="shared" si="11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0"/>
        <v/>
      </c>
      <c r="U68" s="190" t="str">
        <f t="shared" si="11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0"/>
        <v/>
      </c>
      <c r="U69" s="190" t="str">
        <f t="shared" si="11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0"/>
        <v/>
      </c>
      <c r="U70" s="190" t="str">
        <f t="shared" si="11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0"/>
        <v/>
      </c>
      <c r="U71" s="190" t="str">
        <f t="shared" si="11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0"/>
        <v/>
      </c>
      <c r="U72" s="190" t="str">
        <f t="shared" si="11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0"/>
        <v/>
      </c>
      <c r="U73" s="190" t="str">
        <f t="shared" si="11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0"/>
        <v/>
      </c>
      <c r="U74" s="190" t="str">
        <f t="shared" si="11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0"/>
        <v/>
      </c>
      <c r="U75" s="190" t="str">
        <f t="shared" si="11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0"/>
        <v/>
      </c>
      <c r="U76" s="190" t="str">
        <f t="shared" si="11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0"/>
        <v/>
      </c>
      <c r="U77" s="190" t="str">
        <f t="shared" si="11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2">IF(R83="","",R83-S83)</f>
        <v>49400</v>
      </c>
      <c r="U83" s="190">
        <f t="shared" ref="U83:U146" si="13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2"/>
        <v/>
      </c>
      <c r="U84" s="190" t="str">
        <f t="shared" si="13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2"/>
        <v/>
      </c>
      <c r="U85" s="190" t="str">
        <f t="shared" si="13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2"/>
        <v/>
      </c>
      <c r="U86" s="190" t="str">
        <f t="shared" si="13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2"/>
        <v/>
      </c>
      <c r="U87" s="190" t="str">
        <f t="shared" si="13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2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2"/>
        <v/>
      </c>
      <c r="U89" s="190" t="str">
        <f t="shared" ref="U89:U91" si="14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2"/>
        <v/>
      </c>
      <c r="U90" s="190" t="str">
        <f t="shared" si="14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2"/>
        <v/>
      </c>
      <c r="U91" s="190" t="str">
        <f t="shared" si="14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2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2"/>
        <v/>
      </c>
      <c r="U93" s="190" t="str">
        <f t="shared" ref="U93:U105" si="15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2"/>
        <v/>
      </c>
      <c r="U94" s="190" t="str">
        <f t="shared" si="15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2"/>
        <v/>
      </c>
      <c r="U95" s="190" t="str">
        <f t="shared" si="15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2"/>
        <v/>
      </c>
      <c r="U96" s="190" t="str">
        <f t="shared" si="15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2"/>
        <v/>
      </c>
      <c r="U97" s="190" t="str">
        <f t="shared" si="15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2"/>
        <v/>
      </c>
      <c r="U98" s="190" t="str">
        <f t="shared" si="15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2"/>
        <v/>
      </c>
      <c r="U99" s="190" t="str">
        <f t="shared" si="15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2"/>
        <v/>
      </c>
      <c r="U100" s="190" t="str">
        <f t="shared" si="15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2"/>
        <v/>
      </c>
      <c r="U101" s="190" t="str">
        <f t="shared" si="15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2"/>
        <v/>
      </c>
      <c r="U102" s="190" t="str">
        <f t="shared" si="15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2"/>
        <v/>
      </c>
      <c r="U103" s="190" t="str">
        <f t="shared" si="15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2"/>
        <v/>
      </c>
      <c r="U104" s="190" t="str">
        <f t="shared" si="15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2"/>
        <v/>
      </c>
      <c r="U105" s="190" t="str">
        <f t="shared" si="15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2"/>
        <v/>
      </c>
      <c r="U106" s="190" t="str">
        <f t="shared" si="13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2"/>
        <v/>
      </c>
      <c r="U107" s="190" t="str">
        <f t="shared" si="13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2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2"/>
        <v/>
      </c>
      <c r="U109" s="190" t="str">
        <f t="shared" si="13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2"/>
        <v/>
      </c>
      <c r="U110" s="190" t="str">
        <f t="shared" si="13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2"/>
        <v/>
      </c>
      <c r="U111" s="190" t="str">
        <f t="shared" si="13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2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2"/>
        <v/>
      </c>
      <c r="U113" s="190" t="str">
        <f t="shared" si="13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2"/>
        <v/>
      </c>
      <c r="U114" s="190" t="str">
        <f t="shared" si="13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2"/>
        <v/>
      </c>
      <c r="U115" s="190" t="str">
        <f t="shared" si="13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2"/>
        <v/>
      </c>
      <c r="U116" s="190" t="str">
        <f t="shared" si="13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2"/>
        <v/>
      </c>
      <c r="U117" s="190" t="str">
        <f t="shared" si="13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2"/>
        <v/>
      </c>
      <c r="U118" s="190" t="str">
        <f t="shared" si="13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2"/>
        <v/>
      </c>
      <c r="U119" s="190" t="str">
        <f t="shared" si="13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2"/>
        <v/>
      </c>
      <c r="U120" s="190" t="str">
        <f t="shared" si="13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2"/>
        <v/>
      </c>
      <c r="U121" s="190" t="str">
        <f t="shared" si="13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2"/>
        <v/>
      </c>
      <c r="U122" s="190" t="str">
        <f t="shared" si="13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2"/>
        <v/>
      </c>
      <c r="U123" s="190" t="str">
        <f t="shared" si="13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2"/>
        <v/>
      </c>
      <c r="U124" s="190" t="str">
        <f t="shared" si="13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2"/>
        <v/>
      </c>
      <c r="U125" s="190" t="str">
        <f t="shared" si="13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2"/>
        <v/>
      </c>
      <c r="U126" s="190" t="str">
        <f t="shared" si="13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2"/>
        <v/>
      </c>
      <c r="U127" s="190" t="str">
        <f t="shared" si="13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2"/>
        <v/>
      </c>
      <c r="U128" s="190" t="str">
        <f t="shared" si="13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2"/>
        <v/>
      </c>
      <c r="U129" s="190" t="str">
        <f t="shared" si="13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2"/>
        <v/>
      </c>
      <c r="U130" s="190" t="str">
        <f t="shared" si="13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2"/>
        <v/>
      </c>
      <c r="U131" s="190" t="str">
        <f t="shared" si="13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2"/>
        <v/>
      </c>
      <c r="U132" s="190" t="str">
        <f t="shared" si="13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2"/>
        <v/>
      </c>
      <c r="U133" s="190" t="str">
        <f t="shared" si="13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2"/>
        <v/>
      </c>
      <c r="U134" s="190" t="str">
        <f t="shared" si="13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2"/>
        <v/>
      </c>
      <c r="U135" s="190" t="str">
        <f t="shared" si="13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2"/>
        <v/>
      </c>
      <c r="U136" s="190" t="str">
        <f t="shared" si="13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2"/>
        <v/>
      </c>
      <c r="U137" s="190" t="str">
        <f t="shared" si="13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2"/>
        <v/>
      </c>
      <c r="U138" s="190" t="str">
        <f t="shared" si="13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2"/>
        <v/>
      </c>
      <c r="U139" s="190" t="str">
        <f t="shared" si="13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2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2"/>
        <v/>
      </c>
      <c r="U141" s="190" t="str">
        <f t="shared" si="13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2"/>
        <v/>
      </c>
      <c r="U142" s="190" t="str">
        <f t="shared" si="13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2"/>
        <v/>
      </c>
      <c r="U143" s="190" t="str">
        <f t="shared" si="13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2"/>
        <v/>
      </c>
      <c r="U144" s="190" t="str">
        <f t="shared" si="13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2"/>
        <v/>
      </c>
      <c r="U145" s="190" t="str">
        <f t="shared" si="13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2"/>
        <v/>
      </c>
      <c r="U146" s="190" t="str">
        <f t="shared" si="13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2"/>
        <v/>
      </c>
      <c r="U147" s="190" t="str">
        <f t="shared" ref="U147:U165" si="16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2"/>
        <v/>
      </c>
      <c r="U148" s="190" t="str">
        <f t="shared" si="16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2"/>
        <v/>
      </c>
      <c r="U149" s="190" t="str">
        <f t="shared" si="16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2"/>
        <v/>
      </c>
      <c r="U150" s="190" t="str">
        <f t="shared" si="16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2"/>
        <v/>
      </c>
      <c r="U151" s="190" t="str">
        <f t="shared" si="16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2"/>
        <v/>
      </c>
      <c r="U152" s="190" t="str">
        <f t="shared" si="16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2"/>
        <v/>
      </c>
      <c r="U153" s="190" t="str">
        <f t="shared" si="16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2"/>
        <v/>
      </c>
      <c r="U154" s="190" t="str">
        <f t="shared" si="16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2"/>
        <v/>
      </c>
      <c r="U155" s="190" t="str">
        <f t="shared" si="16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2"/>
        <v/>
      </c>
      <c r="U156" s="190" t="str">
        <f t="shared" si="16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2"/>
        <v/>
      </c>
      <c r="U157" s="190" t="str">
        <f t="shared" si="16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2"/>
        <v/>
      </c>
      <c r="U158" s="190" t="str">
        <f t="shared" si="16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2"/>
        <v/>
      </c>
      <c r="U159" s="190" t="str">
        <f t="shared" si="16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2"/>
        <v/>
      </c>
      <c r="U160" s="190" t="str">
        <f t="shared" si="16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2"/>
        <v/>
      </c>
      <c r="U161" s="190" t="str">
        <f t="shared" si="16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2"/>
        <v/>
      </c>
      <c r="U162" s="190" t="str">
        <f t="shared" si="16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2"/>
        <v/>
      </c>
      <c r="U163" s="190" t="str">
        <f t="shared" si="16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2"/>
        <v/>
      </c>
      <c r="U164" s="190" t="str">
        <f t="shared" si="16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2"/>
        <v/>
      </c>
      <c r="U165" s="190" t="str">
        <f t="shared" si="16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" customHeight="1" x14ac:dyDescent="0.3">
      <c r="H167" s="2"/>
      <c r="T167" s="2"/>
    </row>
    <row r="168" spans="1:23" ht="18" customHeight="1" x14ac:dyDescent="0.3">
      <c r="E168" s="2"/>
      <c r="F168" s="2"/>
      <c r="G168" s="2"/>
      <c r="O168" s="2"/>
      <c r="P168" s="2"/>
      <c r="Q168" s="2"/>
      <c r="R168" s="2"/>
      <c r="S168" s="2"/>
    </row>
    <row r="169" spans="1:23" ht="18" customHeight="1" x14ac:dyDescent="0.3">
      <c r="E169" s="2"/>
      <c r="F169" s="2"/>
      <c r="G169" s="2"/>
      <c r="O169" s="2"/>
      <c r="P169" s="2"/>
      <c r="Q169" s="2"/>
      <c r="R169" s="2"/>
      <c r="S169" s="2"/>
    </row>
    <row r="170" spans="1:23" ht="18" customHeight="1" x14ac:dyDescent="0.3">
      <c r="E170" s="2"/>
      <c r="F170" s="2"/>
      <c r="G170" s="2"/>
      <c r="O170" s="2"/>
      <c r="P170" s="2"/>
      <c r="Q170" s="2"/>
      <c r="R170" s="2"/>
      <c r="S170" s="2"/>
    </row>
    <row r="171" spans="1:23" ht="18" customHeight="1" x14ac:dyDescent="0.3">
      <c r="E171" s="2"/>
      <c r="F171" s="2"/>
      <c r="G171" s="2"/>
      <c r="O171" s="2"/>
      <c r="P171" s="2"/>
      <c r="Q171" s="2"/>
      <c r="R171" s="2"/>
      <c r="S171" s="2"/>
    </row>
    <row r="172" spans="1:23" ht="18" customHeight="1" x14ac:dyDescent="0.3">
      <c r="E172" s="2"/>
      <c r="F172" s="2"/>
      <c r="G172" s="2"/>
      <c r="O172" s="2"/>
      <c r="P172" s="2"/>
      <c r="Q172" s="2"/>
      <c r="R172" s="2"/>
      <c r="S172" s="2"/>
    </row>
    <row r="173" spans="1:23" ht="18" customHeight="1" x14ac:dyDescent="0.3">
      <c r="E173" s="2"/>
      <c r="F173" s="2"/>
      <c r="G173" s="2"/>
      <c r="O173" s="2"/>
      <c r="P173" s="2"/>
      <c r="Q173" s="2"/>
      <c r="R173" s="2"/>
      <c r="S173" s="2"/>
    </row>
    <row r="174" spans="1:23" ht="18" customHeight="1" x14ac:dyDescent="0.3">
      <c r="E174" s="2"/>
      <c r="F174" s="2"/>
      <c r="G174" s="2"/>
      <c r="O174" s="2"/>
      <c r="P174" s="2"/>
      <c r="Q174" s="2"/>
      <c r="R174" s="2"/>
      <c r="S174" s="2"/>
    </row>
    <row r="175" spans="1:23" ht="18" customHeight="1" x14ac:dyDescent="0.3">
      <c r="E175" s="2"/>
      <c r="F175" s="2"/>
      <c r="G175" s="2"/>
      <c r="O175" s="2"/>
      <c r="P175" s="2"/>
      <c r="Q175" s="2"/>
      <c r="R175" s="2"/>
      <c r="S175" s="2"/>
    </row>
    <row r="176" spans="1:23" ht="18" customHeight="1" x14ac:dyDescent="0.3">
      <c r="E176" s="2"/>
      <c r="F176" s="2"/>
      <c r="G176" s="2"/>
      <c r="O176" s="2"/>
      <c r="P176" s="2"/>
      <c r="Q176" s="2"/>
      <c r="R176" s="2"/>
      <c r="S176" s="2"/>
    </row>
    <row r="177" spans="5:19" ht="18" customHeight="1" x14ac:dyDescent="0.3">
      <c r="E177" s="2"/>
      <c r="F177" s="2"/>
      <c r="G177" s="2"/>
      <c r="O177" s="2"/>
      <c r="P177" s="2"/>
      <c r="Q177" s="2"/>
      <c r="R177" s="2"/>
      <c r="S177" s="2"/>
    </row>
    <row r="178" spans="5:19" ht="18" customHeight="1" x14ac:dyDescent="0.3">
      <c r="E178" s="2"/>
      <c r="F178" s="2"/>
      <c r="G178" s="2"/>
      <c r="O178" s="2"/>
      <c r="P178" s="2"/>
      <c r="Q178" s="2"/>
      <c r="R178" s="2"/>
      <c r="S178" s="2"/>
    </row>
    <row r="179" spans="5:19" ht="18" customHeight="1" x14ac:dyDescent="0.3">
      <c r="E179" s="2"/>
      <c r="F179" s="2"/>
      <c r="G179" s="2"/>
      <c r="O179" s="2"/>
      <c r="P179" s="2"/>
      <c r="Q179" s="2"/>
      <c r="R179" s="2"/>
      <c r="S179" s="2"/>
    </row>
    <row r="180" spans="5:19" ht="18" customHeight="1" x14ac:dyDescent="0.3">
      <c r="E180" s="2"/>
      <c r="F180" s="2"/>
      <c r="G180" s="2"/>
      <c r="O180" s="2"/>
      <c r="P180" s="2"/>
      <c r="Q180" s="2"/>
      <c r="R180" s="2"/>
      <c r="S180" s="2"/>
    </row>
    <row r="181" spans="5:19" ht="18" customHeight="1" x14ac:dyDescent="0.3">
      <c r="E181" s="2"/>
      <c r="F181" s="2"/>
      <c r="G181" s="2"/>
      <c r="O181" s="2"/>
      <c r="P181" s="2"/>
      <c r="Q181" s="2"/>
      <c r="R181" s="2"/>
      <c r="S181" s="2"/>
    </row>
    <row r="182" spans="5:19" ht="18" customHeight="1" x14ac:dyDescent="0.3">
      <c r="E182" s="2"/>
      <c r="F182" s="2"/>
      <c r="G182" s="2"/>
      <c r="O182" s="2"/>
      <c r="P182" s="2"/>
      <c r="Q182" s="2"/>
      <c r="R182" s="2"/>
      <c r="S182" s="2"/>
    </row>
    <row r="183" spans="5:19" ht="18" customHeight="1" x14ac:dyDescent="0.3">
      <c r="E183" s="2"/>
      <c r="F183" s="2"/>
      <c r="G183" s="2"/>
      <c r="O183" s="2"/>
      <c r="P183" s="2"/>
      <c r="Q183" s="2"/>
      <c r="R183" s="2"/>
      <c r="S183" s="2"/>
    </row>
    <row r="184" spans="5:19" ht="18" customHeight="1" x14ac:dyDescent="0.3">
      <c r="E184" s="2"/>
      <c r="F184" s="2"/>
      <c r="G184" s="2"/>
      <c r="O184" s="2"/>
      <c r="P184" s="2"/>
      <c r="Q184" s="2"/>
      <c r="R184" s="2"/>
      <c r="S184" s="2"/>
    </row>
    <row r="185" spans="5:19" ht="18" customHeight="1" x14ac:dyDescent="0.3">
      <c r="E185" s="2"/>
      <c r="F185" s="2"/>
      <c r="G185" s="2"/>
      <c r="O185" s="2"/>
      <c r="P185" s="2"/>
      <c r="Q185" s="2"/>
      <c r="R185" s="2"/>
      <c r="S185" s="2"/>
    </row>
    <row r="186" spans="5:19" ht="18" customHeight="1" x14ac:dyDescent="0.3">
      <c r="E186" s="2"/>
      <c r="F186" s="2"/>
      <c r="G186" s="2"/>
      <c r="O186" s="2"/>
      <c r="P186" s="2"/>
      <c r="Q186" s="2"/>
      <c r="R186" s="2"/>
      <c r="S186" s="2"/>
    </row>
    <row r="187" spans="5:19" ht="18" customHeight="1" x14ac:dyDescent="0.3">
      <c r="E187" s="2"/>
      <c r="F187" s="2"/>
      <c r="G187" s="2"/>
      <c r="O187" s="2"/>
      <c r="P187" s="2"/>
      <c r="Q187" s="2"/>
      <c r="R187" s="2"/>
      <c r="S187" s="2"/>
    </row>
    <row r="188" spans="5:19" ht="18" customHeight="1" x14ac:dyDescent="0.3">
      <c r="E188" s="2"/>
      <c r="F188" s="2"/>
      <c r="G188" s="2"/>
      <c r="O188" s="2"/>
      <c r="P188" s="2"/>
      <c r="Q188" s="2"/>
      <c r="R188" s="2"/>
      <c r="S188" s="2"/>
    </row>
    <row r="189" spans="5:19" ht="18" customHeight="1" x14ac:dyDescent="0.3">
      <c r="E189" s="2"/>
      <c r="F189" s="2"/>
      <c r="G189" s="2"/>
      <c r="O189" s="2"/>
      <c r="P189" s="2"/>
      <c r="Q189" s="2"/>
      <c r="R189" s="2"/>
      <c r="S189" s="2"/>
    </row>
    <row r="190" spans="5:19" ht="18" customHeight="1" x14ac:dyDescent="0.3">
      <c r="E190" s="2"/>
      <c r="F190" s="2"/>
      <c r="G190" s="2"/>
      <c r="O190" s="2"/>
      <c r="P190" s="2"/>
      <c r="Q190" s="2"/>
      <c r="R190" s="2"/>
      <c r="S190" s="2"/>
    </row>
    <row r="191" spans="5:19" ht="18" customHeight="1" x14ac:dyDescent="0.3">
      <c r="E191" s="2"/>
      <c r="F191" s="2"/>
      <c r="G191" s="2"/>
      <c r="O191" s="2"/>
      <c r="P191" s="2"/>
      <c r="Q191" s="2"/>
      <c r="R191" s="2"/>
      <c r="S191" s="2"/>
    </row>
    <row r="192" spans="5:19" ht="18" customHeight="1" x14ac:dyDescent="0.3">
      <c r="E192" s="2"/>
      <c r="F192" s="2"/>
      <c r="G192" s="2"/>
      <c r="O192" s="2"/>
      <c r="P192" s="2"/>
      <c r="Q192" s="2"/>
      <c r="R192" s="2"/>
      <c r="S192" s="2"/>
    </row>
    <row r="193" spans="5:19" ht="18" customHeight="1" x14ac:dyDescent="0.3">
      <c r="E193" s="2"/>
      <c r="F193" s="2"/>
      <c r="G193" s="2"/>
      <c r="O193" s="2"/>
      <c r="P193" s="2"/>
      <c r="Q193" s="2"/>
      <c r="R193" s="2"/>
      <c r="S193" s="2"/>
    </row>
    <row r="194" spans="5:19" ht="18" customHeight="1" x14ac:dyDescent="0.3">
      <c r="E194" s="2"/>
      <c r="F194" s="2"/>
      <c r="G194" s="2"/>
      <c r="O194" s="2"/>
      <c r="P194" s="2"/>
      <c r="Q194" s="2"/>
      <c r="R194" s="2"/>
      <c r="S194" s="2"/>
    </row>
    <row r="195" spans="5:19" ht="18" customHeight="1" x14ac:dyDescent="0.3">
      <c r="E195" s="2"/>
      <c r="F195" s="2"/>
      <c r="G195" s="2"/>
      <c r="O195" s="2"/>
      <c r="P195" s="2"/>
      <c r="Q195" s="2"/>
      <c r="R195" s="2"/>
      <c r="S195" s="2"/>
    </row>
    <row r="196" spans="5:19" ht="18" customHeight="1" x14ac:dyDescent="0.3">
      <c r="E196" s="2"/>
      <c r="F196" s="2"/>
      <c r="G196" s="2"/>
      <c r="O196" s="2"/>
      <c r="P196" s="2"/>
      <c r="Q196" s="2"/>
      <c r="R196" s="2"/>
      <c r="S196" s="2"/>
    </row>
    <row r="197" spans="5:19" ht="18" customHeight="1" x14ac:dyDescent="0.3">
      <c r="E197" s="2"/>
      <c r="F197" s="2"/>
      <c r="G197" s="2"/>
      <c r="O197" s="2"/>
      <c r="P197" s="2"/>
      <c r="Q197" s="2"/>
      <c r="R197" s="2"/>
      <c r="S197" s="2"/>
    </row>
    <row r="198" spans="5:19" ht="18" customHeight="1" x14ac:dyDescent="0.3">
      <c r="E198" s="2"/>
      <c r="F198" s="2"/>
      <c r="G198" s="2"/>
      <c r="O198" s="2"/>
      <c r="P198" s="2"/>
      <c r="Q198" s="2"/>
      <c r="R198" s="2"/>
      <c r="S198" s="2"/>
    </row>
    <row r="199" spans="5:19" ht="18" customHeight="1" x14ac:dyDescent="0.3">
      <c r="E199" s="2"/>
      <c r="F199" s="2"/>
      <c r="G199" s="2"/>
      <c r="O199" s="2"/>
      <c r="P199" s="2"/>
      <c r="Q199" s="2"/>
      <c r="R199" s="2"/>
      <c r="S199" s="2"/>
    </row>
    <row r="200" spans="5:19" ht="18" customHeight="1" x14ac:dyDescent="0.3">
      <c r="E200" s="2"/>
      <c r="F200" s="2"/>
      <c r="G200" s="2"/>
      <c r="O200" s="2"/>
      <c r="P200" s="2"/>
      <c r="Q200" s="2"/>
      <c r="R200" s="2"/>
      <c r="S200" s="2"/>
    </row>
    <row r="201" spans="5:19" ht="18" customHeight="1" x14ac:dyDescent="0.3">
      <c r="E201" s="2"/>
      <c r="F201" s="2"/>
      <c r="G201" s="2"/>
      <c r="O201" s="2"/>
      <c r="P201" s="2"/>
      <c r="Q201" s="2"/>
      <c r="R201" s="2"/>
      <c r="S201" s="2"/>
    </row>
    <row r="202" spans="5:19" ht="18" customHeight="1" x14ac:dyDescent="0.3">
      <c r="E202" s="2"/>
      <c r="F202" s="2"/>
      <c r="G202" s="2"/>
      <c r="O202" s="2"/>
      <c r="P202" s="2"/>
      <c r="Q202" s="2"/>
      <c r="R202" s="2"/>
      <c r="S202" s="2"/>
    </row>
    <row r="203" spans="5:19" ht="18" customHeight="1" x14ac:dyDescent="0.3">
      <c r="E203" s="2"/>
      <c r="F203" s="2"/>
      <c r="G203" s="2"/>
      <c r="O203" s="2"/>
      <c r="P203" s="2"/>
      <c r="Q203" s="2"/>
      <c r="R203" s="2"/>
      <c r="S203" s="2"/>
    </row>
    <row r="204" spans="5:19" ht="18" customHeight="1" x14ac:dyDescent="0.3">
      <c r="E204" s="2"/>
      <c r="F204" s="2"/>
      <c r="G204" s="2"/>
      <c r="O204" s="2"/>
      <c r="P204" s="2"/>
      <c r="Q204" s="2"/>
      <c r="R204" s="2"/>
      <c r="S204" s="2"/>
    </row>
    <row r="205" spans="5:19" ht="18" customHeight="1" x14ac:dyDescent="0.3">
      <c r="E205" s="2"/>
      <c r="F205" s="2"/>
      <c r="G205" s="2"/>
      <c r="O205" s="2"/>
      <c r="P205" s="2"/>
      <c r="Q205" s="2"/>
      <c r="R205" s="2"/>
      <c r="S205" s="2"/>
    </row>
    <row r="206" spans="5:19" ht="18" customHeight="1" x14ac:dyDescent="0.3">
      <c r="E206" s="2"/>
      <c r="F206" s="2"/>
      <c r="G206" s="2"/>
      <c r="O206" s="2"/>
      <c r="P206" s="2"/>
      <c r="Q206" s="2"/>
      <c r="R206" s="2"/>
      <c r="S206" s="2"/>
    </row>
    <row r="207" spans="5:19" ht="18" customHeight="1" x14ac:dyDescent="0.3">
      <c r="E207" s="2"/>
      <c r="F207" s="2"/>
      <c r="G207" s="2"/>
      <c r="O207" s="2"/>
      <c r="P207" s="2"/>
      <c r="Q207" s="2"/>
      <c r="R207" s="2"/>
      <c r="S207" s="2"/>
    </row>
    <row r="208" spans="5:19" ht="18" customHeight="1" x14ac:dyDescent="0.3">
      <c r="E208" s="2"/>
      <c r="F208" s="2"/>
      <c r="G208" s="2"/>
      <c r="O208" s="2"/>
      <c r="P208" s="2"/>
      <c r="Q208" s="2"/>
      <c r="R208" s="2"/>
      <c r="S208" s="2"/>
    </row>
    <row r="209" spans="5:19" ht="18" customHeight="1" x14ac:dyDescent="0.3">
      <c r="E209" s="2"/>
      <c r="F209" s="2"/>
      <c r="G209" s="2"/>
      <c r="O209" s="2"/>
      <c r="P209" s="2"/>
      <c r="Q209" s="2"/>
      <c r="R209" s="2"/>
      <c r="S209" s="2"/>
    </row>
    <row r="210" spans="5:19" ht="18" customHeight="1" x14ac:dyDescent="0.3">
      <c r="E210" s="2"/>
      <c r="F210" s="2"/>
      <c r="G210" s="2"/>
      <c r="O210" s="2"/>
      <c r="P210" s="2"/>
      <c r="Q210" s="2"/>
      <c r="R210" s="2"/>
      <c r="S210" s="2"/>
    </row>
    <row r="211" spans="5:19" ht="18" customHeight="1" x14ac:dyDescent="0.3">
      <c r="E211" s="2"/>
      <c r="F211" s="2"/>
      <c r="G211" s="2"/>
      <c r="O211" s="2"/>
      <c r="P211" s="2"/>
      <c r="Q211" s="2"/>
      <c r="R211" s="2"/>
      <c r="S211" s="2"/>
    </row>
    <row r="212" spans="5:19" ht="18" customHeight="1" x14ac:dyDescent="0.3">
      <c r="E212" s="2"/>
      <c r="F212" s="2"/>
      <c r="G212" s="2"/>
      <c r="O212" s="2"/>
      <c r="P212" s="2"/>
      <c r="Q212" s="2"/>
      <c r="R212" s="2"/>
      <c r="S212" s="2"/>
    </row>
    <row r="213" spans="5:19" ht="18" customHeight="1" x14ac:dyDescent="0.3">
      <c r="E213" s="2"/>
      <c r="F213" s="2"/>
      <c r="G213" s="2"/>
      <c r="O213" s="2"/>
      <c r="P213" s="2"/>
      <c r="Q213" s="2"/>
      <c r="R213" s="2"/>
      <c r="S213" s="2"/>
    </row>
    <row r="214" spans="5:19" ht="18" customHeight="1" x14ac:dyDescent="0.3">
      <c r="E214" s="2"/>
      <c r="F214" s="2"/>
      <c r="G214" s="2"/>
      <c r="O214" s="2"/>
      <c r="P214" s="2"/>
      <c r="Q214" s="2"/>
      <c r="R214" s="2"/>
      <c r="S214" s="2"/>
    </row>
    <row r="215" spans="5:19" ht="18" customHeight="1" x14ac:dyDescent="0.3">
      <c r="E215" s="2"/>
      <c r="F215" s="2"/>
      <c r="G215" s="2"/>
      <c r="O215" s="2"/>
      <c r="P215" s="2"/>
      <c r="Q215" s="2"/>
      <c r="R215" s="2"/>
      <c r="S215" s="2"/>
    </row>
    <row r="216" spans="5:19" ht="18" customHeight="1" x14ac:dyDescent="0.3">
      <c r="E216" s="2"/>
      <c r="F216" s="2"/>
      <c r="G216" s="2"/>
      <c r="O216" s="2"/>
      <c r="P216" s="2"/>
      <c r="Q216" s="2"/>
      <c r="R216" s="2"/>
      <c r="S216" s="2"/>
    </row>
    <row r="217" spans="5:19" ht="18" customHeight="1" x14ac:dyDescent="0.3">
      <c r="E217" s="2"/>
      <c r="F217" s="2"/>
      <c r="G217" s="2"/>
      <c r="O217" s="2"/>
      <c r="P217" s="2"/>
      <c r="Q217" s="2"/>
      <c r="R217" s="2"/>
      <c r="S217" s="2"/>
    </row>
    <row r="218" spans="5:19" ht="18" customHeight="1" x14ac:dyDescent="0.3">
      <c r="E218" s="2"/>
      <c r="F218" s="2"/>
      <c r="G218" s="2"/>
      <c r="O218" s="2"/>
      <c r="P218" s="2"/>
      <c r="Q218" s="2"/>
      <c r="R218" s="2"/>
      <c r="S218" s="2"/>
    </row>
    <row r="219" spans="5:19" ht="18" customHeight="1" x14ac:dyDescent="0.3">
      <c r="E219" s="2"/>
      <c r="F219" s="2"/>
      <c r="G219" s="2"/>
      <c r="O219" s="2"/>
      <c r="P219" s="2"/>
      <c r="Q219" s="2"/>
      <c r="R219" s="2"/>
      <c r="S219" s="2"/>
    </row>
    <row r="220" spans="5:19" ht="18" customHeight="1" x14ac:dyDescent="0.3">
      <c r="E220" s="2"/>
      <c r="F220" s="2"/>
      <c r="G220" s="2"/>
      <c r="O220" s="2"/>
      <c r="P220" s="2"/>
      <c r="Q220" s="2"/>
      <c r="R220" s="2"/>
      <c r="S220" s="2"/>
    </row>
    <row r="221" spans="5:19" ht="18" customHeight="1" x14ac:dyDescent="0.3">
      <c r="E221" s="2"/>
      <c r="F221" s="2"/>
      <c r="G221" s="2"/>
      <c r="O221" s="2"/>
      <c r="P221" s="2"/>
      <c r="Q221" s="2"/>
      <c r="R221" s="2"/>
      <c r="S221" s="2"/>
    </row>
    <row r="222" spans="5:19" ht="18" customHeight="1" x14ac:dyDescent="0.3">
      <c r="E222" s="2"/>
      <c r="F222" s="2"/>
      <c r="G222" s="2"/>
      <c r="O222" s="2"/>
      <c r="P222" s="2"/>
      <c r="Q222" s="2"/>
      <c r="R222" s="2"/>
      <c r="S222" s="2"/>
    </row>
    <row r="223" spans="5:19" ht="18" customHeight="1" x14ac:dyDescent="0.3">
      <c r="E223" s="2"/>
      <c r="F223" s="2"/>
      <c r="G223" s="2"/>
      <c r="O223" s="2"/>
      <c r="P223" s="2"/>
      <c r="Q223" s="2"/>
      <c r="R223" s="2"/>
      <c r="S223" s="2"/>
    </row>
    <row r="224" spans="5:19" ht="18" customHeight="1" x14ac:dyDescent="0.3">
      <c r="E224" s="2"/>
      <c r="F224" s="2"/>
      <c r="G224" s="2"/>
      <c r="O224" s="2"/>
      <c r="P224" s="2"/>
      <c r="Q224" s="2"/>
      <c r="R224" s="2"/>
      <c r="S224" s="2"/>
    </row>
    <row r="225" spans="5:19" ht="18" customHeight="1" x14ac:dyDescent="0.3">
      <c r="E225" s="2"/>
      <c r="F225" s="2"/>
      <c r="G225" s="2"/>
      <c r="O225" s="2"/>
      <c r="P225" s="2"/>
      <c r="Q225" s="2"/>
      <c r="R225" s="2"/>
      <c r="S225" s="2"/>
    </row>
    <row r="226" spans="5:19" ht="18" customHeight="1" x14ac:dyDescent="0.3">
      <c r="E226" s="2"/>
      <c r="F226" s="2"/>
      <c r="G226" s="2"/>
      <c r="O226" s="2"/>
      <c r="P226" s="2"/>
      <c r="Q226" s="2"/>
      <c r="R226" s="2"/>
      <c r="S226" s="2"/>
    </row>
    <row r="227" spans="5:19" ht="18" customHeight="1" x14ac:dyDescent="0.3">
      <c r="E227" s="2"/>
      <c r="F227" s="2"/>
      <c r="G227" s="2"/>
      <c r="O227" s="2"/>
      <c r="P227" s="2"/>
      <c r="Q227" s="2"/>
      <c r="R227" s="2"/>
      <c r="S227" s="2"/>
    </row>
    <row r="228" spans="5:19" ht="18" customHeight="1" x14ac:dyDescent="0.3">
      <c r="E228" s="2"/>
      <c r="F228" s="2"/>
      <c r="G228" s="2"/>
      <c r="O228" s="2"/>
      <c r="P228" s="2"/>
      <c r="Q228" s="2"/>
      <c r="R228" s="2"/>
      <c r="S228" s="2"/>
    </row>
    <row r="229" spans="5:19" ht="18" customHeight="1" x14ac:dyDescent="0.3">
      <c r="E229" s="2"/>
      <c r="F229" s="2"/>
      <c r="G229" s="2"/>
      <c r="O229" s="2"/>
      <c r="P229" s="2"/>
      <c r="Q229" s="2"/>
      <c r="R229" s="2"/>
      <c r="S229" s="2"/>
    </row>
    <row r="230" spans="5:19" ht="18" customHeight="1" x14ac:dyDescent="0.3">
      <c r="E230" s="2"/>
      <c r="F230" s="2"/>
      <c r="G230" s="2"/>
      <c r="O230" s="2"/>
      <c r="P230" s="2"/>
      <c r="Q230" s="2"/>
      <c r="R230" s="2"/>
      <c r="S230" s="2"/>
    </row>
    <row r="231" spans="5:19" ht="18" customHeight="1" x14ac:dyDescent="0.3">
      <c r="E231" s="2"/>
      <c r="F231" s="2"/>
      <c r="G231" s="2"/>
      <c r="O231" s="2"/>
      <c r="P231" s="2"/>
      <c r="Q231" s="2"/>
      <c r="R231" s="2"/>
      <c r="S231" s="2"/>
    </row>
    <row r="232" spans="5:19" ht="18" customHeight="1" x14ac:dyDescent="0.3">
      <c r="E232" s="2"/>
      <c r="F232" s="2"/>
      <c r="G232" s="2"/>
      <c r="O232" s="2"/>
      <c r="P232" s="2"/>
      <c r="Q232" s="2"/>
      <c r="R232" s="2"/>
      <c r="S232" s="2"/>
    </row>
    <row r="233" spans="5:19" ht="18" customHeight="1" x14ac:dyDescent="0.3">
      <c r="E233" s="2"/>
      <c r="F233" s="2"/>
      <c r="G233" s="2"/>
      <c r="O233" s="2"/>
      <c r="P233" s="2"/>
      <c r="Q233" s="2"/>
      <c r="R233" s="2"/>
      <c r="S233" s="2"/>
    </row>
    <row r="234" spans="5:19" ht="18" customHeight="1" x14ac:dyDescent="0.3">
      <c r="E234" s="2"/>
      <c r="F234" s="2"/>
      <c r="G234" s="2"/>
      <c r="O234" s="2"/>
      <c r="P234" s="2"/>
      <c r="Q234" s="2"/>
      <c r="R234" s="2"/>
      <c r="S234" s="2"/>
    </row>
    <row r="235" spans="5:19" ht="18" customHeight="1" x14ac:dyDescent="0.3">
      <c r="E235" s="2"/>
      <c r="F235" s="2"/>
      <c r="G235" s="2"/>
      <c r="O235" s="2"/>
      <c r="P235" s="2"/>
      <c r="Q235" s="2"/>
      <c r="R235" s="2"/>
      <c r="S235" s="2"/>
    </row>
    <row r="236" spans="5:19" ht="18" customHeight="1" x14ac:dyDescent="0.3">
      <c r="E236" s="2"/>
      <c r="F236" s="2"/>
      <c r="G236" s="2"/>
      <c r="O236" s="2"/>
      <c r="P236" s="2"/>
      <c r="Q236" s="2"/>
      <c r="R236" s="2"/>
      <c r="S236" s="2"/>
    </row>
    <row r="237" spans="5:19" ht="18" customHeight="1" x14ac:dyDescent="0.3">
      <c r="E237" s="2"/>
      <c r="F237" s="2"/>
      <c r="G237" s="2"/>
      <c r="O237" s="2"/>
      <c r="P237" s="2"/>
      <c r="Q237" s="2"/>
      <c r="R237" s="2"/>
      <c r="S237" s="2"/>
    </row>
    <row r="238" spans="5:19" ht="18" customHeight="1" x14ac:dyDescent="0.3">
      <c r="E238" s="2"/>
      <c r="F238" s="2"/>
      <c r="G238" s="2"/>
      <c r="O238" s="2"/>
      <c r="P238" s="2"/>
      <c r="Q238" s="2"/>
      <c r="R238" s="2"/>
      <c r="S238" s="2"/>
    </row>
    <row r="239" spans="5:19" ht="18" customHeight="1" x14ac:dyDescent="0.3">
      <c r="E239" s="2"/>
      <c r="F239" s="2"/>
      <c r="G239" s="2"/>
      <c r="O239" s="2"/>
      <c r="P239" s="2"/>
      <c r="Q239" s="2"/>
      <c r="R239" s="2"/>
      <c r="S239" s="2"/>
    </row>
    <row r="240" spans="5:19" ht="18" customHeight="1" x14ac:dyDescent="0.3">
      <c r="E240" s="2"/>
      <c r="F240" s="2"/>
      <c r="G240" s="2"/>
      <c r="O240" s="2"/>
      <c r="P240" s="2"/>
      <c r="Q240" s="2"/>
      <c r="R240" s="2"/>
      <c r="S240" s="2"/>
    </row>
    <row r="241" spans="5:19" ht="18" customHeight="1" x14ac:dyDescent="0.3">
      <c r="E241" s="2"/>
      <c r="F241" s="2"/>
      <c r="G241" s="2"/>
      <c r="O241" s="2"/>
      <c r="P241" s="2"/>
      <c r="Q241" s="2"/>
      <c r="R241" s="2"/>
      <c r="S241" s="2"/>
    </row>
    <row r="242" spans="5:19" ht="18" customHeight="1" x14ac:dyDescent="0.3">
      <c r="E242" s="2"/>
      <c r="F242" s="2"/>
      <c r="G242" s="2"/>
      <c r="O242" s="2"/>
      <c r="P242" s="2"/>
      <c r="Q242" s="2"/>
      <c r="R242" s="2"/>
      <c r="S242" s="2"/>
    </row>
    <row r="243" spans="5:19" ht="18" customHeight="1" x14ac:dyDescent="0.3">
      <c r="E243" s="2"/>
      <c r="F243" s="2"/>
      <c r="G243" s="2"/>
      <c r="O243" s="2"/>
      <c r="P243" s="2"/>
      <c r="Q243" s="2"/>
      <c r="R243" s="2"/>
      <c r="S243" s="2"/>
    </row>
    <row r="244" spans="5:19" ht="18" customHeight="1" x14ac:dyDescent="0.3">
      <c r="E244" s="2"/>
      <c r="F244" s="2"/>
      <c r="G244" s="2"/>
      <c r="O244" s="2"/>
      <c r="P244" s="2"/>
      <c r="Q244" s="2"/>
      <c r="R244" s="2"/>
      <c r="S244" s="2"/>
    </row>
    <row r="245" spans="5:19" ht="18" customHeight="1" x14ac:dyDescent="0.3">
      <c r="E245" s="2"/>
      <c r="F245" s="2"/>
      <c r="G245" s="2"/>
      <c r="O245" s="2"/>
      <c r="P245" s="2"/>
      <c r="Q245" s="2"/>
      <c r="R245" s="2"/>
      <c r="S245" s="2"/>
    </row>
    <row r="246" spans="5:19" ht="18" customHeight="1" x14ac:dyDescent="0.3">
      <c r="E246" s="2"/>
      <c r="F246" s="2"/>
      <c r="G246" s="2"/>
      <c r="O246" s="2"/>
      <c r="P246" s="2"/>
      <c r="Q246" s="2"/>
      <c r="R246" s="2"/>
      <c r="S246" s="2"/>
    </row>
    <row r="247" spans="5:19" ht="18" customHeight="1" x14ac:dyDescent="0.3">
      <c r="E247" s="2"/>
      <c r="F247" s="2"/>
      <c r="G247" s="2"/>
      <c r="O247" s="2"/>
      <c r="P247" s="2"/>
      <c r="Q247" s="2"/>
      <c r="R247" s="2"/>
      <c r="S247" s="2"/>
    </row>
    <row r="248" spans="5:19" ht="18" customHeight="1" x14ac:dyDescent="0.3">
      <c r="E248" s="2"/>
      <c r="F248" s="2"/>
      <c r="G248" s="2"/>
      <c r="O248" s="2"/>
      <c r="P248" s="2"/>
      <c r="Q248" s="2"/>
      <c r="R248" s="2"/>
      <c r="S248" s="2"/>
    </row>
    <row r="249" spans="5:19" ht="18" customHeight="1" x14ac:dyDescent="0.3">
      <c r="E249" s="2"/>
      <c r="F249" s="2"/>
      <c r="G249" s="2"/>
      <c r="O249" s="2"/>
      <c r="P249" s="2"/>
      <c r="Q249" s="2"/>
      <c r="R249" s="2"/>
      <c r="S249" s="2"/>
    </row>
    <row r="250" spans="5:19" ht="18" customHeight="1" x14ac:dyDescent="0.3">
      <c r="E250" s="2"/>
      <c r="F250" s="2"/>
      <c r="G250" s="2"/>
      <c r="O250" s="2"/>
      <c r="P250" s="2"/>
      <c r="Q250" s="2"/>
      <c r="R250" s="2"/>
      <c r="S250" s="2"/>
    </row>
    <row r="251" spans="5:19" ht="18" customHeight="1" x14ac:dyDescent="0.3">
      <c r="E251" s="2"/>
      <c r="F251" s="2"/>
      <c r="G251" s="2"/>
      <c r="O251" s="2"/>
      <c r="P251" s="2"/>
      <c r="Q251" s="2"/>
      <c r="R251" s="2"/>
      <c r="S251" s="2"/>
    </row>
    <row r="252" spans="5:19" ht="18" customHeight="1" x14ac:dyDescent="0.3">
      <c r="E252" s="2"/>
      <c r="F252" s="2"/>
      <c r="G252" s="2"/>
      <c r="O252" s="2"/>
      <c r="P252" s="2"/>
      <c r="Q252" s="2"/>
      <c r="R252" s="2"/>
      <c r="S252" s="2"/>
    </row>
    <row r="253" spans="5:19" ht="18" customHeight="1" x14ac:dyDescent="0.3">
      <c r="E253" s="2"/>
      <c r="F253" s="2"/>
      <c r="G253" s="2"/>
      <c r="O253" s="2"/>
      <c r="P253" s="2"/>
      <c r="Q253" s="2"/>
      <c r="R253" s="2"/>
      <c r="S253" s="2"/>
    </row>
    <row r="254" spans="5:19" ht="18" customHeight="1" x14ac:dyDescent="0.3">
      <c r="E254" s="2"/>
      <c r="F254" s="2"/>
      <c r="G254" s="2"/>
      <c r="O254" s="2"/>
      <c r="P254" s="2"/>
      <c r="Q254" s="2"/>
      <c r="R254" s="2"/>
      <c r="S254" s="2"/>
    </row>
    <row r="255" spans="5:19" ht="18" customHeight="1" x14ac:dyDescent="0.3">
      <c r="E255" s="2"/>
      <c r="F255" s="2"/>
      <c r="G255" s="2"/>
      <c r="O255" s="2"/>
      <c r="P255" s="2"/>
      <c r="Q255" s="2"/>
      <c r="R255" s="2"/>
      <c r="S255" s="2"/>
    </row>
    <row r="256" spans="5:19" ht="18" customHeight="1" x14ac:dyDescent="0.3">
      <c r="E256" s="2"/>
      <c r="F256" s="2"/>
      <c r="G256" s="2"/>
      <c r="O256" s="2"/>
      <c r="P256" s="2"/>
      <c r="Q256" s="2"/>
      <c r="R256" s="2"/>
      <c r="S256" s="2"/>
    </row>
    <row r="257" spans="5:19" ht="18" customHeight="1" x14ac:dyDescent="0.3">
      <c r="E257" s="2"/>
      <c r="F257" s="2"/>
      <c r="G257" s="2"/>
      <c r="O257" s="2"/>
      <c r="P257" s="2"/>
      <c r="Q257" s="2"/>
      <c r="R257" s="2"/>
      <c r="S257" s="2"/>
    </row>
    <row r="258" spans="5:19" ht="18" customHeight="1" x14ac:dyDescent="0.3">
      <c r="E258" s="2"/>
      <c r="F258" s="2"/>
      <c r="G258" s="2"/>
      <c r="O258" s="2"/>
      <c r="P258" s="2"/>
      <c r="Q258" s="2"/>
      <c r="R258" s="2"/>
      <c r="S258" s="2"/>
    </row>
    <row r="259" spans="5:19" ht="18" customHeight="1" x14ac:dyDescent="0.3">
      <c r="E259" s="2"/>
      <c r="F259" s="2"/>
      <c r="G259" s="2"/>
      <c r="O259" s="2"/>
      <c r="P259" s="2"/>
      <c r="Q259" s="2"/>
      <c r="R259" s="2"/>
      <c r="S259" s="2"/>
    </row>
    <row r="260" spans="5:19" ht="18" customHeight="1" x14ac:dyDescent="0.3">
      <c r="E260" s="2"/>
      <c r="F260" s="2"/>
      <c r="G260" s="2"/>
      <c r="O260" s="2"/>
      <c r="P260" s="2"/>
      <c r="Q260" s="2"/>
      <c r="R260" s="2"/>
      <c r="S260" s="2"/>
    </row>
    <row r="261" spans="5:19" ht="18" customHeight="1" x14ac:dyDescent="0.3">
      <c r="E261" s="2"/>
      <c r="F261" s="2"/>
      <c r="G261" s="2"/>
      <c r="O261" s="2"/>
      <c r="P261" s="2"/>
      <c r="Q261" s="2"/>
      <c r="R261" s="2"/>
      <c r="S261" s="2"/>
    </row>
    <row r="262" spans="5:19" ht="18" customHeight="1" x14ac:dyDescent="0.3">
      <c r="E262" s="2"/>
      <c r="F262" s="2"/>
      <c r="G262" s="2"/>
      <c r="O262" s="2"/>
      <c r="P262" s="2"/>
      <c r="Q262" s="2"/>
      <c r="R262" s="2"/>
      <c r="S262" s="2"/>
    </row>
    <row r="263" spans="5:19" ht="18" customHeight="1" x14ac:dyDescent="0.3">
      <c r="E263" s="2"/>
      <c r="F263" s="2"/>
      <c r="G263" s="2"/>
      <c r="O263" s="2"/>
      <c r="P263" s="2"/>
      <c r="Q263" s="2"/>
      <c r="R263" s="2"/>
      <c r="S263" s="2"/>
    </row>
    <row r="264" spans="5:19" ht="18" customHeight="1" x14ac:dyDescent="0.3">
      <c r="E264" s="2"/>
      <c r="F264" s="2"/>
      <c r="G264" s="2"/>
      <c r="O264" s="2"/>
      <c r="P264" s="2"/>
      <c r="Q264" s="2"/>
      <c r="R264" s="2"/>
      <c r="S264" s="2"/>
    </row>
    <row r="265" spans="5:19" ht="18" customHeight="1" x14ac:dyDescent="0.3">
      <c r="E265" s="2"/>
      <c r="F265" s="2"/>
      <c r="G265" s="2"/>
      <c r="O265" s="2"/>
      <c r="P265" s="2"/>
      <c r="Q265" s="2"/>
      <c r="R265" s="2"/>
      <c r="S265" s="2"/>
    </row>
    <row r="266" spans="5:19" ht="18" customHeight="1" x14ac:dyDescent="0.3">
      <c r="E266" s="2"/>
      <c r="F266" s="2"/>
      <c r="G266" s="2"/>
      <c r="O266" s="2"/>
      <c r="P266" s="2"/>
      <c r="Q266" s="2"/>
      <c r="R266" s="2"/>
      <c r="S266" s="2"/>
    </row>
    <row r="267" spans="5:19" ht="18" customHeight="1" x14ac:dyDescent="0.3">
      <c r="E267" s="2"/>
      <c r="F267" s="2"/>
      <c r="G267" s="2"/>
      <c r="O267" s="2"/>
      <c r="P267" s="2"/>
      <c r="Q267" s="2"/>
      <c r="R267" s="2"/>
      <c r="S267" s="2"/>
    </row>
    <row r="268" spans="5:19" ht="18" customHeight="1" x14ac:dyDescent="0.3">
      <c r="E268" s="2"/>
      <c r="F268" s="2"/>
      <c r="G268" s="2"/>
      <c r="O268" s="2"/>
      <c r="P268" s="2"/>
      <c r="Q268" s="2"/>
      <c r="R268" s="2"/>
      <c r="S268" s="2"/>
    </row>
    <row r="269" spans="5:19" ht="18" customHeight="1" x14ac:dyDescent="0.3">
      <c r="E269" s="2"/>
      <c r="F269" s="2"/>
      <c r="G269" s="2"/>
      <c r="O269" s="2"/>
      <c r="P269" s="2"/>
      <c r="Q269" s="2"/>
      <c r="R269" s="2"/>
      <c r="S269" s="2"/>
    </row>
    <row r="270" spans="5:19" ht="18" customHeight="1" x14ac:dyDescent="0.3">
      <c r="E270" s="2"/>
      <c r="F270" s="2"/>
      <c r="G270" s="2"/>
      <c r="O270" s="2"/>
      <c r="P270" s="2"/>
      <c r="Q270" s="2"/>
      <c r="R270" s="2"/>
      <c r="S270" s="2"/>
    </row>
    <row r="271" spans="5:19" ht="18" customHeight="1" x14ac:dyDescent="0.3">
      <c r="E271" s="2"/>
      <c r="F271" s="2"/>
      <c r="G271" s="2"/>
      <c r="O271" s="2"/>
      <c r="P271" s="2"/>
      <c r="Q271" s="2"/>
      <c r="R271" s="2"/>
      <c r="S271" s="2"/>
    </row>
    <row r="272" spans="5:19" ht="18" customHeight="1" x14ac:dyDescent="0.3">
      <c r="E272" s="2"/>
      <c r="F272" s="2"/>
      <c r="G272" s="2"/>
      <c r="O272" s="2"/>
      <c r="P272" s="2"/>
      <c r="Q272" s="2"/>
      <c r="R272" s="2"/>
      <c r="S272" s="2"/>
    </row>
    <row r="273" spans="5:19" ht="18" customHeight="1" x14ac:dyDescent="0.3">
      <c r="E273" s="2"/>
      <c r="F273" s="2"/>
      <c r="G273" s="2"/>
      <c r="O273" s="2"/>
      <c r="P273" s="2"/>
      <c r="Q273" s="2"/>
      <c r="R273" s="2"/>
      <c r="S273" s="2"/>
    </row>
    <row r="274" spans="5:19" ht="18" customHeight="1" x14ac:dyDescent="0.3">
      <c r="E274" s="2"/>
      <c r="F274" s="2"/>
      <c r="G274" s="2"/>
      <c r="O274" s="2"/>
      <c r="P274" s="2"/>
      <c r="Q274" s="2"/>
      <c r="R274" s="2"/>
      <c r="S274" s="2"/>
    </row>
    <row r="275" spans="5:19" ht="18" customHeight="1" x14ac:dyDescent="0.3">
      <c r="E275" s="2"/>
      <c r="F275" s="2"/>
      <c r="G275" s="2"/>
      <c r="O275" s="2"/>
      <c r="P275" s="2"/>
      <c r="Q275" s="2"/>
      <c r="R275" s="2"/>
      <c r="S275" s="2"/>
    </row>
    <row r="276" spans="5:19" ht="18" customHeight="1" x14ac:dyDescent="0.3">
      <c r="E276" s="2"/>
      <c r="F276" s="2"/>
      <c r="G276" s="2"/>
      <c r="O276" s="2"/>
      <c r="P276" s="2"/>
      <c r="Q276" s="2"/>
      <c r="R276" s="2"/>
      <c r="S276" s="2"/>
    </row>
    <row r="277" spans="5:19" ht="18" customHeight="1" x14ac:dyDescent="0.3">
      <c r="E277" s="2"/>
      <c r="F277" s="2"/>
      <c r="G277" s="2"/>
      <c r="O277" s="2"/>
      <c r="P277" s="2"/>
      <c r="Q277" s="2"/>
      <c r="R277" s="2"/>
      <c r="S277" s="2"/>
    </row>
    <row r="278" spans="5:19" ht="18" customHeight="1" x14ac:dyDescent="0.3">
      <c r="E278" s="2"/>
      <c r="F278" s="2"/>
      <c r="G278" s="2"/>
      <c r="O278" s="2"/>
      <c r="P278" s="2"/>
      <c r="Q278" s="2"/>
      <c r="R278" s="2"/>
      <c r="S278" s="2"/>
    </row>
    <row r="279" spans="5:19" ht="18" customHeight="1" x14ac:dyDescent="0.3">
      <c r="E279" s="2"/>
      <c r="F279" s="2"/>
      <c r="G279" s="2"/>
      <c r="O279" s="2"/>
      <c r="P279" s="2"/>
      <c r="Q279" s="2"/>
      <c r="R279" s="2"/>
      <c r="S279" s="2"/>
    </row>
    <row r="280" spans="5:19" ht="18" customHeight="1" x14ac:dyDescent="0.3">
      <c r="E280" s="2"/>
      <c r="F280" s="2"/>
      <c r="G280" s="2"/>
      <c r="O280" s="2"/>
      <c r="P280" s="2"/>
      <c r="Q280" s="2"/>
      <c r="R280" s="2"/>
      <c r="S280" s="2"/>
    </row>
    <row r="281" spans="5:19" ht="18" customHeight="1" x14ac:dyDescent="0.3">
      <c r="E281" s="2"/>
      <c r="F281" s="2"/>
      <c r="G281" s="2"/>
      <c r="O281" s="2"/>
      <c r="P281" s="2"/>
      <c r="Q281" s="2"/>
      <c r="R281" s="2"/>
      <c r="S281" s="2"/>
    </row>
    <row r="282" spans="5:19" ht="18" customHeight="1" x14ac:dyDescent="0.3">
      <c r="E282" s="2"/>
      <c r="F282" s="2"/>
      <c r="G282" s="2"/>
      <c r="O282" s="2"/>
      <c r="P282" s="2"/>
      <c r="Q282" s="2"/>
      <c r="R282" s="2"/>
      <c r="S282" s="2"/>
    </row>
    <row r="283" spans="5:19" ht="18" customHeight="1" x14ac:dyDescent="0.3">
      <c r="E283" s="2"/>
      <c r="F283" s="2"/>
      <c r="G283" s="2"/>
      <c r="O283" s="2"/>
      <c r="P283" s="2"/>
      <c r="Q283" s="2"/>
      <c r="R283" s="2"/>
      <c r="S283" s="2"/>
    </row>
    <row r="284" spans="5:19" ht="18" customHeight="1" x14ac:dyDescent="0.3">
      <c r="E284" s="2"/>
      <c r="F284" s="2"/>
      <c r="G284" s="2"/>
      <c r="O284" s="2"/>
      <c r="P284" s="2"/>
      <c r="Q284" s="2"/>
      <c r="R284" s="2"/>
      <c r="S284" s="2"/>
    </row>
    <row r="285" spans="5:19" ht="18" customHeight="1" x14ac:dyDescent="0.3">
      <c r="E285" s="2"/>
      <c r="F285" s="2"/>
      <c r="G285" s="2"/>
      <c r="O285" s="2"/>
      <c r="P285" s="2"/>
      <c r="Q285" s="2"/>
      <c r="R285" s="2"/>
      <c r="S285" s="2"/>
    </row>
    <row r="286" spans="5:19" ht="18" customHeight="1" x14ac:dyDescent="0.3">
      <c r="E286" s="2"/>
      <c r="F286" s="2"/>
      <c r="G286" s="2"/>
      <c r="O286" s="2"/>
      <c r="P286" s="2"/>
      <c r="Q286" s="2"/>
      <c r="R286" s="2"/>
      <c r="S286" s="2"/>
    </row>
    <row r="287" spans="5:19" ht="18" customHeight="1" x14ac:dyDescent="0.3">
      <c r="E287" s="2"/>
      <c r="F287" s="2"/>
      <c r="G287" s="2"/>
      <c r="O287" s="2"/>
      <c r="P287" s="2"/>
      <c r="Q287" s="2"/>
      <c r="R287" s="2"/>
      <c r="S287" s="2"/>
    </row>
    <row r="288" spans="5:19" ht="18" customHeight="1" x14ac:dyDescent="0.3">
      <c r="E288" s="2"/>
      <c r="F288" s="2"/>
      <c r="G288" s="2"/>
      <c r="O288" s="2"/>
      <c r="P288" s="2"/>
      <c r="Q288" s="2"/>
      <c r="R288" s="2"/>
      <c r="S288" s="2"/>
    </row>
    <row r="289" spans="5:19" ht="18" customHeight="1" x14ac:dyDescent="0.3">
      <c r="E289" s="2"/>
      <c r="F289" s="2"/>
      <c r="G289" s="2"/>
      <c r="O289" s="2"/>
      <c r="P289" s="2"/>
      <c r="Q289" s="2"/>
      <c r="R289" s="2"/>
      <c r="S289" s="2"/>
    </row>
    <row r="290" spans="5:19" ht="18" customHeight="1" x14ac:dyDescent="0.3">
      <c r="E290" s="2"/>
      <c r="F290" s="2"/>
      <c r="G290" s="2"/>
      <c r="O290" s="2"/>
      <c r="P290" s="2"/>
      <c r="Q290" s="2"/>
      <c r="R290" s="2"/>
      <c r="S290" s="2"/>
    </row>
    <row r="291" spans="5:19" ht="18" customHeight="1" x14ac:dyDescent="0.3">
      <c r="E291" s="2"/>
      <c r="F291" s="2"/>
      <c r="G291" s="2"/>
      <c r="O291" s="2"/>
      <c r="P291" s="2"/>
      <c r="Q291" s="2"/>
      <c r="R291" s="2"/>
      <c r="S291" s="2"/>
    </row>
    <row r="292" spans="5:19" ht="18" customHeight="1" x14ac:dyDescent="0.3">
      <c r="E292" s="2"/>
      <c r="F292" s="2"/>
      <c r="G292" s="2"/>
      <c r="O292" s="2"/>
      <c r="P292" s="2"/>
      <c r="Q292" s="2"/>
      <c r="R292" s="2"/>
      <c r="S292" s="2"/>
    </row>
    <row r="293" spans="5:19" ht="18" customHeight="1" x14ac:dyDescent="0.3">
      <c r="E293" s="2"/>
      <c r="F293" s="2"/>
      <c r="G293" s="2"/>
      <c r="O293" s="2"/>
      <c r="P293" s="2"/>
      <c r="Q293" s="2"/>
      <c r="R293" s="2"/>
      <c r="S293" s="2"/>
    </row>
    <row r="294" spans="5:19" ht="18" customHeight="1" x14ac:dyDescent="0.3">
      <c r="E294" s="2"/>
      <c r="F294" s="2"/>
      <c r="G294" s="2"/>
      <c r="O294" s="2"/>
      <c r="P294" s="2"/>
      <c r="Q294" s="2"/>
      <c r="R294" s="2"/>
      <c r="S294" s="2"/>
    </row>
    <row r="295" spans="5:19" ht="18" customHeight="1" x14ac:dyDescent="0.3">
      <c r="E295" s="2"/>
      <c r="F295" s="2"/>
      <c r="G295" s="2"/>
      <c r="O295" s="2"/>
      <c r="P295" s="2"/>
      <c r="Q295" s="2"/>
      <c r="R295" s="2"/>
      <c r="S295" s="2"/>
    </row>
    <row r="296" spans="5:19" ht="18" customHeight="1" x14ac:dyDescent="0.3">
      <c r="E296" s="2"/>
      <c r="F296" s="2"/>
      <c r="G296" s="2"/>
      <c r="O296" s="2"/>
      <c r="P296" s="2"/>
      <c r="Q296" s="2"/>
      <c r="R296" s="2"/>
      <c r="S296" s="2"/>
    </row>
    <row r="297" spans="5:19" ht="18" customHeight="1" x14ac:dyDescent="0.3">
      <c r="E297" s="2"/>
      <c r="F297" s="2"/>
      <c r="G297" s="2"/>
      <c r="O297" s="2"/>
      <c r="P297" s="2"/>
      <c r="Q297" s="2"/>
      <c r="R297" s="2"/>
      <c r="S297" s="2"/>
    </row>
    <row r="298" spans="5:19" ht="18" customHeight="1" x14ac:dyDescent="0.3">
      <c r="E298" s="2"/>
      <c r="F298" s="2"/>
      <c r="G298" s="2"/>
      <c r="O298" s="2"/>
      <c r="P298" s="2"/>
      <c r="Q298" s="2"/>
      <c r="R298" s="2"/>
      <c r="S298" s="2"/>
    </row>
    <row r="299" spans="5:19" ht="18" customHeight="1" x14ac:dyDescent="0.3">
      <c r="E299" s="2"/>
      <c r="F299" s="2"/>
      <c r="G299" s="2"/>
      <c r="O299" s="2"/>
      <c r="P299" s="2"/>
      <c r="Q299" s="2"/>
      <c r="R299" s="2"/>
      <c r="S299" s="2"/>
    </row>
    <row r="300" spans="5:19" ht="18" customHeight="1" x14ac:dyDescent="0.3">
      <c r="E300" s="2"/>
      <c r="F300" s="2"/>
      <c r="G300" s="2"/>
      <c r="O300" s="2"/>
      <c r="P300" s="2"/>
      <c r="Q300" s="2"/>
      <c r="R300" s="2"/>
      <c r="S300" s="2"/>
    </row>
    <row r="301" spans="5:19" ht="18" customHeight="1" x14ac:dyDescent="0.3">
      <c r="E301" s="2"/>
      <c r="F301" s="2"/>
      <c r="G301" s="2"/>
      <c r="O301" s="2"/>
      <c r="P301" s="2"/>
      <c r="Q301" s="2"/>
      <c r="R301" s="2"/>
      <c r="S301" s="2"/>
    </row>
    <row r="302" spans="5:19" ht="18" customHeight="1" x14ac:dyDescent="0.3">
      <c r="E302" s="2"/>
      <c r="F302" s="2"/>
      <c r="G302" s="2"/>
      <c r="O302" s="2"/>
      <c r="P302" s="2"/>
      <c r="Q302" s="2"/>
      <c r="R302" s="2"/>
      <c r="S302" s="2"/>
    </row>
    <row r="303" spans="5:19" ht="18" customHeight="1" x14ac:dyDescent="0.3">
      <c r="E303" s="2"/>
      <c r="F303" s="2"/>
      <c r="G303" s="2"/>
      <c r="O303" s="2"/>
      <c r="P303" s="2"/>
      <c r="Q303" s="2"/>
      <c r="R303" s="2"/>
      <c r="S303" s="2"/>
    </row>
    <row r="304" spans="5:19" ht="18" customHeight="1" x14ac:dyDescent="0.3">
      <c r="E304" s="2"/>
      <c r="F304" s="2"/>
      <c r="G304" s="2"/>
      <c r="O304" s="2"/>
      <c r="P304" s="2"/>
      <c r="Q304" s="2"/>
      <c r="R304" s="2"/>
      <c r="S304" s="2"/>
    </row>
    <row r="305" spans="5:19" ht="18" customHeight="1" x14ac:dyDescent="0.3">
      <c r="E305" s="2"/>
      <c r="F305" s="2"/>
      <c r="G305" s="2"/>
      <c r="O305" s="2"/>
      <c r="P305" s="2"/>
      <c r="Q305" s="2"/>
      <c r="R305" s="2"/>
      <c r="S305" s="2"/>
    </row>
    <row r="306" spans="5:19" ht="18" customHeight="1" x14ac:dyDescent="0.3">
      <c r="E306" s="2"/>
      <c r="F306" s="2"/>
      <c r="G306" s="2"/>
      <c r="O306" s="2"/>
      <c r="P306" s="2"/>
      <c r="Q306" s="2"/>
      <c r="R306" s="2"/>
      <c r="S306" s="2"/>
    </row>
    <row r="307" spans="5:19" ht="18" customHeight="1" x14ac:dyDescent="0.3">
      <c r="E307" s="2"/>
      <c r="F307" s="2"/>
      <c r="G307" s="2"/>
      <c r="O307" s="2"/>
      <c r="P307" s="2"/>
      <c r="Q307" s="2"/>
      <c r="R307" s="2"/>
      <c r="S307" s="2"/>
    </row>
    <row r="308" spans="5:19" ht="18" customHeight="1" x14ac:dyDescent="0.3">
      <c r="E308" s="2"/>
      <c r="F308" s="2"/>
      <c r="G308" s="2"/>
      <c r="O308" s="2"/>
      <c r="P308" s="2"/>
      <c r="Q308" s="2"/>
      <c r="R308" s="2"/>
      <c r="S308" s="2"/>
    </row>
    <row r="309" spans="5:19" ht="18" customHeight="1" x14ac:dyDescent="0.3">
      <c r="E309" s="2"/>
      <c r="F309" s="2"/>
      <c r="G309" s="2"/>
      <c r="O309" s="2"/>
      <c r="P309" s="2"/>
      <c r="Q309" s="2"/>
      <c r="R309" s="2"/>
      <c r="S309" s="2"/>
    </row>
    <row r="310" spans="5:19" ht="18" customHeight="1" x14ac:dyDescent="0.3">
      <c r="E310" s="2"/>
      <c r="F310" s="2"/>
      <c r="G310" s="2"/>
      <c r="O310" s="2"/>
      <c r="P310" s="2"/>
      <c r="Q310" s="2"/>
      <c r="R310" s="2"/>
      <c r="S310" s="2"/>
    </row>
    <row r="311" spans="5:19" ht="18" customHeight="1" x14ac:dyDescent="0.3">
      <c r="E311" s="2"/>
      <c r="F311" s="2"/>
      <c r="G311" s="2"/>
      <c r="O311" s="2"/>
      <c r="P311" s="2"/>
      <c r="Q311" s="2"/>
      <c r="R311" s="2"/>
      <c r="S311" s="2"/>
    </row>
    <row r="312" spans="5:19" ht="18" customHeight="1" x14ac:dyDescent="0.3">
      <c r="E312" s="2"/>
      <c r="F312" s="2"/>
      <c r="G312" s="2"/>
      <c r="O312" s="2"/>
      <c r="P312" s="2"/>
      <c r="Q312" s="2"/>
      <c r="R312" s="2"/>
      <c r="S312" s="2"/>
    </row>
    <row r="313" spans="5:19" ht="18" customHeight="1" x14ac:dyDescent="0.3">
      <c r="E313" s="2"/>
      <c r="F313" s="2"/>
      <c r="G313" s="2"/>
      <c r="O313" s="2"/>
      <c r="P313" s="2"/>
      <c r="Q313" s="2"/>
      <c r="R313" s="2"/>
      <c r="S313" s="2"/>
    </row>
    <row r="314" spans="5:19" ht="18" customHeight="1" x14ac:dyDescent="0.3">
      <c r="E314" s="2"/>
      <c r="F314" s="2"/>
      <c r="G314" s="2"/>
      <c r="O314" s="2"/>
      <c r="P314" s="2"/>
      <c r="Q314" s="2"/>
      <c r="R314" s="2"/>
      <c r="S314" s="2"/>
    </row>
    <row r="315" spans="5:19" ht="18" customHeight="1" x14ac:dyDescent="0.3">
      <c r="E315" s="2"/>
      <c r="F315" s="2"/>
      <c r="G315" s="2"/>
      <c r="O315" s="2"/>
      <c r="P315" s="2"/>
      <c r="Q315" s="2"/>
      <c r="R315" s="2"/>
      <c r="S315" s="2"/>
    </row>
    <row r="316" spans="5:19" ht="18" customHeight="1" x14ac:dyDescent="0.3">
      <c r="E316" s="2"/>
      <c r="F316" s="2"/>
      <c r="G316" s="2"/>
      <c r="O316" s="2"/>
      <c r="P316" s="2"/>
      <c r="Q316" s="2"/>
      <c r="R316" s="2"/>
      <c r="S316" s="2"/>
    </row>
    <row r="317" spans="5:19" ht="18" customHeight="1" x14ac:dyDescent="0.3">
      <c r="E317" s="2"/>
      <c r="F317" s="2"/>
      <c r="G317" s="2"/>
      <c r="O317" s="2"/>
      <c r="P317" s="2"/>
      <c r="Q317" s="2"/>
      <c r="R317" s="2"/>
      <c r="S317" s="2"/>
    </row>
    <row r="318" spans="5:19" ht="18" customHeight="1" x14ac:dyDescent="0.3">
      <c r="E318" s="2"/>
      <c r="F318" s="2"/>
      <c r="G318" s="2"/>
      <c r="O318" s="2"/>
      <c r="P318" s="2"/>
      <c r="Q318" s="2"/>
      <c r="R318" s="2"/>
      <c r="S318" s="2"/>
    </row>
    <row r="319" spans="5:19" ht="18" customHeight="1" x14ac:dyDescent="0.3">
      <c r="E319" s="2"/>
      <c r="F319" s="2"/>
      <c r="G319" s="2"/>
      <c r="O319" s="2"/>
      <c r="P319" s="2"/>
      <c r="Q319" s="2"/>
      <c r="R319" s="2"/>
      <c r="S319" s="2"/>
    </row>
    <row r="320" spans="5:19" ht="18" customHeight="1" x14ac:dyDescent="0.3">
      <c r="E320" s="2"/>
      <c r="F320" s="2"/>
      <c r="G320" s="2"/>
      <c r="O320" s="2"/>
      <c r="P320" s="2"/>
      <c r="Q320" s="2"/>
      <c r="R320" s="2"/>
      <c r="S320" s="2"/>
    </row>
    <row r="321" spans="5:19" ht="18" customHeight="1" x14ac:dyDescent="0.3">
      <c r="E321" s="2"/>
      <c r="F321" s="2"/>
      <c r="G321" s="2"/>
      <c r="O321" s="2"/>
      <c r="P321" s="2"/>
      <c r="Q321" s="2"/>
      <c r="R321" s="2"/>
      <c r="S321" s="2"/>
    </row>
    <row r="322" spans="5:19" ht="18" customHeight="1" x14ac:dyDescent="0.3">
      <c r="E322" s="2"/>
      <c r="F322" s="2"/>
      <c r="G322" s="2"/>
      <c r="O322" s="2"/>
      <c r="P322" s="2"/>
      <c r="Q322" s="2"/>
      <c r="R322" s="2"/>
      <c r="S322" s="2"/>
    </row>
    <row r="323" spans="5:19" ht="18" customHeight="1" x14ac:dyDescent="0.3">
      <c r="E323" s="2"/>
      <c r="F323" s="2"/>
      <c r="G323" s="2"/>
      <c r="O323" s="2"/>
      <c r="P323" s="2"/>
      <c r="Q323" s="2"/>
      <c r="R323" s="2"/>
      <c r="S323" s="2"/>
    </row>
    <row r="324" spans="5:19" ht="18" customHeight="1" x14ac:dyDescent="0.3">
      <c r="E324" s="2"/>
      <c r="F324" s="2"/>
      <c r="G324" s="2"/>
      <c r="O324" s="2"/>
      <c r="P324" s="2"/>
      <c r="Q324" s="2"/>
      <c r="R324" s="2"/>
      <c r="S324" s="2"/>
    </row>
    <row r="325" spans="5:19" ht="18" customHeight="1" x14ac:dyDescent="0.3">
      <c r="E325" s="2"/>
      <c r="F325" s="2"/>
      <c r="G325" s="2"/>
      <c r="O325" s="2"/>
      <c r="P325" s="2"/>
      <c r="Q325" s="2"/>
      <c r="R325" s="2"/>
      <c r="S325" s="2"/>
    </row>
    <row r="326" spans="5:19" ht="18" customHeight="1" x14ac:dyDescent="0.3">
      <c r="E326" s="2"/>
      <c r="F326" s="2"/>
      <c r="G326" s="2"/>
      <c r="O326" s="2"/>
      <c r="P326" s="2"/>
      <c r="Q326" s="2"/>
      <c r="R326" s="2"/>
      <c r="S326" s="2"/>
    </row>
    <row r="327" spans="5:19" ht="18" customHeight="1" x14ac:dyDescent="0.3">
      <c r="E327" s="2"/>
      <c r="F327" s="2"/>
      <c r="G327" s="2"/>
      <c r="O327" s="2"/>
      <c r="P327" s="2"/>
      <c r="Q327" s="2"/>
      <c r="R327" s="2"/>
      <c r="S327" s="2"/>
    </row>
    <row r="328" spans="5:19" ht="18" customHeight="1" x14ac:dyDescent="0.3">
      <c r="E328" s="2"/>
      <c r="F328" s="2"/>
      <c r="G328" s="2"/>
      <c r="O328" s="2"/>
      <c r="P328" s="2"/>
      <c r="Q328" s="2"/>
      <c r="R328" s="2"/>
      <c r="S328" s="2"/>
    </row>
    <row r="329" spans="5:19" ht="18" customHeight="1" x14ac:dyDescent="0.3">
      <c r="E329" s="2"/>
      <c r="F329" s="2"/>
      <c r="G329" s="2"/>
      <c r="O329" s="2"/>
      <c r="P329" s="2"/>
      <c r="Q329" s="2"/>
      <c r="R329" s="2"/>
      <c r="S329" s="2"/>
    </row>
    <row r="330" spans="5:19" ht="18" customHeight="1" x14ac:dyDescent="0.3">
      <c r="E330" s="2"/>
      <c r="F330" s="2"/>
      <c r="G330" s="2"/>
      <c r="O330" s="2"/>
      <c r="P330" s="2"/>
      <c r="Q330" s="2"/>
      <c r="R330" s="2"/>
      <c r="S330" s="2"/>
    </row>
    <row r="331" spans="5:19" ht="18" customHeight="1" x14ac:dyDescent="0.3">
      <c r="E331" s="2"/>
      <c r="F331" s="2"/>
      <c r="G331" s="2"/>
      <c r="O331" s="2"/>
      <c r="P331" s="2"/>
      <c r="Q331" s="2"/>
      <c r="R331" s="2"/>
      <c r="S331" s="2"/>
    </row>
    <row r="332" spans="5:19" ht="18" customHeight="1" x14ac:dyDescent="0.3">
      <c r="E332" s="2"/>
      <c r="F332" s="2"/>
      <c r="G332" s="2"/>
      <c r="O332" s="2"/>
      <c r="P332" s="2"/>
      <c r="Q332" s="2"/>
      <c r="R332" s="2"/>
      <c r="S332" s="2"/>
    </row>
    <row r="333" spans="5:19" ht="18" customHeight="1" x14ac:dyDescent="0.3">
      <c r="E333" s="2"/>
      <c r="F333" s="2"/>
      <c r="G333" s="2"/>
      <c r="O333" s="2"/>
      <c r="P333" s="2"/>
      <c r="Q333" s="2"/>
      <c r="R333" s="2"/>
      <c r="S333" s="2"/>
    </row>
    <row r="334" spans="5:19" ht="18" customHeight="1" x14ac:dyDescent="0.3">
      <c r="E334" s="2"/>
      <c r="F334" s="2"/>
      <c r="G334" s="2"/>
      <c r="O334" s="2"/>
      <c r="P334" s="2"/>
      <c r="Q334" s="2"/>
      <c r="R334" s="2"/>
      <c r="S334" s="2"/>
    </row>
    <row r="335" spans="5:19" ht="18" customHeight="1" x14ac:dyDescent="0.3">
      <c r="E335" s="2"/>
      <c r="F335" s="2"/>
      <c r="G335" s="2"/>
      <c r="O335" s="2"/>
      <c r="P335" s="2"/>
      <c r="Q335" s="2"/>
      <c r="R335" s="2"/>
      <c r="S335" s="2"/>
    </row>
    <row r="336" spans="5:19" ht="18" customHeight="1" x14ac:dyDescent="0.3">
      <c r="E336" s="2"/>
      <c r="F336" s="2"/>
      <c r="G336" s="2"/>
      <c r="O336" s="2"/>
      <c r="P336" s="2"/>
      <c r="Q336" s="2"/>
      <c r="R336" s="2"/>
      <c r="S336" s="2"/>
    </row>
    <row r="337" spans="5:19" ht="18" customHeight="1" x14ac:dyDescent="0.3">
      <c r="E337" s="2"/>
      <c r="F337" s="2"/>
      <c r="G337" s="2"/>
      <c r="O337" s="2"/>
      <c r="P337" s="2"/>
      <c r="Q337" s="2"/>
      <c r="R337" s="2"/>
      <c r="S337" s="2"/>
    </row>
    <row r="338" spans="5:19" ht="18" customHeight="1" x14ac:dyDescent="0.3">
      <c r="E338" s="2"/>
      <c r="F338" s="2"/>
      <c r="G338" s="2"/>
      <c r="O338" s="2"/>
      <c r="P338" s="2"/>
      <c r="Q338" s="2"/>
      <c r="R338" s="2"/>
      <c r="S338" s="2"/>
    </row>
    <row r="339" spans="5:19" ht="18" customHeight="1" x14ac:dyDescent="0.3">
      <c r="E339" s="2"/>
      <c r="F339" s="2"/>
      <c r="G339" s="2"/>
      <c r="O339" s="2"/>
      <c r="P339" s="2"/>
      <c r="Q339" s="2"/>
      <c r="R339" s="2"/>
      <c r="S339" s="2"/>
    </row>
    <row r="340" spans="5:19" ht="18" customHeight="1" x14ac:dyDescent="0.3">
      <c r="E340" s="2"/>
      <c r="F340" s="2"/>
      <c r="G340" s="2"/>
      <c r="O340" s="2"/>
      <c r="P340" s="2"/>
      <c r="Q340" s="2"/>
      <c r="R340" s="2"/>
      <c r="S340" s="2"/>
    </row>
    <row r="341" spans="5:19" ht="18" customHeight="1" x14ac:dyDescent="0.3">
      <c r="E341" s="2"/>
      <c r="F341" s="2"/>
      <c r="G341" s="2"/>
      <c r="O341" s="2"/>
      <c r="P341" s="2"/>
      <c r="Q341" s="2"/>
      <c r="R341" s="2"/>
      <c r="S341" s="2"/>
    </row>
    <row r="342" spans="5:19" ht="18" customHeight="1" x14ac:dyDescent="0.3">
      <c r="E342" s="2"/>
      <c r="F342" s="2"/>
      <c r="G342" s="2"/>
      <c r="O342" s="2"/>
      <c r="P342" s="2"/>
      <c r="Q342" s="2"/>
      <c r="R342" s="2"/>
      <c r="S342" s="2"/>
    </row>
    <row r="343" spans="5:19" ht="18" customHeight="1" x14ac:dyDescent="0.3">
      <c r="E343" s="2"/>
      <c r="F343" s="2"/>
      <c r="G343" s="2"/>
      <c r="O343" s="2"/>
      <c r="P343" s="2"/>
      <c r="Q343" s="2"/>
      <c r="R343" s="2"/>
      <c r="S343" s="2"/>
    </row>
    <row r="344" spans="5:19" ht="18" customHeight="1" x14ac:dyDescent="0.3">
      <c r="E344" s="2"/>
      <c r="F344" s="2"/>
      <c r="G344" s="2"/>
      <c r="O344" s="2"/>
      <c r="P344" s="2"/>
      <c r="Q344" s="2"/>
      <c r="R344" s="2"/>
      <c r="S344" s="2"/>
    </row>
    <row r="345" spans="5:19" ht="18" customHeight="1" x14ac:dyDescent="0.3">
      <c r="E345" s="2"/>
      <c r="F345" s="2"/>
      <c r="G345" s="2"/>
      <c r="O345" s="2"/>
      <c r="P345" s="2"/>
      <c r="Q345" s="2"/>
      <c r="R345" s="2"/>
      <c r="S345" s="2"/>
    </row>
    <row r="346" spans="5:19" ht="18" customHeight="1" x14ac:dyDescent="0.3">
      <c r="E346" s="2"/>
      <c r="F346" s="2"/>
      <c r="G346" s="2"/>
      <c r="O346" s="2"/>
      <c r="P346" s="2"/>
      <c r="Q346" s="2"/>
      <c r="R346" s="2"/>
      <c r="S346" s="2"/>
    </row>
    <row r="347" spans="5:19" ht="18" customHeight="1" x14ac:dyDescent="0.3">
      <c r="E347" s="2"/>
      <c r="F347" s="2"/>
      <c r="G347" s="2"/>
      <c r="O347" s="2"/>
      <c r="P347" s="2"/>
      <c r="Q347" s="2"/>
      <c r="R347" s="2"/>
      <c r="S347" s="2"/>
    </row>
    <row r="348" spans="5:19" ht="18" customHeight="1" x14ac:dyDescent="0.3">
      <c r="E348" s="2"/>
      <c r="F348" s="2"/>
      <c r="G348" s="2"/>
      <c r="O348" s="2"/>
      <c r="P348" s="2"/>
      <c r="Q348" s="2"/>
      <c r="R348" s="2"/>
      <c r="S348" s="2"/>
    </row>
    <row r="349" spans="5:19" ht="18" customHeight="1" x14ac:dyDescent="0.3">
      <c r="E349" s="2"/>
      <c r="F349" s="2"/>
      <c r="G349" s="2"/>
      <c r="O349" s="2"/>
      <c r="P349" s="2"/>
      <c r="Q349" s="2"/>
      <c r="R349" s="2"/>
      <c r="S349" s="2"/>
    </row>
    <row r="350" spans="5:19" ht="18" customHeight="1" x14ac:dyDescent="0.3">
      <c r="E350" s="2"/>
      <c r="F350" s="2"/>
      <c r="G350" s="2"/>
      <c r="O350" s="2"/>
      <c r="P350" s="2"/>
      <c r="Q350" s="2"/>
      <c r="R350" s="2"/>
      <c r="S350" s="2"/>
    </row>
    <row r="351" spans="5:19" ht="18" customHeight="1" x14ac:dyDescent="0.3">
      <c r="E351" s="2"/>
      <c r="F351" s="2"/>
      <c r="G351" s="2"/>
      <c r="O351" s="2"/>
      <c r="P351" s="2"/>
      <c r="Q351" s="2"/>
      <c r="R351" s="2"/>
      <c r="S351" s="2"/>
    </row>
    <row r="352" spans="5:19" ht="18" customHeight="1" x14ac:dyDescent="0.3">
      <c r="E352" s="2"/>
      <c r="F352" s="2"/>
      <c r="G352" s="2"/>
      <c r="O352" s="2"/>
      <c r="P352" s="2"/>
      <c r="Q352" s="2"/>
      <c r="R352" s="2"/>
      <c r="S352" s="2"/>
    </row>
    <row r="353" spans="5:19" ht="18" customHeight="1" x14ac:dyDescent="0.3">
      <c r="E353" s="2"/>
      <c r="F353" s="2"/>
      <c r="G353" s="2"/>
      <c r="O353" s="2"/>
      <c r="P353" s="2"/>
      <c r="Q353" s="2"/>
      <c r="R353" s="2"/>
      <c r="S353" s="2"/>
    </row>
    <row r="354" spans="5:19" ht="18" customHeight="1" x14ac:dyDescent="0.3">
      <c r="E354" s="2"/>
      <c r="F354" s="2"/>
      <c r="G354" s="2"/>
      <c r="O354" s="2"/>
      <c r="P354" s="2"/>
      <c r="Q354" s="2"/>
      <c r="R354" s="2"/>
      <c r="S354" s="2"/>
    </row>
    <row r="355" spans="5:19" ht="18" customHeight="1" x14ac:dyDescent="0.3">
      <c r="E355" s="2"/>
      <c r="F355" s="2"/>
      <c r="G355" s="2"/>
      <c r="O355" s="2"/>
      <c r="P355" s="2"/>
      <c r="Q355" s="2"/>
      <c r="R355" s="2"/>
      <c r="S355" s="2"/>
    </row>
    <row r="356" spans="5:19" ht="18" customHeight="1" x14ac:dyDescent="0.3">
      <c r="E356" s="2"/>
      <c r="F356" s="2"/>
      <c r="G356" s="2"/>
      <c r="O356" s="2"/>
      <c r="P356" s="2"/>
      <c r="Q356" s="2"/>
      <c r="R356" s="2"/>
      <c r="S356" s="2"/>
    </row>
    <row r="357" spans="5:19" ht="18" customHeight="1" x14ac:dyDescent="0.3">
      <c r="E357" s="2"/>
      <c r="F357" s="2"/>
      <c r="G357" s="2"/>
      <c r="O357" s="2"/>
      <c r="P357" s="2"/>
      <c r="Q357" s="2"/>
      <c r="R357" s="2"/>
      <c r="S357" s="2"/>
    </row>
    <row r="358" spans="5:19" ht="18" customHeight="1" x14ac:dyDescent="0.3">
      <c r="E358" s="2"/>
      <c r="F358" s="2"/>
      <c r="G358" s="2"/>
      <c r="O358" s="2"/>
      <c r="P358" s="2"/>
      <c r="Q358" s="2"/>
      <c r="R358" s="2"/>
      <c r="S358" s="2"/>
    </row>
    <row r="359" spans="5:19" ht="18" customHeight="1" x14ac:dyDescent="0.3">
      <c r="E359" s="2"/>
      <c r="F359" s="2"/>
      <c r="G359" s="2"/>
      <c r="O359" s="2"/>
      <c r="P359" s="2"/>
      <c r="Q359" s="2"/>
      <c r="R359" s="2"/>
      <c r="S359" s="2"/>
    </row>
    <row r="360" spans="5:19" ht="18" customHeight="1" x14ac:dyDescent="0.3">
      <c r="E360" s="2"/>
      <c r="F360" s="2"/>
      <c r="G360" s="2"/>
      <c r="O360" s="2"/>
      <c r="P360" s="2"/>
      <c r="Q360" s="2"/>
      <c r="R360" s="2"/>
      <c r="S360" s="2"/>
    </row>
    <row r="361" spans="5:19" ht="18" customHeight="1" x14ac:dyDescent="0.3">
      <c r="E361" s="2"/>
      <c r="F361" s="2"/>
      <c r="G361" s="2"/>
      <c r="O361" s="2"/>
      <c r="P361" s="2"/>
      <c r="Q361" s="2"/>
      <c r="R361" s="2"/>
      <c r="S361" s="2"/>
    </row>
    <row r="362" spans="5:19" ht="18" customHeight="1" x14ac:dyDescent="0.3">
      <c r="E362" s="2"/>
      <c r="F362" s="2"/>
      <c r="G362" s="2"/>
      <c r="O362" s="2"/>
      <c r="P362" s="2"/>
      <c r="Q362" s="2"/>
      <c r="R362" s="2"/>
      <c r="S362" s="2"/>
    </row>
    <row r="363" spans="5:19" ht="18" customHeight="1" x14ac:dyDescent="0.3">
      <c r="E363" s="2"/>
      <c r="F363" s="2"/>
      <c r="G363" s="2"/>
      <c r="O363" s="2"/>
      <c r="P363" s="2"/>
      <c r="Q363" s="2"/>
      <c r="R363" s="2"/>
      <c r="S363" s="2"/>
    </row>
    <row r="364" spans="5:19" ht="18" customHeight="1" x14ac:dyDescent="0.3">
      <c r="E364" s="2"/>
      <c r="F364" s="2"/>
      <c r="G364" s="2"/>
      <c r="O364" s="2"/>
      <c r="P364" s="2"/>
      <c r="Q364" s="2"/>
      <c r="R364" s="2"/>
      <c r="S364" s="2"/>
    </row>
    <row r="365" spans="5:19" ht="18" customHeight="1" x14ac:dyDescent="0.3">
      <c r="E365" s="2"/>
      <c r="F365" s="2"/>
      <c r="G365" s="2"/>
      <c r="O365" s="2"/>
      <c r="P365" s="2"/>
      <c r="Q365" s="2"/>
      <c r="R365" s="2"/>
      <c r="S365" s="2"/>
    </row>
    <row r="366" spans="5:19" ht="18" customHeight="1" x14ac:dyDescent="0.3">
      <c r="E366" s="2"/>
      <c r="F366" s="2"/>
      <c r="G366" s="2"/>
      <c r="O366" s="2"/>
      <c r="P366" s="2"/>
      <c r="Q366" s="2"/>
      <c r="R366" s="2"/>
      <c r="S366" s="2"/>
    </row>
    <row r="367" spans="5:19" ht="18" customHeight="1" x14ac:dyDescent="0.3">
      <c r="E367" s="2"/>
      <c r="F367" s="2"/>
      <c r="G367" s="2"/>
      <c r="O367" s="2"/>
      <c r="P367" s="2"/>
      <c r="Q367" s="2"/>
      <c r="R367" s="2"/>
      <c r="S367" s="2"/>
    </row>
    <row r="368" spans="5:19" ht="18" customHeight="1" x14ac:dyDescent="0.3">
      <c r="E368" s="2"/>
      <c r="F368" s="2"/>
      <c r="G368" s="2"/>
      <c r="O368" s="2"/>
      <c r="P368" s="2"/>
      <c r="Q368" s="2"/>
      <c r="R368" s="2"/>
      <c r="S368" s="2"/>
    </row>
    <row r="369" spans="5:19" ht="18" customHeight="1" x14ac:dyDescent="0.3">
      <c r="E369" s="2"/>
      <c r="F369" s="2"/>
      <c r="G369" s="2"/>
      <c r="O369" s="2"/>
      <c r="P369" s="2"/>
      <c r="Q369" s="2"/>
      <c r="R369" s="2"/>
      <c r="S369" s="2"/>
    </row>
    <row r="370" spans="5:19" ht="18" customHeight="1" x14ac:dyDescent="0.3">
      <c r="E370" s="2"/>
      <c r="F370" s="2"/>
      <c r="G370" s="2"/>
      <c r="O370" s="2"/>
      <c r="P370" s="2"/>
      <c r="Q370" s="2"/>
      <c r="R370" s="2"/>
      <c r="S370" s="2"/>
    </row>
    <row r="371" spans="5:19" ht="18" customHeight="1" x14ac:dyDescent="0.3">
      <c r="E371" s="2"/>
      <c r="F371" s="2"/>
      <c r="G371" s="2"/>
      <c r="O371" s="2"/>
      <c r="P371" s="2"/>
      <c r="Q371" s="2"/>
      <c r="R371" s="2"/>
      <c r="S371" s="2"/>
    </row>
    <row r="372" spans="5:19" ht="18" customHeight="1" x14ac:dyDescent="0.3">
      <c r="E372" s="2"/>
      <c r="F372" s="2"/>
      <c r="G372" s="2"/>
      <c r="O372" s="2"/>
      <c r="P372" s="2"/>
      <c r="Q372" s="2"/>
      <c r="R372" s="2"/>
      <c r="S372" s="2"/>
    </row>
    <row r="373" spans="5:19" ht="18" customHeight="1" x14ac:dyDescent="0.3">
      <c r="E373" s="2"/>
      <c r="F373" s="2"/>
      <c r="G373" s="2"/>
      <c r="O373" s="2"/>
      <c r="P373" s="2"/>
      <c r="Q373" s="2"/>
      <c r="R373" s="2"/>
      <c r="S373" s="2"/>
    </row>
    <row r="374" spans="5:19" ht="18" customHeight="1" x14ac:dyDescent="0.3">
      <c r="E374" s="2"/>
      <c r="F374" s="2"/>
      <c r="G374" s="2"/>
      <c r="O374" s="2"/>
      <c r="P374" s="2"/>
      <c r="Q374" s="2"/>
      <c r="R374" s="2"/>
      <c r="S374" s="2"/>
    </row>
    <row r="375" spans="5:19" ht="18" customHeight="1" x14ac:dyDescent="0.3">
      <c r="E375" s="2"/>
      <c r="F375" s="2"/>
      <c r="G375" s="2"/>
      <c r="O375" s="2"/>
      <c r="P375" s="2"/>
      <c r="Q375" s="2"/>
      <c r="R375" s="2"/>
      <c r="S375" s="2"/>
    </row>
    <row r="376" spans="5:19" ht="18" customHeight="1" x14ac:dyDescent="0.3">
      <c r="E376" s="2"/>
      <c r="F376" s="2"/>
      <c r="G376" s="2"/>
      <c r="O376" s="2"/>
      <c r="P376" s="2"/>
      <c r="Q376" s="2"/>
      <c r="R376" s="2"/>
      <c r="S376" s="2"/>
    </row>
    <row r="377" spans="5:19" ht="18" customHeight="1" x14ac:dyDescent="0.3">
      <c r="E377" s="2"/>
      <c r="F377" s="2"/>
      <c r="G377" s="2"/>
      <c r="O377" s="2"/>
      <c r="P377" s="2"/>
      <c r="Q377" s="2"/>
      <c r="R377" s="2"/>
      <c r="S377" s="2"/>
    </row>
    <row r="378" spans="5:19" ht="18" customHeight="1" x14ac:dyDescent="0.3">
      <c r="E378" s="2"/>
      <c r="F378" s="2"/>
      <c r="G378" s="2"/>
      <c r="O378" s="2"/>
      <c r="P378" s="2"/>
      <c r="Q378" s="2"/>
      <c r="R378" s="2"/>
      <c r="S378" s="2"/>
    </row>
    <row r="379" spans="5:19" ht="18" customHeight="1" x14ac:dyDescent="0.3">
      <c r="E379" s="2"/>
      <c r="F379" s="2"/>
      <c r="G379" s="2"/>
      <c r="O379" s="2"/>
      <c r="P379" s="2"/>
      <c r="Q379" s="2"/>
      <c r="R379" s="2"/>
      <c r="S379" s="2"/>
    </row>
    <row r="380" spans="5:19" ht="18" customHeight="1" x14ac:dyDescent="0.3">
      <c r="E380" s="2"/>
      <c r="F380" s="2"/>
      <c r="G380" s="2"/>
      <c r="O380" s="2"/>
      <c r="P380" s="2"/>
      <c r="Q380" s="2"/>
      <c r="R380" s="2"/>
      <c r="S380" s="2"/>
    </row>
    <row r="381" spans="5:19" ht="18" customHeight="1" x14ac:dyDescent="0.3">
      <c r="E381" s="2"/>
      <c r="F381" s="2"/>
      <c r="G381" s="2"/>
      <c r="O381" s="2"/>
      <c r="P381" s="2"/>
      <c r="Q381" s="2"/>
      <c r="R381" s="2"/>
      <c r="S381" s="2"/>
    </row>
    <row r="382" spans="5:19" ht="18" customHeight="1" x14ac:dyDescent="0.3">
      <c r="E382" s="2"/>
      <c r="F382" s="2"/>
      <c r="G382" s="2"/>
      <c r="O382" s="2"/>
      <c r="P382" s="2"/>
      <c r="Q382" s="2"/>
      <c r="R382" s="2"/>
      <c r="S382" s="2"/>
    </row>
    <row r="383" spans="5:19" ht="18" customHeight="1" x14ac:dyDescent="0.3">
      <c r="E383" s="2"/>
      <c r="F383" s="2"/>
      <c r="G383" s="2"/>
      <c r="O383" s="2"/>
      <c r="P383" s="2"/>
      <c r="Q383" s="2"/>
      <c r="R383" s="2"/>
      <c r="S383" s="2"/>
    </row>
    <row r="384" spans="5:19" ht="18" customHeight="1" x14ac:dyDescent="0.3">
      <c r="E384" s="2"/>
      <c r="F384" s="2"/>
      <c r="G384" s="2"/>
      <c r="O384" s="2"/>
      <c r="P384" s="2"/>
      <c r="Q384" s="2"/>
      <c r="R384" s="2"/>
      <c r="S384" s="2"/>
    </row>
    <row r="385" spans="5:19" ht="18" customHeight="1" x14ac:dyDescent="0.3">
      <c r="E385" s="2"/>
      <c r="F385" s="2"/>
      <c r="G385" s="2"/>
      <c r="O385" s="2"/>
      <c r="P385" s="2"/>
      <c r="Q385" s="2"/>
      <c r="R385" s="2"/>
      <c r="S385" s="2"/>
    </row>
    <row r="386" spans="5:19" ht="18" customHeight="1" x14ac:dyDescent="0.3">
      <c r="E386" s="2"/>
      <c r="F386" s="2"/>
      <c r="G386" s="2"/>
      <c r="O386" s="2"/>
      <c r="P386" s="2"/>
      <c r="Q386" s="2"/>
      <c r="R386" s="2"/>
      <c r="S386" s="2"/>
    </row>
    <row r="387" spans="5:19" ht="18" customHeight="1" x14ac:dyDescent="0.3">
      <c r="E387" s="2"/>
      <c r="F387" s="2"/>
      <c r="G387" s="2"/>
      <c r="O387" s="2"/>
      <c r="P387" s="2"/>
      <c r="Q387" s="2"/>
      <c r="R387" s="2"/>
      <c r="S387" s="2"/>
    </row>
    <row r="388" spans="5:19" ht="18" customHeight="1" x14ac:dyDescent="0.3">
      <c r="E388" s="2"/>
      <c r="F388" s="2"/>
      <c r="G388" s="2"/>
      <c r="O388" s="2"/>
      <c r="P388" s="2"/>
      <c r="Q388" s="2"/>
      <c r="R388" s="2"/>
      <c r="S388" s="2"/>
    </row>
    <row r="389" spans="5:19" ht="18" customHeight="1" x14ac:dyDescent="0.3">
      <c r="E389" s="2"/>
      <c r="F389" s="2"/>
      <c r="G389" s="2"/>
      <c r="O389" s="2"/>
      <c r="P389" s="2"/>
      <c r="Q389" s="2"/>
      <c r="R389" s="2"/>
      <c r="S389" s="2"/>
    </row>
    <row r="390" spans="5:19" ht="18" customHeight="1" x14ac:dyDescent="0.3">
      <c r="E390" s="2"/>
      <c r="F390" s="2"/>
      <c r="G390" s="2"/>
      <c r="O390" s="2"/>
      <c r="P390" s="2"/>
      <c r="Q390" s="2"/>
      <c r="R390" s="2"/>
      <c r="S390" s="2"/>
    </row>
    <row r="391" spans="5:19" ht="18" customHeight="1" x14ac:dyDescent="0.3">
      <c r="E391" s="2"/>
      <c r="F391" s="2"/>
      <c r="G391" s="2"/>
      <c r="O391" s="2"/>
      <c r="P391" s="2"/>
      <c r="Q391" s="2"/>
      <c r="R391" s="2"/>
      <c r="S391" s="2"/>
    </row>
    <row r="392" spans="5:19" ht="18" customHeight="1" x14ac:dyDescent="0.3">
      <c r="E392" s="2"/>
      <c r="F392" s="2"/>
      <c r="G392" s="2"/>
      <c r="O392" s="2"/>
      <c r="P392" s="2"/>
      <c r="Q392" s="2"/>
      <c r="R392" s="2"/>
      <c r="S392" s="2"/>
    </row>
    <row r="393" spans="5:19" ht="18" customHeight="1" x14ac:dyDescent="0.3">
      <c r="E393" s="2"/>
      <c r="F393" s="2"/>
      <c r="G393" s="2"/>
      <c r="O393" s="2"/>
      <c r="P393" s="2"/>
      <c r="Q393" s="2"/>
      <c r="R393" s="2"/>
      <c r="S393" s="2"/>
    </row>
    <row r="394" spans="5:19" ht="18" customHeight="1" x14ac:dyDescent="0.3">
      <c r="E394" s="2"/>
      <c r="F394" s="2"/>
      <c r="G394" s="2"/>
      <c r="O394" s="2"/>
      <c r="P394" s="2"/>
      <c r="Q394" s="2"/>
      <c r="R394" s="2"/>
      <c r="S394" s="2"/>
    </row>
    <row r="395" spans="5:19" ht="18" customHeight="1" x14ac:dyDescent="0.3">
      <c r="E395" s="2"/>
      <c r="F395" s="2"/>
      <c r="G395" s="2"/>
      <c r="O395" s="2"/>
      <c r="P395" s="2"/>
      <c r="Q395" s="2"/>
      <c r="R395" s="2"/>
      <c r="S395" s="2"/>
    </row>
    <row r="396" spans="5:19" ht="18" customHeight="1" x14ac:dyDescent="0.3">
      <c r="E396" s="2"/>
      <c r="F396" s="2"/>
      <c r="G396" s="2"/>
      <c r="O396" s="2"/>
      <c r="P396" s="2"/>
      <c r="Q396" s="2"/>
      <c r="R396" s="2"/>
      <c r="S396" s="2"/>
    </row>
    <row r="397" spans="5:19" ht="18" customHeight="1" x14ac:dyDescent="0.3">
      <c r="E397" s="2"/>
      <c r="F397" s="2"/>
      <c r="G397" s="2"/>
      <c r="O397" s="2"/>
      <c r="P397" s="2"/>
      <c r="Q397" s="2"/>
      <c r="R397" s="2"/>
      <c r="S397" s="2"/>
    </row>
    <row r="398" spans="5:19" ht="18" customHeight="1" x14ac:dyDescent="0.3">
      <c r="E398" s="2"/>
      <c r="F398" s="2"/>
      <c r="G398" s="2"/>
      <c r="O398" s="2"/>
      <c r="P398" s="2"/>
      <c r="Q398" s="2"/>
      <c r="R398" s="2"/>
      <c r="S398" s="2"/>
    </row>
    <row r="399" spans="5:19" ht="18" customHeight="1" x14ac:dyDescent="0.3">
      <c r="E399" s="2"/>
      <c r="F399" s="2"/>
      <c r="G399" s="2"/>
      <c r="O399" s="2"/>
      <c r="P399" s="2"/>
      <c r="Q399" s="2"/>
      <c r="R399" s="2"/>
      <c r="S399" s="2"/>
    </row>
    <row r="400" spans="5:19" ht="18" customHeight="1" x14ac:dyDescent="0.3">
      <c r="E400" s="2"/>
      <c r="F400" s="2"/>
      <c r="G400" s="2"/>
      <c r="O400" s="2"/>
      <c r="P400" s="2"/>
      <c r="Q400" s="2"/>
      <c r="R400" s="2"/>
      <c r="S400" s="2"/>
    </row>
    <row r="401" spans="5:19" ht="18" customHeight="1" x14ac:dyDescent="0.3">
      <c r="E401" s="2"/>
      <c r="F401" s="2"/>
      <c r="G401" s="2"/>
      <c r="O401" s="2"/>
      <c r="P401" s="2"/>
      <c r="Q401" s="2"/>
      <c r="R401" s="2"/>
      <c r="S401" s="2"/>
    </row>
    <row r="402" spans="5:19" ht="18" customHeight="1" x14ac:dyDescent="0.3">
      <c r="E402" s="2"/>
      <c r="F402" s="2"/>
      <c r="G402" s="2"/>
      <c r="O402" s="2"/>
      <c r="P402" s="2"/>
      <c r="Q402" s="2"/>
      <c r="R402" s="2"/>
      <c r="S402" s="2"/>
    </row>
    <row r="403" spans="5:19" ht="18" customHeight="1" x14ac:dyDescent="0.3">
      <c r="E403" s="2"/>
      <c r="F403" s="2"/>
      <c r="G403" s="2"/>
      <c r="O403" s="2"/>
      <c r="P403" s="2"/>
      <c r="Q403" s="2"/>
      <c r="R403" s="2"/>
      <c r="S403" s="2"/>
    </row>
    <row r="404" spans="5:19" ht="18" customHeight="1" x14ac:dyDescent="0.3">
      <c r="E404" s="2"/>
      <c r="F404" s="2"/>
      <c r="G404" s="2"/>
      <c r="O404" s="2"/>
      <c r="P404" s="2"/>
      <c r="Q404" s="2"/>
      <c r="R404" s="2"/>
      <c r="S404" s="2"/>
    </row>
    <row r="405" spans="5:19" ht="18" customHeight="1" x14ac:dyDescent="0.3">
      <c r="E405" s="2"/>
      <c r="F405" s="2"/>
      <c r="G405" s="2"/>
      <c r="O405" s="2"/>
      <c r="P405" s="2"/>
      <c r="Q405" s="2"/>
      <c r="R405" s="2"/>
      <c r="S405" s="2"/>
    </row>
    <row r="406" spans="5:19" ht="18" customHeight="1" x14ac:dyDescent="0.3">
      <c r="E406" s="2"/>
      <c r="F406" s="2"/>
      <c r="G406" s="2"/>
      <c r="O406" s="2"/>
      <c r="P406" s="2"/>
      <c r="Q406" s="2"/>
      <c r="R406" s="2"/>
      <c r="S406" s="2"/>
    </row>
    <row r="407" spans="5:19" ht="18" customHeight="1" x14ac:dyDescent="0.3">
      <c r="E407" s="2"/>
      <c r="F407" s="2"/>
      <c r="G407" s="2"/>
      <c r="O407" s="2"/>
      <c r="P407" s="2"/>
      <c r="Q407" s="2"/>
      <c r="R407" s="2"/>
      <c r="S407" s="2"/>
    </row>
    <row r="408" spans="5:19" ht="18" customHeight="1" x14ac:dyDescent="0.3">
      <c r="E408" s="2"/>
      <c r="F408" s="2"/>
      <c r="G408" s="2"/>
      <c r="O408" s="2"/>
      <c r="P408" s="2"/>
      <c r="Q408" s="2"/>
      <c r="R408" s="2"/>
      <c r="S408" s="2"/>
    </row>
    <row r="409" spans="5:19" ht="18" customHeight="1" x14ac:dyDescent="0.3">
      <c r="E409" s="2"/>
      <c r="F409" s="2"/>
      <c r="G409" s="2"/>
      <c r="O409" s="2"/>
      <c r="P409" s="2"/>
      <c r="Q409" s="2"/>
      <c r="R409" s="2"/>
      <c r="S409" s="2"/>
    </row>
    <row r="410" spans="5:19" ht="18" customHeight="1" x14ac:dyDescent="0.3">
      <c r="E410" s="2"/>
      <c r="F410" s="2"/>
      <c r="G410" s="2"/>
      <c r="O410" s="2"/>
      <c r="P410" s="2"/>
      <c r="Q410" s="2"/>
      <c r="R410" s="2"/>
      <c r="S410" s="2"/>
    </row>
    <row r="411" spans="5:19" ht="18" customHeight="1" x14ac:dyDescent="0.3">
      <c r="E411" s="2"/>
      <c r="F411" s="2"/>
      <c r="G411" s="2"/>
      <c r="O411" s="2"/>
      <c r="P411" s="2"/>
      <c r="Q411" s="2"/>
      <c r="R411" s="2"/>
      <c r="S411" s="2"/>
    </row>
    <row r="412" spans="5:19" ht="18" customHeight="1" x14ac:dyDescent="0.3">
      <c r="E412" s="2"/>
      <c r="F412" s="2"/>
      <c r="G412" s="2"/>
      <c r="O412" s="2"/>
      <c r="P412" s="2"/>
      <c r="Q412" s="2"/>
      <c r="R412" s="2"/>
      <c r="S412" s="2"/>
    </row>
    <row r="413" spans="5:19" ht="18" customHeight="1" x14ac:dyDescent="0.3">
      <c r="E413" s="2"/>
      <c r="F413" s="2"/>
      <c r="G413" s="2"/>
      <c r="O413" s="2"/>
      <c r="P413" s="2"/>
      <c r="Q413" s="2"/>
      <c r="R413" s="2"/>
      <c r="S413" s="2"/>
    </row>
    <row r="414" spans="5:19" ht="18" customHeight="1" x14ac:dyDescent="0.3">
      <c r="E414" s="2"/>
      <c r="F414" s="2"/>
      <c r="G414" s="2"/>
      <c r="O414" s="2"/>
      <c r="P414" s="2"/>
      <c r="Q414" s="2"/>
      <c r="R414" s="2"/>
      <c r="S414" s="2"/>
    </row>
    <row r="415" spans="5:19" ht="18" customHeight="1" x14ac:dyDescent="0.3">
      <c r="E415" s="2"/>
      <c r="F415" s="2"/>
      <c r="G415" s="2"/>
      <c r="O415" s="2"/>
      <c r="P415" s="2"/>
      <c r="Q415" s="2"/>
      <c r="R415" s="2"/>
      <c r="S415" s="2"/>
    </row>
    <row r="416" spans="5:19" ht="18" customHeight="1" x14ac:dyDescent="0.3">
      <c r="E416" s="2"/>
      <c r="F416" s="2"/>
      <c r="G416" s="2"/>
      <c r="O416" s="2"/>
      <c r="P416" s="2"/>
      <c r="Q416" s="2"/>
      <c r="R416" s="2"/>
      <c r="S416" s="2"/>
    </row>
    <row r="417" spans="5:19" ht="18" customHeight="1" x14ac:dyDescent="0.3">
      <c r="E417" s="2"/>
      <c r="F417" s="2"/>
      <c r="G417" s="2"/>
      <c r="O417" s="2"/>
      <c r="P417" s="2"/>
      <c r="Q417" s="2"/>
      <c r="R417" s="2"/>
      <c r="S417" s="2"/>
    </row>
    <row r="418" spans="5:19" ht="18" customHeight="1" x14ac:dyDescent="0.3">
      <c r="E418" s="2"/>
      <c r="F418" s="2"/>
      <c r="G418" s="2"/>
      <c r="O418" s="2"/>
      <c r="P418" s="2"/>
      <c r="Q418" s="2"/>
      <c r="R418" s="2"/>
      <c r="S418" s="2"/>
    </row>
    <row r="419" spans="5:19" ht="18" customHeight="1" x14ac:dyDescent="0.3">
      <c r="E419" s="2"/>
      <c r="F419" s="2"/>
      <c r="G419" s="2"/>
      <c r="O419" s="2"/>
      <c r="P419" s="2"/>
      <c r="Q419" s="2"/>
      <c r="R419" s="2"/>
      <c r="S419" s="2"/>
    </row>
    <row r="420" spans="5:19" ht="18" customHeight="1" x14ac:dyDescent="0.3">
      <c r="E420" s="2"/>
      <c r="F420" s="2"/>
      <c r="G420" s="2"/>
      <c r="O420" s="2"/>
      <c r="P420" s="2"/>
      <c r="Q420" s="2"/>
      <c r="R420" s="2"/>
      <c r="S420" s="2"/>
    </row>
    <row r="421" spans="5:19" ht="18" customHeight="1" x14ac:dyDescent="0.3">
      <c r="E421" s="2"/>
      <c r="F421" s="2"/>
      <c r="G421" s="2"/>
      <c r="O421" s="2"/>
      <c r="P421" s="2"/>
      <c r="Q421" s="2"/>
      <c r="R421" s="2"/>
      <c r="S421" s="2"/>
    </row>
    <row r="422" spans="5:19" ht="18" customHeight="1" x14ac:dyDescent="0.3">
      <c r="E422" s="2"/>
      <c r="F422" s="2"/>
      <c r="G422" s="2"/>
      <c r="O422" s="2"/>
      <c r="P422" s="2"/>
      <c r="Q422" s="2"/>
      <c r="R422" s="2"/>
      <c r="S422" s="2"/>
    </row>
    <row r="423" spans="5:19" ht="18" customHeight="1" x14ac:dyDescent="0.3">
      <c r="E423" s="2"/>
      <c r="F423" s="2"/>
      <c r="G423" s="2"/>
      <c r="O423" s="2"/>
      <c r="P423" s="2"/>
      <c r="Q423" s="2"/>
      <c r="R423" s="2"/>
      <c r="S423" s="2"/>
    </row>
    <row r="424" spans="5:19" ht="18" customHeight="1" x14ac:dyDescent="0.3">
      <c r="E424" s="2"/>
      <c r="F424" s="2"/>
      <c r="G424" s="2"/>
      <c r="O424" s="2"/>
      <c r="P424" s="2"/>
      <c r="Q424" s="2"/>
      <c r="R424" s="2"/>
      <c r="S424" s="2"/>
    </row>
    <row r="425" spans="5:19" ht="18" customHeight="1" x14ac:dyDescent="0.3">
      <c r="E425" s="2"/>
      <c r="F425" s="2"/>
      <c r="G425" s="2"/>
      <c r="O425" s="2"/>
      <c r="P425" s="2"/>
      <c r="Q425" s="2"/>
      <c r="R425" s="2"/>
      <c r="S425" s="2"/>
    </row>
    <row r="426" spans="5:19" ht="18" customHeight="1" x14ac:dyDescent="0.3">
      <c r="E426" s="2"/>
      <c r="F426" s="2"/>
      <c r="G426" s="2"/>
      <c r="O426" s="2"/>
      <c r="P426" s="2"/>
      <c r="Q426" s="2"/>
      <c r="R426" s="2"/>
      <c r="S426" s="2"/>
    </row>
    <row r="427" spans="5:19" ht="18" customHeight="1" x14ac:dyDescent="0.3">
      <c r="E427" s="2"/>
      <c r="F427" s="2"/>
      <c r="G427" s="2"/>
      <c r="O427" s="2"/>
      <c r="P427" s="2"/>
      <c r="Q427" s="2"/>
      <c r="R427" s="2"/>
      <c r="S427" s="2"/>
    </row>
    <row r="428" spans="5:19" ht="18" customHeight="1" x14ac:dyDescent="0.3">
      <c r="E428" s="2"/>
      <c r="F428" s="2"/>
      <c r="G428" s="2"/>
      <c r="O428" s="2"/>
      <c r="P428" s="2"/>
      <c r="Q428" s="2"/>
      <c r="R428" s="2"/>
      <c r="S428" s="2"/>
    </row>
    <row r="429" spans="5:19" ht="18" customHeight="1" x14ac:dyDescent="0.3">
      <c r="E429" s="2"/>
      <c r="F429" s="2"/>
      <c r="G429" s="2"/>
      <c r="O429" s="2"/>
      <c r="P429" s="2"/>
      <c r="Q429" s="2"/>
      <c r="R429" s="2"/>
      <c r="S429" s="2"/>
    </row>
    <row r="430" spans="5:19" ht="18" customHeight="1" x14ac:dyDescent="0.3">
      <c r="E430" s="2"/>
      <c r="F430" s="2"/>
      <c r="G430" s="2"/>
      <c r="O430" s="2"/>
      <c r="P430" s="2"/>
      <c r="Q430" s="2"/>
      <c r="R430" s="2"/>
      <c r="S430" s="2"/>
    </row>
    <row r="431" spans="5:19" ht="18" customHeight="1" x14ac:dyDescent="0.3">
      <c r="E431" s="2"/>
      <c r="F431" s="2"/>
      <c r="G431" s="2"/>
      <c r="O431" s="2"/>
      <c r="P431" s="2"/>
      <c r="Q431" s="2"/>
      <c r="R431" s="2"/>
      <c r="S431" s="2"/>
    </row>
    <row r="432" spans="5:19" ht="18" customHeight="1" x14ac:dyDescent="0.3">
      <c r="E432" s="2"/>
      <c r="F432" s="2"/>
      <c r="G432" s="2"/>
      <c r="O432" s="2"/>
      <c r="P432" s="2"/>
      <c r="Q432" s="2"/>
      <c r="R432" s="2"/>
      <c r="S432" s="2"/>
    </row>
    <row r="433" spans="5:19" ht="18" customHeight="1" x14ac:dyDescent="0.3">
      <c r="E433" s="2"/>
      <c r="F433" s="2"/>
      <c r="G433" s="2"/>
      <c r="O433" s="2"/>
      <c r="P433" s="2"/>
      <c r="Q433" s="2"/>
      <c r="R433" s="2"/>
      <c r="S433" s="2"/>
    </row>
  </sheetData>
  <autoFilter ref="J10:O23">
    <sortState ref="J11:O23">
      <sortCondition descending="1" ref="K10:K23"/>
    </sortState>
  </autoFilter>
  <mergeCells count="49">
    <mergeCell ref="J30:V30"/>
    <mergeCell ref="F33:G33"/>
    <mergeCell ref="U33:V33"/>
    <mergeCell ref="B1:V3"/>
    <mergeCell ref="G15:G16"/>
    <mergeCell ref="H15:H16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18:B19"/>
    <mergeCell ref="C18:C19"/>
    <mergeCell ref="D18:D19"/>
    <mergeCell ref="E18:E19"/>
    <mergeCell ref="F18:F19"/>
    <mergeCell ref="B30:H30"/>
    <mergeCell ref="G24:G25"/>
    <mergeCell ref="H24:H25"/>
    <mergeCell ref="B27:B28"/>
    <mergeCell ref="C27:C28"/>
    <mergeCell ref="D27:D28"/>
    <mergeCell ref="J9:V9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B9:H9"/>
    <mergeCell ref="B12:B13"/>
    <mergeCell ref="C12:C13"/>
    <mergeCell ref="D12:D13"/>
    <mergeCell ref="E12:E13"/>
    <mergeCell ref="F12:F13"/>
    <mergeCell ref="G12:G13"/>
    <mergeCell ref="H12:H13"/>
    <mergeCell ref="B15:B16"/>
    <mergeCell ref="C15:C16"/>
    <mergeCell ref="D15:D16"/>
    <mergeCell ref="E15:E16"/>
    <mergeCell ref="F15:F16"/>
  </mergeCells>
  <phoneticPr fontId="3" type="noConversion"/>
  <conditionalFormatting sqref="B11:H11 B14:H14 B17:H17 B20:H20 B23:H23 B26:H26">
    <cfRule type="expression" dxfId="80" priority="6">
      <formula>MONTH(B11)&lt;&gt;$A$2</formula>
    </cfRule>
  </conditionalFormatting>
  <conditionalFormatting sqref="B11:H29">
    <cfRule type="expression" dxfId="79" priority="5">
      <formula>B11="무지출"</formula>
    </cfRule>
  </conditionalFormatting>
  <conditionalFormatting sqref="U58:U78 U81:U84 U106:U165">
    <cfRule type="expression" dxfId="43" priority="4">
      <formula>$U58&lt;0</formula>
    </cfRule>
  </conditionalFormatting>
  <conditionalFormatting sqref="U86:U104">
    <cfRule type="expression" dxfId="42" priority="3">
      <formula>$U86&lt;0</formula>
    </cfRule>
  </conditionalFormatting>
  <conditionalFormatting sqref="U85">
    <cfRule type="expression" dxfId="41" priority="2">
      <formula>$U85&lt;0</formula>
    </cfRule>
  </conditionalFormatting>
  <conditionalFormatting sqref="U105">
    <cfRule type="expression" dxfId="40" priority="1">
      <formula>$U105&lt;0</formula>
    </cfRule>
  </conditionalFormatting>
  <dataValidations count="5"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6" pageOrder="overThenDown" orientation="portrait" r:id="rId2"/>
  <colBreaks count="2" manualBreakCount="2">
    <brk id="1" max="70" man="1"/>
    <brk id="22" max="70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/>
    <pageSetUpPr autoPageBreaks="0" fitToPage="1"/>
  </sheetPr>
  <dimension ref="A1:Y432"/>
  <sheetViews>
    <sheetView showGridLines="0" topLeftCell="A13" zoomScale="90" zoomScaleNormal="90" zoomScaleSheetLayoutView="90" workbookViewId="0">
      <selection activeCell="V20" sqref="V20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16384" width="8.875" style="1"/>
  </cols>
  <sheetData>
    <row r="1" spans="1:23" ht="16.5" customHeight="1" x14ac:dyDescent="0.3">
      <c r="A1" s="407">
        <f>메인!$R$3</f>
        <v>2025</v>
      </c>
      <c r="B1" s="541" t="s">
        <v>130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3" ht="16.5" customHeight="1" x14ac:dyDescent="0.3">
      <c r="A2" s="408">
        <f>메인!$G$11</f>
        <v>3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3" ht="16.5" customHeight="1" x14ac:dyDescent="0.3">
      <c r="A3" s="409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3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16" t="s">
        <v>88</v>
      </c>
      <c r="Q5" s="78"/>
      <c r="R5" s="358"/>
      <c r="S5" s="38"/>
      <c r="T5" s="38"/>
      <c r="V5" s="115"/>
      <c r="W5" s="116"/>
    </row>
    <row r="6" spans="1:23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350"/>
      <c r="K6" s="394"/>
      <c r="L6" s="394"/>
      <c r="M6" s="394"/>
      <c r="N6" s="394"/>
      <c r="O6" s="394"/>
      <c r="P6" s="352"/>
      <c r="Q6" s="352"/>
      <c r="R6" s="394"/>
      <c r="S6" s="394"/>
      <c r="T6" s="394"/>
      <c r="V6" s="115"/>
      <c r="W6" s="116"/>
    </row>
    <row r="7" spans="1:23" ht="19.899999999999999" customHeight="1" x14ac:dyDescent="0.3">
      <c r="B7" s="62" t="s">
        <v>43</v>
      </c>
      <c r="C7" s="57">
        <f>$C$5-$C$6</f>
        <v>-2610100</v>
      </c>
      <c r="E7" s="1" t="s">
        <v>258</v>
      </c>
      <c r="J7" s="351"/>
      <c r="K7" s="395"/>
      <c r="L7" s="395"/>
      <c r="M7" s="395"/>
      <c r="N7" s="395"/>
      <c r="O7" s="395"/>
      <c r="P7" s="353"/>
      <c r="Q7" s="353"/>
      <c r="R7" s="395"/>
      <c r="S7" s="395"/>
      <c r="T7" s="395"/>
      <c r="V7" s="62"/>
      <c r="W7" s="120"/>
    </row>
    <row r="8" spans="1:23" ht="19.899999999999999" customHeight="1" x14ac:dyDescent="0.3">
      <c r="B8" s="62"/>
      <c r="C8" s="57"/>
      <c r="G8" s="412" t="s">
        <v>257</v>
      </c>
      <c r="H8" s="413">
        <f ca="1">COUNTIF(B10:H28,"무지출")</f>
        <v>31</v>
      </c>
      <c r="J8" s="400"/>
      <c r="K8" s="401"/>
      <c r="L8" s="401"/>
      <c r="M8" s="401"/>
      <c r="N8" s="401"/>
      <c r="O8" s="401"/>
      <c r="P8" s="402"/>
      <c r="Q8" s="402"/>
      <c r="R8" s="401"/>
      <c r="S8" s="401"/>
      <c r="T8" s="401"/>
      <c r="V8" s="62"/>
      <c r="W8" s="120"/>
    </row>
    <row r="9" spans="1:23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V9" s="62"/>
      <c r="W9" s="120"/>
    </row>
    <row r="10" spans="1:23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  <c r="V10" s="62"/>
      <c r="W10" s="120"/>
    </row>
    <row r="11" spans="1:23" ht="19.899999999999999" customHeight="1" x14ac:dyDescent="0.3">
      <c r="B11" s="404">
        <f>DATE($A$1,$A$2,1)-WEEKDAY(DATE($A$1,$A$2,1))+1</f>
        <v>45711</v>
      </c>
      <c r="C11" s="405">
        <f>B11+1</f>
        <v>45712</v>
      </c>
      <c r="D11" s="405">
        <f t="shared" ref="D11:H11" si="0">C11+1</f>
        <v>45713</v>
      </c>
      <c r="E11" s="405">
        <f t="shared" si="0"/>
        <v>45714</v>
      </c>
      <c r="F11" s="405">
        <f t="shared" si="0"/>
        <v>45715</v>
      </c>
      <c r="G11" s="405">
        <f t="shared" si="0"/>
        <v>45716</v>
      </c>
      <c r="H11" s="406">
        <f t="shared" si="0"/>
        <v>45717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VLOOKUP(J11,예산!$B$41:$N$53,4,FALSE)</f>
        <v>0</v>
      </c>
      <c r="M11" s="428">
        <f t="shared" ref="M11:M23" si="1">L11-K11</f>
        <v>0</v>
      </c>
      <c r="N11" s="437">
        <f>VLOOKUP(J11,'2월'!$J$10:$K$23,2,FALSE)</f>
        <v>0</v>
      </c>
      <c r="O11" s="439">
        <f t="shared" ref="O11:O23" si="2">K11-N11</f>
        <v>0</v>
      </c>
      <c r="P11" s="3"/>
      <c r="V11" s="62"/>
      <c r="W11" s="120"/>
    </row>
    <row r="12" spans="1:23" ht="19.899999999999999" customHeight="1" x14ac:dyDescent="0.3">
      <c r="B12" s="532" t="str">
        <f t="shared" ref="B12:H12" ca="1" si="3">IF(MONTH(B11)&lt;&gt;$A$2,"",IF(AND(SUMIF($J$81:$J$145,B11,$R$81:$R$145)=0,B11&lt;TODAY()),"무지출",SUMIF($J$81:$J$145,B11,$R$81:$R$145)))</f>
        <v/>
      </c>
      <c r="C12" s="533" t="str">
        <f t="shared" ca="1" si="3"/>
        <v/>
      </c>
      <c r="D12" s="533" t="str">
        <f t="shared" ca="1" si="3"/>
        <v/>
      </c>
      <c r="E12" s="533" t="str">
        <f t="shared" ca="1" si="3"/>
        <v/>
      </c>
      <c r="F12" s="533" t="str">
        <f t="shared" ca="1" si="3"/>
        <v/>
      </c>
      <c r="G12" s="533" t="str">
        <f t="shared" ca="1" si="3"/>
        <v/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VLOOKUP(J12,예산!$B$41:$N$53,4,FALSE)</f>
        <v>0</v>
      </c>
      <c r="M12" s="428">
        <f t="shared" si="1"/>
        <v>-212000</v>
      </c>
      <c r="N12" s="437">
        <f>VLOOKUP(J12,'2월'!$J$10:$K$23,2,FALSE)</f>
        <v>212000</v>
      </c>
      <c r="O12" s="439">
        <f t="shared" si="2"/>
        <v>0</v>
      </c>
      <c r="P12" s="3"/>
      <c r="V12" s="62"/>
      <c r="W12" s="120"/>
    </row>
    <row r="13" spans="1:23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VLOOKUP(J13,예산!$B$41:$N$53,4,FALSE)</f>
        <v>0</v>
      </c>
      <c r="M13" s="428">
        <f t="shared" si="1"/>
        <v>0</v>
      </c>
      <c r="N13" s="437">
        <f>VLOOKUP(J13,'2월'!$J$10:$K$23,2,FALSE)</f>
        <v>0</v>
      </c>
      <c r="O13" s="439">
        <f t="shared" si="2"/>
        <v>0</v>
      </c>
      <c r="P13" s="3"/>
      <c r="V13" s="62"/>
      <c r="W13" s="120"/>
    </row>
    <row r="14" spans="1:23" ht="19.899999999999999" customHeight="1" x14ac:dyDescent="0.3">
      <c r="B14" s="404">
        <f>B11+7</f>
        <v>45718</v>
      </c>
      <c r="C14" s="405">
        <f t="shared" ref="C14:H14" si="5">C11+7</f>
        <v>45719</v>
      </c>
      <c r="D14" s="405">
        <f t="shared" si="5"/>
        <v>45720</v>
      </c>
      <c r="E14" s="405">
        <f t="shared" si="5"/>
        <v>45721</v>
      </c>
      <c r="F14" s="405">
        <f t="shared" si="5"/>
        <v>45722</v>
      </c>
      <c r="G14" s="405">
        <f t="shared" si="5"/>
        <v>45723</v>
      </c>
      <c r="H14" s="406">
        <f t="shared" si="5"/>
        <v>45724</v>
      </c>
      <c r="J14" s="369" t="str">
        <f>항목!H$3</f>
        <v>반려동물비</v>
      </c>
      <c r="K14" s="426">
        <f t="shared" si="4"/>
        <v>0</v>
      </c>
      <c r="L14" s="426">
        <f>VLOOKUP(J14,예산!$B$41:$N$53,4,FALSE)</f>
        <v>0</v>
      </c>
      <c r="M14" s="428">
        <f t="shared" si="1"/>
        <v>0</v>
      </c>
      <c r="N14" s="437">
        <f>VLOOKUP(J14,'2월'!$J$10:$K$23,2,FALSE)</f>
        <v>0</v>
      </c>
      <c r="O14" s="439">
        <f t="shared" si="2"/>
        <v>0</v>
      </c>
      <c r="P14" s="3"/>
      <c r="V14" s="62"/>
      <c r="W14" s="120"/>
    </row>
    <row r="15" spans="1:23" ht="19.899999999999999" customHeight="1" x14ac:dyDescent="0.3">
      <c r="B15" s="532" t="str">
        <f t="shared" ref="B15:H15" ca="1" si="6">IF(MONTH(B14)&lt;&gt;$A$2,"",IF(AND(SUMIF($J$81:$J$145,B14,$R$81:$R$145)=0,B14&lt;TODAY()),"무지출",SUMIF($J$81:$J$145,B14,$R$81:$R$145)))</f>
        <v>무지출</v>
      </c>
      <c r="C15" s="533" t="str">
        <f t="shared" ca="1" si="6"/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VLOOKUP(J15,예산!$B$41:$N$53,4,FALSE)</f>
        <v>0</v>
      </c>
      <c r="M15" s="428">
        <f t="shared" si="1"/>
        <v>0</v>
      </c>
      <c r="N15" s="437">
        <f>VLOOKUP(J15,'2월'!$J$10:$K$23,2,FALSE)</f>
        <v>0</v>
      </c>
      <c r="O15" s="439">
        <f t="shared" si="2"/>
        <v>0</v>
      </c>
      <c r="P15" s="3"/>
      <c r="V15" s="62"/>
      <c r="W15" s="120"/>
    </row>
    <row r="16" spans="1:23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VLOOKUP(J16,예산!$B$41:$N$53,4,FALSE)</f>
        <v>0</v>
      </c>
      <c r="M16" s="428">
        <f t="shared" si="1"/>
        <v>0</v>
      </c>
      <c r="N16" s="437">
        <f>VLOOKUP(J16,'2월'!$J$10:$K$23,2,FALSE)</f>
        <v>0</v>
      </c>
      <c r="O16" s="439">
        <f t="shared" si="2"/>
        <v>0</v>
      </c>
      <c r="P16" s="3"/>
      <c r="V16" s="62"/>
      <c r="W16" s="120"/>
    </row>
    <row r="17" spans="2:23" ht="19.899999999999999" customHeight="1" x14ac:dyDescent="0.3">
      <c r="B17" s="404">
        <f>B11+14</f>
        <v>45725</v>
      </c>
      <c r="C17" s="405">
        <f t="shared" ref="C17:H17" si="7">C11+14</f>
        <v>45726</v>
      </c>
      <c r="D17" s="405">
        <f t="shared" si="7"/>
        <v>45727</v>
      </c>
      <c r="E17" s="405">
        <f t="shared" si="7"/>
        <v>45728</v>
      </c>
      <c r="F17" s="405">
        <f t="shared" si="7"/>
        <v>45729</v>
      </c>
      <c r="G17" s="405">
        <f t="shared" si="7"/>
        <v>45730</v>
      </c>
      <c r="H17" s="406">
        <f t="shared" si="7"/>
        <v>45731</v>
      </c>
      <c r="J17" s="369" t="str">
        <f>항목!K$3</f>
        <v>문화생활비</v>
      </c>
      <c r="K17" s="426">
        <f t="shared" si="4"/>
        <v>63100</v>
      </c>
      <c r="L17" s="426">
        <f>VLOOKUP(J17,예산!$B$41:$N$53,4,FALSE)</f>
        <v>0</v>
      </c>
      <c r="M17" s="428">
        <f t="shared" si="1"/>
        <v>-63100</v>
      </c>
      <c r="N17" s="437">
        <f>VLOOKUP(J17,'2월'!$J$10:$K$23,2,FALSE)</f>
        <v>63100</v>
      </c>
      <c r="O17" s="439">
        <f t="shared" si="2"/>
        <v>0</v>
      </c>
      <c r="P17" s="3"/>
      <c r="V17" s="62"/>
      <c r="W17" s="120"/>
    </row>
    <row r="18" spans="2:23" ht="19.899999999999999" customHeight="1" x14ac:dyDescent="0.3">
      <c r="B18" s="532" t="str">
        <f t="shared" ref="B18:H18" ca="1" si="8">IF(MONTH(B17)&lt;&gt;$A$2,"",IF(AND(SUMIF($J$81:$J$145,B17,$R$81:$R$145)=0,B17&lt;TODAY()),"무지출",SUMIF($J$81:$J$145,B17,$R$81:$R$145)))</f>
        <v>무지출</v>
      </c>
      <c r="C18" s="533" t="str">
        <f t="shared" ca="1" si="8"/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VLOOKUP(J18,예산!$B$41:$N$53,4,FALSE)</f>
        <v>0</v>
      </c>
      <c r="M18" s="428">
        <f t="shared" si="1"/>
        <v>0</v>
      </c>
      <c r="N18" s="437">
        <f>VLOOKUP(J18,'2월'!$J$10:$K$23,2,FALSE)</f>
        <v>0</v>
      </c>
      <c r="O18" s="439">
        <f t="shared" si="2"/>
        <v>0</v>
      </c>
      <c r="P18" s="3"/>
      <c r="V18" s="62"/>
      <c r="W18" s="120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VLOOKUP(J19,예산!$B$41:$N$53,4,FALSE)</f>
        <v>0</v>
      </c>
      <c r="M19" s="428">
        <f t="shared" si="1"/>
        <v>0</v>
      </c>
      <c r="N19" s="437">
        <f>VLOOKUP(J19,'2월'!$J$10:$K$23,2,FALSE)</f>
        <v>0</v>
      </c>
      <c r="O19" s="439">
        <f t="shared" si="2"/>
        <v>0</v>
      </c>
      <c r="P19" s="3"/>
      <c r="V19" s="62"/>
      <c r="W19" s="120"/>
    </row>
    <row r="20" spans="2:23" ht="19.899999999999999" customHeight="1" x14ac:dyDescent="0.3">
      <c r="B20" s="404">
        <f>B11+21</f>
        <v>45732</v>
      </c>
      <c r="C20" s="405">
        <f t="shared" ref="C20:H20" si="9">C11+21</f>
        <v>45733</v>
      </c>
      <c r="D20" s="405">
        <f t="shared" si="9"/>
        <v>45734</v>
      </c>
      <c r="E20" s="405">
        <f t="shared" si="9"/>
        <v>45735</v>
      </c>
      <c r="F20" s="405">
        <f t="shared" si="9"/>
        <v>45736</v>
      </c>
      <c r="G20" s="405">
        <f t="shared" si="9"/>
        <v>45737</v>
      </c>
      <c r="H20" s="406">
        <f t="shared" si="9"/>
        <v>45738</v>
      </c>
      <c r="J20" s="369" t="str">
        <f>항목!N$3</f>
        <v>통신비</v>
      </c>
      <c r="K20" s="426">
        <f t="shared" si="4"/>
        <v>0</v>
      </c>
      <c r="L20" s="426">
        <f>VLOOKUP(J20,예산!$B$41:$N$53,4,FALSE)</f>
        <v>0</v>
      </c>
      <c r="M20" s="428">
        <f t="shared" si="1"/>
        <v>0</v>
      </c>
      <c r="N20" s="437">
        <f>VLOOKUP(J20,'2월'!$J$10:$K$23,2,FALSE)</f>
        <v>0</v>
      </c>
      <c r="O20" s="439">
        <f t="shared" si="2"/>
        <v>0</v>
      </c>
      <c r="P20" s="3"/>
      <c r="V20" s="62"/>
      <c r="W20" s="120"/>
    </row>
    <row r="21" spans="2:23" ht="19.899999999999999" customHeight="1" x14ac:dyDescent="0.3">
      <c r="B21" s="532" t="str">
        <f t="shared" ref="B21:H21" ca="1" si="10">IF(MONTH(B20)&lt;&gt;$A$2,"",IF(AND(SUMIF($J$81:$J$145,B20,$R$81:$R$145)=0,B20&lt;TODAY()),"무지출",SUMIF($J$81:$J$145,B20,$R$81:$R$145)))</f>
        <v>무지출</v>
      </c>
      <c r="C21" s="533" t="str">
        <f t="shared" ca="1" si="10"/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VLOOKUP(J21,예산!$B$41:$N$53,4,FALSE)</f>
        <v>0</v>
      </c>
      <c r="M21" s="428">
        <f t="shared" si="1"/>
        <v>0</v>
      </c>
      <c r="N21" s="437">
        <f>VLOOKUP(J21,'2월'!$J$10:$K$23,2,FALSE)</f>
        <v>0</v>
      </c>
      <c r="O21" s="439">
        <f t="shared" si="2"/>
        <v>0</v>
      </c>
      <c r="P21" s="3"/>
      <c r="V21" s="62"/>
      <c r="W21" s="120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VLOOKUP(J22,예산!$B$41:$N$53,4,FALSE)</f>
        <v>0</v>
      </c>
      <c r="M22" s="428">
        <f t="shared" si="1"/>
        <v>0</v>
      </c>
      <c r="N22" s="437">
        <f>VLOOKUP(J22,'2월'!$J$10:$K$23,2,FALSE)</f>
        <v>0</v>
      </c>
      <c r="O22" s="439">
        <f t="shared" si="2"/>
        <v>0</v>
      </c>
      <c r="P22" s="3"/>
      <c r="V22" s="62"/>
      <c r="W22" s="120"/>
    </row>
    <row r="23" spans="2:23" ht="19.899999999999999" customHeight="1" x14ac:dyDescent="0.3">
      <c r="B23" s="404">
        <f>B11+28</f>
        <v>45739</v>
      </c>
      <c r="C23" s="405">
        <f t="shared" ref="C23:H23" si="11">C11+28</f>
        <v>45740</v>
      </c>
      <c r="D23" s="405">
        <f t="shared" si="11"/>
        <v>45741</v>
      </c>
      <c r="E23" s="405">
        <f t="shared" si="11"/>
        <v>45742</v>
      </c>
      <c r="F23" s="405">
        <f t="shared" si="11"/>
        <v>45743</v>
      </c>
      <c r="G23" s="405">
        <f t="shared" si="11"/>
        <v>45744</v>
      </c>
      <c r="H23" s="406">
        <f t="shared" si="11"/>
        <v>45745</v>
      </c>
      <c r="J23" s="332" t="str">
        <f>항목!Q$3</f>
        <v>추가항목</v>
      </c>
      <c r="K23" s="426">
        <f t="shared" si="4"/>
        <v>0</v>
      </c>
      <c r="L23" s="427">
        <f>VLOOKUP(J23,예산!$B$41:$N$53,4,FALSE)</f>
        <v>0</v>
      </c>
      <c r="M23" s="429">
        <f t="shared" si="1"/>
        <v>0</v>
      </c>
      <c r="N23" s="438">
        <f>VLOOKUP(J23,'2월'!$J$10:$K$23,2,FALSE)</f>
        <v>0</v>
      </c>
      <c r="O23" s="440">
        <f t="shared" si="2"/>
        <v>0</v>
      </c>
      <c r="P23" s="3"/>
      <c r="V23" s="62"/>
      <c r="W23" s="120"/>
    </row>
    <row r="24" spans="2:23" ht="19.899999999999999" customHeight="1" x14ac:dyDescent="0.3">
      <c r="B24" s="532" t="str">
        <f t="shared" ref="B24:H24" ca="1" si="12">IF(MONTH(B23)&lt;&gt;$A$2,"",IF(AND(SUMIF($J$81:$J$145,B23,$R$81:$R$145)=0,B23&lt;TODAY()),"무지출",SUMIF($J$81:$J$145,B23,$R$81:$R$145)))</f>
        <v>무지출</v>
      </c>
      <c r="C24" s="533" t="str">
        <f t="shared" ca="1" si="12"/>
        <v>무지출</v>
      </c>
      <c r="D24" s="533" t="str">
        <f t="shared" ca="1" si="12"/>
        <v>무지출</v>
      </c>
      <c r="E24" s="533" t="str">
        <f t="shared" ca="1" si="12"/>
        <v>무지출</v>
      </c>
      <c r="F24" s="533" t="str">
        <f t="shared" ca="1" si="12"/>
        <v>무지출</v>
      </c>
      <c r="G24" s="533" t="str">
        <f t="shared" ca="1" si="12"/>
        <v>무지출</v>
      </c>
      <c r="H24" s="534" t="str">
        <f t="shared" ca="1" si="12"/>
        <v>무지출</v>
      </c>
      <c r="V24" s="62"/>
      <c r="W24" s="120"/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V25" s="62"/>
      <c r="W25" s="120"/>
    </row>
    <row r="26" spans="2:23" ht="19.899999999999999" customHeight="1" x14ac:dyDescent="0.3">
      <c r="B26" s="404">
        <f>B11+35</f>
        <v>45746</v>
      </c>
      <c r="C26" s="405">
        <f t="shared" ref="C26:H26" si="13">C11+35</f>
        <v>45747</v>
      </c>
      <c r="D26" s="405">
        <f t="shared" si="13"/>
        <v>45748</v>
      </c>
      <c r="E26" s="405">
        <f t="shared" si="13"/>
        <v>45749</v>
      </c>
      <c r="F26" s="405">
        <f t="shared" si="13"/>
        <v>45750</v>
      </c>
      <c r="G26" s="405">
        <f t="shared" si="13"/>
        <v>45751</v>
      </c>
      <c r="H26" s="406">
        <f t="shared" si="13"/>
        <v>45752</v>
      </c>
      <c r="J26" s="446"/>
      <c r="K26" s="368"/>
      <c r="L26" s="368"/>
      <c r="M26" s="368"/>
      <c r="N26" s="368"/>
      <c r="O26" s="368"/>
      <c r="V26" s="62"/>
      <c r="W26" s="120"/>
    </row>
    <row r="27" spans="2:23" ht="19.899999999999999" customHeight="1" x14ac:dyDescent="0.3">
      <c r="B27" s="532" t="str">
        <f t="shared" ref="B27:H27" ca="1" si="14">IF(MONTH(B26)&lt;&gt;$A$2,"",IF(AND(SUMIF($J$81:$J$145,B26,$R$81:$R$145)=0,B26&lt;TODAY()),"무지출",SUMIF($J$81:$J$145,B26,$R$81:$R$145)))</f>
        <v>무지출</v>
      </c>
      <c r="C27" s="533" t="str">
        <f t="shared" ca="1" si="14"/>
        <v>무지출</v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  <c r="V27" s="62"/>
      <c r="W27" s="120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V28" s="62"/>
      <c r="W28" s="120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" customHeight="1" x14ac:dyDescent="0.3">
      <c r="H167" s="2"/>
      <c r="T167" s="2"/>
    </row>
    <row r="168" spans="1:23" ht="18" customHeight="1" x14ac:dyDescent="0.3">
      <c r="G168" s="2"/>
      <c r="O168" s="2"/>
      <c r="P168" s="2"/>
      <c r="Q168" s="2"/>
    </row>
    <row r="169" spans="1:23" ht="18" customHeight="1" x14ac:dyDescent="0.3">
      <c r="G169" s="2"/>
      <c r="O169" s="2"/>
      <c r="P169" s="2"/>
      <c r="Q169" s="2"/>
    </row>
    <row r="170" spans="1:23" ht="18" customHeight="1" x14ac:dyDescent="0.3">
      <c r="G170" s="2"/>
      <c r="O170" s="2"/>
      <c r="P170" s="2"/>
      <c r="Q170" s="2"/>
    </row>
    <row r="171" spans="1:23" ht="18" customHeight="1" x14ac:dyDescent="0.3">
      <c r="G171" s="2"/>
      <c r="O171" s="2"/>
      <c r="P171" s="2"/>
      <c r="Q171" s="2"/>
    </row>
    <row r="172" spans="1:23" ht="18" customHeight="1" x14ac:dyDescent="0.3">
      <c r="G172" s="2"/>
      <c r="O172" s="2"/>
      <c r="P172" s="2"/>
      <c r="Q172" s="2"/>
    </row>
    <row r="173" spans="1:23" ht="18" customHeight="1" x14ac:dyDescent="0.3">
      <c r="G173" s="2"/>
      <c r="O173" s="2"/>
      <c r="P173" s="2"/>
      <c r="Q173" s="2"/>
    </row>
    <row r="174" spans="1:23" ht="18" customHeight="1" x14ac:dyDescent="0.3">
      <c r="G174" s="2"/>
      <c r="O174" s="2"/>
      <c r="P174" s="2"/>
      <c r="Q174" s="2"/>
    </row>
    <row r="175" spans="1:23" ht="18" customHeight="1" x14ac:dyDescent="0.3">
      <c r="G175" s="2"/>
      <c r="O175" s="2"/>
      <c r="P175" s="2"/>
      <c r="Q175" s="2"/>
    </row>
    <row r="176" spans="1:23" ht="18" customHeight="1" x14ac:dyDescent="0.3">
      <c r="G176" s="2"/>
      <c r="O176" s="2"/>
      <c r="P176" s="2"/>
      <c r="Q176" s="2"/>
    </row>
    <row r="177" spans="7:17" ht="18" customHeight="1" x14ac:dyDescent="0.3">
      <c r="G177" s="2"/>
      <c r="O177" s="2"/>
      <c r="P177" s="2"/>
      <c r="Q177" s="2"/>
    </row>
    <row r="178" spans="7:17" ht="18" customHeight="1" x14ac:dyDescent="0.3">
      <c r="G178" s="2"/>
      <c r="O178" s="2"/>
      <c r="P178" s="2"/>
      <c r="Q178" s="2"/>
    </row>
    <row r="179" spans="7:17" ht="18" customHeight="1" x14ac:dyDescent="0.3">
      <c r="G179" s="2"/>
      <c r="O179" s="2"/>
      <c r="P179" s="2"/>
      <c r="Q179" s="2"/>
    </row>
    <row r="180" spans="7:17" ht="18" customHeight="1" x14ac:dyDescent="0.3">
      <c r="G180" s="2"/>
      <c r="O180" s="2"/>
      <c r="P180" s="2"/>
      <c r="Q180" s="2"/>
    </row>
    <row r="181" spans="7:17" ht="18" customHeight="1" x14ac:dyDescent="0.3">
      <c r="G181" s="2"/>
      <c r="O181" s="2"/>
      <c r="P181" s="2"/>
      <c r="Q181" s="2"/>
    </row>
    <row r="182" spans="7:17" ht="18" customHeight="1" x14ac:dyDescent="0.3">
      <c r="G182" s="2"/>
      <c r="O182" s="2"/>
      <c r="P182" s="2"/>
      <c r="Q182" s="2"/>
    </row>
    <row r="183" spans="7:17" ht="18" customHeight="1" x14ac:dyDescent="0.3">
      <c r="G183" s="2"/>
      <c r="O183" s="2"/>
      <c r="P183" s="2"/>
      <c r="Q183" s="2"/>
    </row>
    <row r="184" spans="7:17" ht="18" customHeight="1" x14ac:dyDescent="0.3">
      <c r="G184" s="2"/>
      <c r="O184" s="2"/>
      <c r="P184" s="2"/>
      <c r="Q184" s="2"/>
    </row>
    <row r="185" spans="7:17" ht="18" customHeight="1" x14ac:dyDescent="0.3">
      <c r="G185" s="2"/>
      <c r="O185" s="2"/>
      <c r="P185" s="2"/>
      <c r="Q185" s="2"/>
    </row>
    <row r="186" spans="7:17" ht="18" customHeight="1" x14ac:dyDescent="0.3">
      <c r="G186" s="2"/>
      <c r="O186" s="2"/>
      <c r="P186" s="2"/>
      <c r="Q186" s="2"/>
    </row>
    <row r="187" spans="7:17" ht="18" customHeight="1" x14ac:dyDescent="0.3">
      <c r="G187" s="2"/>
      <c r="O187" s="2"/>
      <c r="P187" s="2"/>
      <c r="Q187" s="2"/>
    </row>
    <row r="188" spans="7:17" ht="18" customHeight="1" x14ac:dyDescent="0.3">
      <c r="G188" s="2"/>
      <c r="O188" s="2"/>
      <c r="P188" s="2"/>
      <c r="Q188" s="2"/>
    </row>
    <row r="189" spans="7:17" ht="18" customHeight="1" x14ac:dyDescent="0.3">
      <c r="G189" s="2"/>
      <c r="O189" s="2"/>
      <c r="P189" s="2"/>
      <c r="Q189" s="2"/>
    </row>
    <row r="190" spans="7:17" ht="18" customHeight="1" x14ac:dyDescent="0.3">
      <c r="G190" s="2"/>
      <c r="O190" s="2"/>
      <c r="P190" s="2"/>
      <c r="Q190" s="2"/>
    </row>
    <row r="191" spans="7:17" ht="18" customHeight="1" x14ac:dyDescent="0.3">
      <c r="G191" s="2"/>
      <c r="O191" s="2"/>
      <c r="P191" s="2"/>
      <c r="Q191" s="2"/>
    </row>
    <row r="192" spans="7:17" ht="18" customHeight="1" x14ac:dyDescent="0.3">
      <c r="G192" s="2"/>
      <c r="O192" s="2"/>
      <c r="P192" s="2"/>
      <c r="Q192" s="2"/>
    </row>
    <row r="193" spans="7:17" ht="18" customHeight="1" x14ac:dyDescent="0.3">
      <c r="G193" s="2"/>
      <c r="O193" s="2"/>
      <c r="P193" s="2"/>
      <c r="Q193" s="2"/>
    </row>
    <row r="194" spans="7:17" ht="18" customHeight="1" x14ac:dyDescent="0.3">
      <c r="G194" s="2"/>
      <c r="O194" s="2"/>
      <c r="P194" s="2"/>
      <c r="Q194" s="2"/>
    </row>
    <row r="195" spans="7:17" ht="18" customHeight="1" x14ac:dyDescent="0.3">
      <c r="G195" s="2"/>
      <c r="O195" s="2"/>
      <c r="P195" s="2"/>
      <c r="Q195" s="2"/>
    </row>
    <row r="196" spans="7:17" ht="18" customHeight="1" x14ac:dyDescent="0.3">
      <c r="G196" s="2"/>
      <c r="O196" s="2"/>
      <c r="P196" s="2"/>
      <c r="Q196" s="2"/>
    </row>
    <row r="197" spans="7:17" ht="18" customHeight="1" x14ac:dyDescent="0.3">
      <c r="G197" s="2"/>
      <c r="O197" s="2"/>
      <c r="P197" s="2"/>
      <c r="Q197" s="2"/>
    </row>
    <row r="198" spans="7:17" ht="18" customHeight="1" x14ac:dyDescent="0.3">
      <c r="G198" s="2"/>
      <c r="O198" s="2"/>
      <c r="P198" s="2"/>
      <c r="Q198" s="2"/>
    </row>
    <row r="199" spans="7:17" ht="18" customHeight="1" x14ac:dyDescent="0.3">
      <c r="G199" s="2"/>
      <c r="O199" s="2"/>
      <c r="P199" s="2"/>
      <c r="Q199" s="2"/>
    </row>
    <row r="200" spans="7:17" ht="18" customHeight="1" x14ac:dyDescent="0.3">
      <c r="G200" s="2"/>
      <c r="O200" s="2"/>
      <c r="P200" s="2"/>
      <c r="Q200" s="2"/>
    </row>
    <row r="201" spans="7:17" ht="18" customHeight="1" x14ac:dyDescent="0.3">
      <c r="G201" s="2"/>
      <c r="O201" s="2"/>
      <c r="P201" s="2"/>
      <c r="Q201" s="2"/>
    </row>
    <row r="202" spans="7:17" ht="18" customHeight="1" x14ac:dyDescent="0.3">
      <c r="G202" s="2"/>
      <c r="O202" s="2"/>
      <c r="P202" s="2"/>
      <c r="Q202" s="2"/>
    </row>
    <row r="203" spans="7:17" ht="18" customHeight="1" x14ac:dyDescent="0.3">
      <c r="G203" s="2"/>
      <c r="O203" s="2"/>
      <c r="P203" s="2"/>
      <c r="Q203" s="2"/>
    </row>
    <row r="204" spans="7:17" ht="18" customHeight="1" x14ac:dyDescent="0.3">
      <c r="G204" s="2"/>
      <c r="O204" s="2"/>
      <c r="P204" s="2"/>
      <c r="Q204" s="2"/>
    </row>
    <row r="205" spans="7:17" ht="18" customHeight="1" x14ac:dyDescent="0.3">
      <c r="G205" s="2"/>
      <c r="O205" s="2"/>
      <c r="P205" s="2"/>
      <c r="Q205" s="2"/>
    </row>
    <row r="206" spans="7:17" ht="18" customHeight="1" x14ac:dyDescent="0.3">
      <c r="G206" s="2"/>
      <c r="O206" s="2"/>
      <c r="P206" s="2"/>
      <c r="Q206" s="2"/>
    </row>
    <row r="207" spans="7:17" ht="18" customHeight="1" x14ac:dyDescent="0.3">
      <c r="G207" s="2"/>
      <c r="O207" s="2"/>
      <c r="P207" s="2"/>
      <c r="Q207" s="2"/>
    </row>
    <row r="208" spans="7:17" ht="18" customHeight="1" x14ac:dyDescent="0.3">
      <c r="G208" s="2"/>
      <c r="O208" s="2"/>
      <c r="P208" s="2"/>
      <c r="Q208" s="2"/>
    </row>
    <row r="209" spans="7:17" ht="18" customHeight="1" x14ac:dyDescent="0.3">
      <c r="G209" s="2"/>
      <c r="O209" s="2"/>
      <c r="P209" s="2"/>
      <c r="Q209" s="2"/>
    </row>
    <row r="210" spans="7:17" ht="18" customHeight="1" x14ac:dyDescent="0.3">
      <c r="G210" s="2"/>
      <c r="O210" s="2"/>
      <c r="P210" s="2"/>
      <c r="Q210" s="2"/>
    </row>
    <row r="211" spans="7:17" ht="18" customHeight="1" x14ac:dyDescent="0.3">
      <c r="G211" s="2"/>
      <c r="O211" s="2"/>
      <c r="P211" s="2"/>
      <c r="Q211" s="2"/>
    </row>
    <row r="212" spans="7:17" ht="18" customHeight="1" x14ac:dyDescent="0.3">
      <c r="G212" s="2"/>
      <c r="O212" s="2"/>
      <c r="P212" s="2"/>
      <c r="Q212" s="2"/>
    </row>
    <row r="213" spans="7:17" ht="18" customHeight="1" x14ac:dyDescent="0.3">
      <c r="G213" s="2"/>
      <c r="O213" s="2"/>
      <c r="P213" s="2"/>
      <c r="Q213" s="2"/>
    </row>
    <row r="214" spans="7:17" ht="18" customHeight="1" x14ac:dyDescent="0.3">
      <c r="G214" s="2"/>
      <c r="O214" s="2"/>
      <c r="P214" s="2"/>
      <c r="Q214" s="2"/>
    </row>
    <row r="215" spans="7:17" ht="18" customHeight="1" x14ac:dyDescent="0.3">
      <c r="G215" s="2"/>
      <c r="O215" s="2"/>
      <c r="P215" s="2"/>
      <c r="Q215" s="2"/>
    </row>
    <row r="216" spans="7:17" ht="18" customHeight="1" x14ac:dyDescent="0.3">
      <c r="G216" s="2"/>
      <c r="O216" s="2"/>
      <c r="P216" s="2"/>
      <c r="Q216" s="2"/>
    </row>
    <row r="217" spans="7:17" ht="18" customHeight="1" x14ac:dyDescent="0.3">
      <c r="G217" s="2"/>
      <c r="O217" s="2"/>
      <c r="P217" s="2"/>
      <c r="Q217" s="2"/>
    </row>
    <row r="218" spans="7:17" ht="18" customHeight="1" x14ac:dyDescent="0.3">
      <c r="G218" s="2"/>
      <c r="O218" s="2"/>
      <c r="P218" s="2"/>
      <c r="Q218" s="2"/>
    </row>
    <row r="219" spans="7:17" ht="18" customHeight="1" x14ac:dyDescent="0.3">
      <c r="G219" s="2"/>
      <c r="O219" s="2"/>
      <c r="P219" s="2"/>
      <c r="Q219" s="2"/>
    </row>
    <row r="220" spans="7:17" ht="18" customHeight="1" x14ac:dyDescent="0.3">
      <c r="G220" s="2"/>
      <c r="O220" s="2"/>
      <c r="P220" s="2"/>
      <c r="Q220" s="2"/>
    </row>
    <row r="221" spans="7:17" ht="18" customHeight="1" x14ac:dyDescent="0.3">
      <c r="G221" s="2"/>
      <c r="O221" s="2"/>
      <c r="P221" s="2"/>
      <c r="Q221" s="2"/>
    </row>
    <row r="222" spans="7:17" ht="18" customHeight="1" x14ac:dyDescent="0.3">
      <c r="G222" s="2"/>
      <c r="O222" s="2"/>
      <c r="P222" s="2"/>
      <c r="Q222" s="2"/>
    </row>
    <row r="223" spans="7:17" ht="18" customHeight="1" x14ac:dyDescent="0.3">
      <c r="G223" s="2"/>
      <c r="O223" s="2"/>
      <c r="P223" s="2"/>
      <c r="Q223" s="2"/>
    </row>
    <row r="224" spans="7:17" ht="18" customHeight="1" x14ac:dyDescent="0.3">
      <c r="G224" s="2"/>
      <c r="O224" s="2"/>
      <c r="P224" s="2"/>
      <c r="Q224" s="2"/>
    </row>
    <row r="225" spans="7:17" ht="18" customHeight="1" x14ac:dyDescent="0.3">
      <c r="G225" s="2"/>
      <c r="O225" s="2"/>
      <c r="P225" s="2"/>
      <c r="Q225" s="2"/>
    </row>
    <row r="226" spans="7:17" ht="18" customHeight="1" x14ac:dyDescent="0.3">
      <c r="G226" s="2"/>
      <c r="O226" s="2"/>
      <c r="P226" s="2"/>
      <c r="Q226" s="2"/>
    </row>
    <row r="227" spans="7:17" ht="18" customHeight="1" x14ac:dyDescent="0.3">
      <c r="G227" s="2"/>
      <c r="O227" s="2"/>
      <c r="P227" s="2"/>
      <c r="Q227" s="2"/>
    </row>
    <row r="228" spans="7:17" ht="18" customHeight="1" x14ac:dyDescent="0.3">
      <c r="G228" s="2"/>
      <c r="O228" s="2"/>
      <c r="P228" s="2"/>
      <c r="Q228" s="2"/>
    </row>
    <row r="229" spans="7:17" ht="18" customHeight="1" x14ac:dyDescent="0.3">
      <c r="G229" s="2"/>
      <c r="O229" s="2"/>
      <c r="P229" s="2"/>
      <c r="Q229" s="2"/>
    </row>
    <row r="230" spans="7:17" ht="18" customHeight="1" x14ac:dyDescent="0.3">
      <c r="G230" s="2"/>
      <c r="O230" s="2"/>
      <c r="P230" s="2"/>
      <c r="Q230" s="2"/>
    </row>
    <row r="231" spans="7:17" ht="18" customHeight="1" x14ac:dyDescent="0.3">
      <c r="G231" s="2"/>
      <c r="O231" s="2"/>
      <c r="P231" s="2"/>
      <c r="Q231" s="2"/>
    </row>
    <row r="232" spans="7:17" ht="18" customHeight="1" x14ac:dyDescent="0.3">
      <c r="G232" s="2"/>
      <c r="O232" s="2"/>
      <c r="P232" s="2"/>
      <c r="Q232" s="2"/>
    </row>
    <row r="233" spans="7:17" ht="18" customHeight="1" x14ac:dyDescent="0.3">
      <c r="G233" s="2"/>
      <c r="O233" s="2"/>
      <c r="P233" s="2"/>
      <c r="Q233" s="2"/>
    </row>
    <row r="234" spans="7:17" ht="18" customHeight="1" x14ac:dyDescent="0.3">
      <c r="G234" s="2"/>
      <c r="O234" s="2"/>
      <c r="P234" s="2"/>
      <c r="Q234" s="2"/>
    </row>
    <row r="235" spans="7:17" ht="18" customHeight="1" x14ac:dyDescent="0.3">
      <c r="G235" s="2"/>
      <c r="O235" s="2"/>
      <c r="P235" s="2"/>
      <c r="Q235" s="2"/>
    </row>
    <row r="236" spans="7:17" ht="18" customHeight="1" x14ac:dyDescent="0.3">
      <c r="G236" s="2"/>
      <c r="O236" s="2"/>
      <c r="P236" s="2"/>
      <c r="Q236" s="2"/>
    </row>
    <row r="237" spans="7:17" ht="18" customHeight="1" x14ac:dyDescent="0.3">
      <c r="G237" s="2"/>
      <c r="O237" s="2"/>
      <c r="P237" s="2"/>
      <c r="Q237" s="2"/>
    </row>
    <row r="238" spans="7:17" ht="18" customHeight="1" x14ac:dyDescent="0.3">
      <c r="G238" s="2"/>
      <c r="O238" s="2"/>
      <c r="P238" s="2"/>
      <c r="Q238" s="2"/>
    </row>
    <row r="239" spans="7:17" ht="18" customHeight="1" x14ac:dyDescent="0.3">
      <c r="G239" s="2"/>
      <c r="O239" s="2"/>
      <c r="P239" s="2"/>
      <c r="Q239" s="2"/>
    </row>
    <row r="240" spans="7:17" ht="18" customHeight="1" x14ac:dyDescent="0.3">
      <c r="G240" s="2"/>
      <c r="O240" s="2"/>
      <c r="P240" s="2"/>
      <c r="Q240" s="2"/>
    </row>
    <row r="241" spans="7:17" ht="18" customHeight="1" x14ac:dyDescent="0.3">
      <c r="G241" s="2"/>
      <c r="O241" s="2"/>
      <c r="P241" s="2"/>
      <c r="Q241" s="2"/>
    </row>
    <row r="242" spans="7:17" ht="18" customHeight="1" x14ac:dyDescent="0.3">
      <c r="G242" s="2"/>
      <c r="O242" s="2"/>
      <c r="P242" s="2"/>
      <c r="Q242" s="2"/>
    </row>
    <row r="243" spans="7:17" ht="18" customHeight="1" x14ac:dyDescent="0.3">
      <c r="G243" s="2"/>
      <c r="O243" s="2"/>
      <c r="P243" s="2"/>
      <c r="Q243" s="2"/>
    </row>
    <row r="244" spans="7:17" ht="18" customHeight="1" x14ac:dyDescent="0.3">
      <c r="G244" s="2"/>
      <c r="O244" s="2"/>
      <c r="P244" s="2"/>
      <c r="Q244" s="2"/>
    </row>
    <row r="245" spans="7:17" ht="18" customHeight="1" x14ac:dyDescent="0.3">
      <c r="G245" s="2"/>
      <c r="O245" s="2"/>
      <c r="P245" s="2"/>
      <c r="Q245" s="2"/>
    </row>
    <row r="246" spans="7:17" ht="18" customHeight="1" x14ac:dyDescent="0.3">
      <c r="G246" s="2"/>
      <c r="O246" s="2"/>
      <c r="P246" s="2"/>
      <c r="Q246" s="2"/>
    </row>
    <row r="247" spans="7:17" ht="18" customHeight="1" x14ac:dyDescent="0.3">
      <c r="G247" s="2"/>
      <c r="O247" s="2"/>
      <c r="P247" s="2"/>
      <c r="Q247" s="2"/>
    </row>
    <row r="248" spans="7:17" ht="18" customHeight="1" x14ac:dyDescent="0.3">
      <c r="G248" s="2"/>
      <c r="O248" s="2"/>
      <c r="P248" s="2"/>
      <c r="Q248" s="2"/>
    </row>
    <row r="249" spans="7:17" ht="18" customHeight="1" x14ac:dyDescent="0.3">
      <c r="G249" s="2"/>
      <c r="O249" s="2"/>
      <c r="P249" s="2"/>
      <c r="Q249" s="2"/>
    </row>
    <row r="250" spans="7:17" ht="18" customHeight="1" x14ac:dyDescent="0.3">
      <c r="G250" s="2"/>
      <c r="O250" s="2"/>
      <c r="P250" s="2"/>
      <c r="Q250" s="2"/>
    </row>
    <row r="251" spans="7:17" ht="18" customHeight="1" x14ac:dyDescent="0.3">
      <c r="G251" s="2"/>
      <c r="O251" s="2"/>
      <c r="P251" s="2"/>
      <c r="Q251" s="2"/>
    </row>
    <row r="252" spans="7:17" ht="18" customHeight="1" x14ac:dyDescent="0.3">
      <c r="G252" s="2"/>
      <c r="O252" s="2"/>
      <c r="P252" s="2"/>
      <c r="Q252" s="2"/>
    </row>
    <row r="253" spans="7:17" ht="18" customHeight="1" x14ac:dyDescent="0.3">
      <c r="G253" s="2"/>
      <c r="O253" s="2"/>
      <c r="P253" s="2"/>
      <c r="Q253" s="2"/>
    </row>
    <row r="254" spans="7:17" ht="18" customHeight="1" x14ac:dyDescent="0.3">
      <c r="G254" s="2"/>
      <c r="O254" s="2"/>
      <c r="P254" s="2"/>
      <c r="Q254" s="2"/>
    </row>
    <row r="255" spans="7:17" ht="18" customHeight="1" x14ac:dyDescent="0.3">
      <c r="G255" s="2"/>
      <c r="O255" s="2"/>
      <c r="P255" s="2"/>
      <c r="Q255" s="2"/>
    </row>
    <row r="256" spans="7:17" ht="18" customHeight="1" x14ac:dyDescent="0.3">
      <c r="G256" s="2"/>
      <c r="O256" s="2"/>
      <c r="P256" s="2"/>
      <c r="Q256" s="2"/>
    </row>
    <row r="257" spans="7:17" ht="18" customHeight="1" x14ac:dyDescent="0.3">
      <c r="G257" s="2"/>
      <c r="O257" s="2"/>
      <c r="P257" s="2"/>
      <c r="Q257" s="2"/>
    </row>
    <row r="258" spans="7:17" ht="18" customHeight="1" x14ac:dyDescent="0.3">
      <c r="G258" s="2"/>
      <c r="O258" s="2"/>
      <c r="P258" s="2"/>
      <c r="Q258" s="2"/>
    </row>
    <row r="259" spans="7:17" ht="18" customHeight="1" x14ac:dyDescent="0.3">
      <c r="G259" s="2"/>
      <c r="O259" s="2"/>
      <c r="P259" s="2"/>
      <c r="Q259" s="2"/>
    </row>
    <row r="260" spans="7:17" ht="18" customHeight="1" x14ac:dyDescent="0.3">
      <c r="G260" s="2"/>
      <c r="O260" s="2"/>
      <c r="P260" s="2"/>
      <c r="Q260" s="2"/>
    </row>
    <row r="261" spans="7:17" ht="18" customHeight="1" x14ac:dyDescent="0.3">
      <c r="G261" s="2"/>
      <c r="O261" s="2"/>
      <c r="P261" s="2"/>
      <c r="Q261" s="2"/>
    </row>
    <row r="262" spans="7:17" ht="18" customHeight="1" x14ac:dyDescent="0.3">
      <c r="G262" s="2"/>
      <c r="O262" s="2"/>
      <c r="P262" s="2"/>
      <c r="Q262" s="2"/>
    </row>
    <row r="263" spans="7:17" ht="18" customHeight="1" x14ac:dyDescent="0.3">
      <c r="G263" s="2"/>
      <c r="O263" s="2"/>
      <c r="P263" s="2"/>
      <c r="Q263" s="2"/>
    </row>
    <row r="264" spans="7:17" ht="18" customHeight="1" x14ac:dyDescent="0.3">
      <c r="G264" s="2"/>
      <c r="O264" s="2"/>
      <c r="P264" s="2"/>
      <c r="Q264" s="2"/>
    </row>
    <row r="265" spans="7:17" ht="18" customHeight="1" x14ac:dyDescent="0.3">
      <c r="G265" s="2"/>
      <c r="O265" s="2"/>
      <c r="P265" s="2"/>
      <c r="Q265" s="2"/>
    </row>
    <row r="266" spans="7:17" ht="18" customHeight="1" x14ac:dyDescent="0.3">
      <c r="G266" s="2"/>
      <c r="O266" s="2"/>
      <c r="P266" s="2"/>
      <c r="Q266" s="2"/>
    </row>
    <row r="267" spans="7:17" ht="18" customHeight="1" x14ac:dyDescent="0.3">
      <c r="G267" s="2"/>
      <c r="O267" s="2"/>
      <c r="P267" s="2"/>
      <c r="Q267" s="2"/>
    </row>
    <row r="268" spans="7:17" ht="18" customHeight="1" x14ac:dyDescent="0.3">
      <c r="G268" s="2"/>
      <c r="O268" s="2"/>
      <c r="P268" s="2"/>
      <c r="Q268" s="2"/>
    </row>
    <row r="269" spans="7:17" ht="18" customHeight="1" x14ac:dyDescent="0.3">
      <c r="G269" s="2"/>
      <c r="O269" s="2"/>
      <c r="P269" s="2"/>
      <c r="Q269" s="2"/>
    </row>
    <row r="270" spans="7:17" ht="18" customHeight="1" x14ac:dyDescent="0.3">
      <c r="G270" s="2"/>
      <c r="O270" s="2"/>
      <c r="P270" s="2"/>
      <c r="Q270" s="2"/>
    </row>
    <row r="271" spans="7:17" ht="18" customHeight="1" x14ac:dyDescent="0.3">
      <c r="G271" s="2"/>
      <c r="O271" s="2"/>
      <c r="P271" s="2"/>
      <c r="Q271" s="2"/>
    </row>
    <row r="272" spans="7:17" ht="18" customHeight="1" x14ac:dyDescent="0.3">
      <c r="G272" s="2"/>
      <c r="O272" s="2"/>
      <c r="P272" s="2"/>
      <c r="Q272" s="2"/>
    </row>
    <row r="273" spans="7:17" ht="18" customHeight="1" x14ac:dyDescent="0.3">
      <c r="G273" s="2"/>
      <c r="O273" s="2"/>
      <c r="P273" s="2"/>
      <c r="Q273" s="2"/>
    </row>
    <row r="274" spans="7:17" ht="18" customHeight="1" x14ac:dyDescent="0.3">
      <c r="G274" s="2"/>
      <c r="O274" s="2"/>
      <c r="P274" s="2"/>
      <c r="Q274" s="2"/>
    </row>
    <row r="275" spans="7:17" ht="18" customHeight="1" x14ac:dyDescent="0.3">
      <c r="G275" s="2"/>
      <c r="O275" s="2"/>
      <c r="P275" s="2"/>
      <c r="Q275" s="2"/>
    </row>
    <row r="276" spans="7:17" ht="18" customHeight="1" x14ac:dyDescent="0.3">
      <c r="G276" s="2"/>
      <c r="O276" s="2"/>
      <c r="P276" s="2"/>
      <c r="Q276" s="2"/>
    </row>
    <row r="277" spans="7:17" ht="18" customHeight="1" x14ac:dyDescent="0.3">
      <c r="G277" s="2"/>
      <c r="O277" s="2"/>
      <c r="P277" s="2"/>
      <c r="Q277" s="2"/>
    </row>
    <row r="278" spans="7:17" ht="18" customHeight="1" x14ac:dyDescent="0.3">
      <c r="G278" s="2"/>
      <c r="O278" s="2"/>
      <c r="P278" s="2"/>
      <c r="Q278" s="2"/>
    </row>
    <row r="279" spans="7:17" ht="18" customHeight="1" x14ac:dyDescent="0.3">
      <c r="G279" s="2"/>
      <c r="O279" s="2"/>
      <c r="P279" s="2"/>
      <c r="Q279" s="2"/>
    </row>
    <row r="280" spans="7:17" ht="18" customHeight="1" x14ac:dyDescent="0.3">
      <c r="G280" s="2"/>
      <c r="O280" s="2"/>
      <c r="P280" s="2"/>
      <c r="Q280" s="2"/>
    </row>
    <row r="281" spans="7:17" ht="18" customHeight="1" x14ac:dyDescent="0.3">
      <c r="G281" s="2"/>
      <c r="O281" s="2"/>
      <c r="P281" s="2"/>
      <c r="Q281" s="2"/>
    </row>
    <row r="282" spans="7:17" ht="18" customHeight="1" x14ac:dyDescent="0.3">
      <c r="G282" s="2"/>
      <c r="O282" s="2"/>
      <c r="P282" s="2"/>
      <c r="Q282" s="2"/>
    </row>
    <row r="283" spans="7:17" ht="18" customHeight="1" x14ac:dyDescent="0.3">
      <c r="G283" s="2"/>
      <c r="O283" s="2"/>
      <c r="P283" s="2"/>
      <c r="Q283" s="2"/>
    </row>
    <row r="284" spans="7:17" ht="18" customHeight="1" x14ac:dyDescent="0.3">
      <c r="G284" s="2"/>
      <c r="O284" s="2"/>
      <c r="P284" s="2"/>
      <c r="Q284" s="2"/>
    </row>
    <row r="285" spans="7:17" ht="18" customHeight="1" x14ac:dyDescent="0.3">
      <c r="G285" s="2"/>
      <c r="O285" s="2"/>
      <c r="P285" s="2"/>
      <c r="Q285" s="2"/>
    </row>
    <row r="286" spans="7:17" ht="18" customHeight="1" x14ac:dyDescent="0.3">
      <c r="G286" s="2"/>
      <c r="O286" s="2"/>
      <c r="P286" s="2"/>
      <c r="Q286" s="2"/>
    </row>
    <row r="287" spans="7:17" ht="18" customHeight="1" x14ac:dyDescent="0.3">
      <c r="G287" s="2"/>
      <c r="O287" s="2"/>
      <c r="P287" s="2"/>
      <c r="Q287" s="2"/>
    </row>
    <row r="288" spans="7:17" ht="18" customHeight="1" x14ac:dyDescent="0.3">
      <c r="G288" s="2"/>
      <c r="O288" s="2"/>
      <c r="P288" s="2"/>
      <c r="Q288" s="2"/>
    </row>
    <row r="289" spans="7:17" ht="18" customHeight="1" x14ac:dyDescent="0.3">
      <c r="G289" s="2"/>
      <c r="O289" s="2"/>
      <c r="P289" s="2"/>
      <c r="Q289" s="2"/>
    </row>
    <row r="290" spans="7:17" ht="18" customHeight="1" x14ac:dyDescent="0.3">
      <c r="G290" s="2"/>
      <c r="O290" s="2"/>
      <c r="P290" s="2"/>
      <c r="Q290" s="2"/>
    </row>
    <row r="291" spans="7:17" ht="18" customHeight="1" x14ac:dyDescent="0.3">
      <c r="G291" s="2"/>
      <c r="O291" s="2"/>
      <c r="P291" s="2"/>
      <c r="Q291" s="2"/>
    </row>
    <row r="292" spans="7:17" ht="18" customHeight="1" x14ac:dyDescent="0.3">
      <c r="G292" s="2"/>
      <c r="O292" s="2"/>
      <c r="P292" s="2"/>
      <c r="Q292" s="2"/>
    </row>
    <row r="293" spans="7:17" ht="18" customHeight="1" x14ac:dyDescent="0.3">
      <c r="G293" s="2"/>
      <c r="O293" s="2"/>
      <c r="P293" s="2"/>
      <c r="Q293" s="2"/>
    </row>
    <row r="294" spans="7:17" ht="18" customHeight="1" x14ac:dyDescent="0.3">
      <c r="G294" s="2"/>
      <c r="O294" s="2"/>
      <c r="P294" s="2"/>
      <c r="Q294" s="2"/>
    </row>
    <row r="295" spans="7:17" ht="18" customHeight="1" x14ac:dyDescent="0.3">
      <c r="G295" s="2"/>
      <c r="O295" s="2"/>
      <c r="P295" s="2"/>
      <c r="Q295" s="2"/>
    </row>
    <row r="296" spans="7:17" ht="18" customHeight="1" x14ac:dyDescent="0.3">
      <c r="G296" s="2"/>
      <c r="O296" s="2"/>
      <c r="P296" s="2"/>
      <c r="Q296" s="2"/>
    </row>
    <row r="297" spans="7:17" ht="18" customHeight="1" x14ac:dyDescent="0.3">
      <c r="G297" s="2"/>
      <c r="O297" s="2"/>
      <c r="P297" s="2"/>
      <c r="Q297" s="2"/>
    </row>
    <row r="298" spans="7:17" ht="18" customHeight="1" x14ac:dyDescent="0.3">
      <c r="G298" s="2"/>
      <c r="O298" s="2"/>
      <c r="P298" s="2"/>
      <c r="Q298" s="2"/>
    </row>
    <row r="299" spans="7:17" ht="18" customHeight="1" x14ac:dyDescent="0.3">
      <c r="G299" s="2"/>
      <c r="O299" s="2"/>
      <c r="P299" s="2"/>
      <c r="Q299" s="2"/>
    </row>
    <row r="300" spans="7:17" ht="18" customHeight="1" x14ac:dyDescent="0.3">
      <c r="G300" s="2"/>
      <c r="O300" s="2"/>
      <c r="P300" s="2"/>
      <c r="Q300" s="2"/>
    </row>
    <row r="301" spans="7:17" ht="18" customHeight="1" x14ac:dyDescent="0.3">
      <c r="G301" s="2"/>
      <c r="O301" s="2"/>
      <c r="P301" s="2"/>
      <c r="Q301" s="2"/>
    </row>
    <row r="302" spans="7:17" ht="18" customHeight="1" x14ac:dyDescent="0.3">
      <c r="G302" s="2"/>
      <c r="O302" s="2"/>
      <c r="P302" s="2"/>
      <c r="Q302" s="2"/>
    </row>
    <row r="303" spans="7:17" ht="18" customHeight="1" x14ac:dyDescent="0.3">
      <c r="G303" s="2"/>
      <c r="O303" s="2"/>
      <c r="P303" s="2"/>
      <c r="Q303" s="2"/>
    </row>
    <row r="304" spans="7:17" ht="18" customHeight="1" x14ac:dyDescent="0.3">
      <c r="G304" s="2"/>
      <c r="O304" s="2"/>
      <c r="P304" s="2"/>
      <c r="Q304" s="2"/>
    </row>
    <row r="305" spans="7:17" ht="18" customHeight="1" x14ac:dyDescent="0.3">
      <c r="G305" s="2"/>
      <c r="O305" s="2"/>
      <c r="P305" s="2"/>
      <c r="Q305" s="2"/>
    </row>
    <row r="306" spans="7:17" ht="18" customHeight="1" x14ac:dyDescent="0.3">
      <c r="G306" s="2"/>
      <c r="O306" s="2"/>
      <c r="P306" s="2"/>
      <c r="Q306" s="2"/>
    </row>
    <row r="307" spans="7:17" ht="18" customHeight="1" x14ac:dyDescent="0.3">
      <c r="G307" s="2"/>
      <c r="O307" s="2"/>
      <c r="P307" s="2"/>
      <c r="Q307" s="2"/>
    </row>
    <row r="308" spans="7:17" ht="18" customHeight="1" x14ac:dyDescent="0.3">
      <c r="G308" s="2"/>
      <c r="O308" s="2"/>
      <c r="P308" s="2"/>
      <c r="Q308" s="2"/>
    </row>
    <row r="309" spans="7:17" ht="18" customHeight="1" x14ac:dyDescent="0.3">
      <c r="G309" s="2"/>
      <c r="O309" s="2"/>
      <c r="P309" s="2"/>
      <c r="Q309" s="2"/>
    </row>
    <row r="310" spans="7:17" ht="18" customHeight="1" x14ac:dyDescent="0.3">
      <c r="G310" s="2"/>
      <c r="O310" s="2"/>
      <c r="P310" s="2"/>
      <c r="Q310" s="2"/>
    </row>
    <row r="311" spans="7:17" ht="18" customHeight="1" x14ac:dyDescent="0.3">
      <c r="G311" s="2"/>
      <c r="O311" s="2"/>
      <c r="P311" s="2"/>
      <c r="Q311" s="2"/>
    </row>
    <row r="312" spans="7:17" ht="18" customHeight="1" x14ac:dyDescent="0.3">
      <c r="G312" s="2"/>
      <c r="O312" s="2"/>
      <c r="P312" s="2"/>
      <c r="Q312" s="2"/>
    </row>
    <row r="313" spans="7:17" ht="18" customHeight="1" x14ac:dyDescent="0.3">
      <c r="G313" s="2"/>
      <c r="O313" s="2"/>
      <c r="P313" s="2"/>
      <c r="Q313" s="2"/>
    </row>
    <row r="314" spans="7:17" ht="18" customHeight="1" x14ac:dyDescent="0.3">
      <c r="G314" s="2"/>
      <c r="O314" s="2"/>
      <c r="P314" s="2"/>
      <c r="Q314" s="2"/>
    </row>
    <row r="315" spans="7:17" ht="18" customHeight="1" x14ac:dyDescent="0.3">
      <c r="G315" s="2"/>
      <c r="O315" s="2"/>
      <c r="P315" s="2"/>
      <c r="Q315" s="2"/>
    </row>
    <row r="316" spans="7:17" ht="18" customHeight="1" x14ac:dyDescent="0.3">
      <c r="G316" s="2"/>
      <c r="O316" s="2"/>
      <c r="P316" s="2"/>
      <c r="Q316" s="2"/>
    </row>
    <row r="317" spans="7:17" ht="18" customHeight="1" x14ac:dyDescent="0.3">
      <c r="G317" s="2"/>
      <c r="O317" s="2"/>
      <c r="P317" s="2"/>
      <c r="Q317" s="2"/>
    </row>
    <row r="318" spans="7:17" ht="18" customHeight="1" x14ac:dyDescent="0.3">
      <c r="G318" s="2"/>
      <c r="O318" s="2"/>
      <c r="P318" s="2"/>
      <c r="Q318" s="2"/>
    </row>
    <row r="319" spans="7:17" ht="18" customHeight="1" x14ac:dyDescent="0.3">
      <c r="G319" s="2"/>
      <c r="O319" s="2"/>
      <c r="P319" s="2"/>
      <c r="Q319" s="2"/>
    </row>
    <row r="320" spans="7:17" ht="18" customHeight="1" x14ac:dyDescent="0.3">
      <c r="G320" s="2"/>
      <c r="O320" s="2"/>
      <c r="P320" s="2"/>
      <c r="Q320" s="2"/>
    </row>
    <row r="321" spans="7:17" ht="18" customHeight="1" x14ac:dyDescent="0.3">
      <c r="G321" s="2"/>
      <c r="O321" s="2"/>
      <c r="P321" s="2"/>
      <c r="Q321" s="2"/>
    </row>
    <row r="322" spans="7:17" ht="18" customHeight="1" x14ac:dyDescent="0.3">
      <c r="G322" s="2"/>
      <c r="O322" s="2"/>
      <c r="P322" s="2"/>
      <c r="Q322" s="2"/>
    </row>
    <row r="323" spans="7:17" ht="18" customHeight="1" x14ac:dyDescent="0.3">
      <c r="G323" s="2"/>
      <c r="O323" s="2"/>
      <c r="P323" s="2"/>
      <c r="Q323" s="2"/>
    </row>
    <row r="324" spans="7:17" ht="18" customHeight="1" x14ac:dyDescent="0.3">
      <c r="G324" s="2"/>
      <c r="O324" s="2"/>
      <c r="P324" s="2"/>
      <c r="Q324" s="2"/>
    </row>
    <row r="325" spans="7:17" ht="18" customHeight="1" x14ac:dyDescent="0.3">
      <c r="G325" s="2"/>
      <c r="O325" s="2"/>
      <c r="P325" s="2"/>
      <c r="Q325" s="2"/>
    </row>
    <row r="326" spans="7:17" x14ac:dyDescent="0.3">
      <c r="G326" s="2"/>
      <c r="O326" s="2"/>
      <c r="P326" s="2"/>
      <c r="Q326" s="2"/>
    </row>
    <row r="327" spans="7:17" x14ac:dyDescent="0.3">
      <c r="G327" s="2"/>
      <c r="O327" s="2"/>
      <c r="P327" s="2"/>
      <c r="Q327" s="2"/>
    </row>
    <row r="328" spans="7:17" x14ac:dyDescent="0.3">
      <c r="G328" s="2"/>
      <c r="O328" s="2"/>
      <c r="P328" s="2"/>
      <c r="Q328" s="2"/>
    </row>
    <row r="329" spans="7:17" x14ac:dyDescent="0.3">
      <c r="G329" s="2"/>
      <c r="O329" s="2"/>
      <c r="P329" s="2"/>
      <c r="Q329" s="2"/>
    </row>
    <row r="330" spans="7:17" x14ac:dyDescent="0.3">
      <c r="G330" s="2"/>
      <c r="O330" s="2"/>
      <c r="P330" s="2"/>
      <c r="Q330" s="2"/>
    </row>
    <row r="331" spans="7:17" x14ac:dyDescent="0.3">
      <c r="G331" s="2"/>
      <c r="O331" s="2"/>
      <c r="P331" s="2"/>
      <c r="Q331" s="2"/>
    </row>
    <row r="332" spans="7:17" x14ac:dyDescent="0.3">
      <c r="G332" s="2"/>
      <c r="O332" s="2"/>
      <c r="P332" s="2"/>
      <c r="Q332" s="2"/>
    </row>
    <row r="333" spans="7:17" x14ac:dyDescent="0.3">
      <c r="G333" s="2"/>
      <c r="O333" s="2"/>
      <c r="P333" s="2"/>
      <c r="Q333" s="2"/>
    </row>
    <row r="334" spans="7:17" x14ac:dyDescent="0.3">
      <c r="G334" s="2"/>
      <c r="O334" s="2"/>
      <c r="P334" s="2"/>
      <c r="Q334" s="2"/>
    </row>
    <row r="335" spans="7:17" x14ac:dyDescent="0.3">
      <c r="G335" s="2"/>
      <c r="O335" s="2"/>
      <c r="P335" s="2"/>
      <c r="Q335" s="2"/>
    </row>
    <row r="336" spans="7:17" x14ac:dyDescent="0.3">
      <c r="G336" s="2"/>
      <c r="O336" s="2"/>
      <c r="P336" s="2"/>
      <c r="Q336" s="2"/>
    </row>
    <row r="337" spans="7:17" x14ac:dyDescent="0.3">
      <c r="G337" s="2"/>
      <c r="O337" s="2"/>
      <c r="P337" s="2"/>
      <c r="Q337" s="2"/>
    </row>
    <row r="338" spans="7:17" x14ac:dyDescent="0.3">
      <c r="G338" s="2"/>
      <c r="O338" s="2"/>
      <c r="P338" s="2"/>
      <c r="Q338" s="2"/>
    </row>
    <row r="339" spans="7:17" x14ac:dyDescent="0.3">
      <c r="G339" s="2"/>
      <c r="O339" s="2"/>
      <c r="P339" s="2"/>
      <c r="Q339" s="2"/>
    </row>
    <row r="340" spans="7:17" x14ac:dyDescent="0.3">
      <c r="G340" s="2"/>
      <c r="O340" s="2"/>
      <c r="P340" s="2"/>
      <c r="Q340" s="2"/>
    </row>
    <row r="341" spans="7:17" x14ac:dyDescent="0.3">
      <c r="G341" s="2"/>
      <c r="O341" s="2"/>
      <c r="P341" s="2"/>
      <c r="Q341" s="2"/>
    </row>
    <row r="342" spans="7:17" x14ac:dyDescent="0.3">
      <c r="G342" s="2"/>
      <c r="O342" s="2"/>
      <c r="P342" s="2"/>
      <c r="Q342" s="2"/>
    </row>
    <row r="343" spans="7:17" x14ac:dyDescent="0.3">
      <c r="G343" s="2"/>
      <c r="O343" s="2"/>
      <c r="P343" s="2"/>
      <c r="Q343" s="2"/>
    </row>
    <row r="344" spans="7:17" x14ac:dyDescent="0.3">
      <c r="G344" s="2"/>
      <c r="O344" s="2"/>
      <c r="P344" s="2"/>
      <c r="Q344" s="2"/>
    </row>
    <row r="345" spans="7:17" x14ac:dyDescent="0.3">
      <c r="G345" s="2"/>
      <c r="O345" s="2"/>
      <c r="P345" s="2"/>
      <c r="Q345" s="2"/>
    </row>
    <row r="346" spans="7:17" x14ac:dyDescent="0.3">
      <c r="G346" s="2"/>
      <c r="O346" s="2"/>
      <c r="P346" s="2"/>
      <c r="Q346" s="2"/>
    </row>
    <row r="347" spans="7:17" x14ac:dyDescent="0.3">
      <c r="G347" s="2"/>
      <c r="O347" s="2"/>
      <c r="P347" s="2"/>
      <c r="Q347" s="2"/>
    </row>
    <row r="348" spans="7:17" x14ac:dyDescent="0.3">
      <c r="G348" s="2"/>
      <c r="O348" s="2"/>
      <c r="P348" s="2"/>
      <c r="Q348" s="2"/>
    </row>
    <row r="349" spans="7:17" x14ac:dyDescent="0.3">
      <c r="G349" s="2"/>
      <c r="O349" s="2"/>
      <c r="P349" s="2"/>
      <c r="Q349" s="2"/>
    </row>
    <row r="350" spans="7:17" x14ac:dyDescent="0.3">
      <c r="G350" s="2"/>
      <c r="O350" s="2"/>
      <c r="P350" s="2"/>
      <c r="Q350" s="2"/>
    </row>
    <row r="351" spans="7:17" x14ac:dyDescent="0.3">
      <c r="G351" s="2"/>
      <c r="O351" s="2"/>
      <c r="P351" s="2"/>
      <c r="Q351" s="2"/>
    </row>
    <row r="352" spans="7:17" x14ac:dyDescent="0.3">
      <c r="G352" s="2"/>
      <c r="O352" s="2"/>
      <c r="P352" s="2"/>
      <c r="Q352" s="2"/>
    </row>
    <row r="353" spans="7:17" x14ac:dyDescent="0.3">
      <c r="G353" s="2"/>
      <c r="O353" s="2"/>
      <c r="P353" s="2"/>
      <c r="Q353" s="2"/>
    </row>
    <row r="354" spans="7:17" x14ac:dyDescent="0.3">
      <c r="G354" s="2"/>
      <c r="O354" s="2"/>
      <c r="P354" s="2"/>
      <c r="Q354" s="2"/>
    </row>
    <row r="355" spans="7:17" x14ac:dyDescent="0.3">
      <c r="G355" s="2"/>
      <c r="O355" s="2"/>
      <c r="P355" s="2"/>
      <c r="Q355" s="2"/>
    </row>
    <row r="356" spans="7:17" x14ac:dyDescent="0.3">
      <c r="G356" s="2"/>
      <c r="O356" s="2"/>
      <c r="P356" s="2"/>
      <c r="Q356" s="2"/>
    </row>
    <row r="357" spans="7:17" x14ac:dyDescent="0.3">
      <c r="G357" s="2"/>
      <c r="O357" s="2"/>
      <c r="P357" s="2"/>
      <c r="Q357" s="2"/>
    </row>
    <row r="358" spans="7:17" x14ac:dyDescent="0.3">
      <c r="G358" s="2"/>
      <c r="O358" s="2"/>
      <c r="P358" s="2"/>
      <c r="Q358" s="2"/>
    </row>
    <row r="359" spans="7:17" x14ac:dyDescent="0.3">
      <c r="G359" s="2"/>
      <c r="O359" s="2"/>
      <c r="P359" s="2"/>
      <c r="Q359" s="2"/>
    </row>
    <row r="360" spans="7:17" x14ac:dyDescent="0.3">
      <c r="G360" s="2"/>
      <c r="O360" s="2"/>
      <c r="P360" s="2"/>
      <c r="Q360" s="2"/>
    </row>
    <row r="361" spans="7:17" x14ac:dyDescent="0.3">
      <c r="G361" s="2"/>
      <c r="O361" s="2"/>
      <c r="P361" s="2"/>
      <c r="Q361" s="2"/>
    </row>
    <row r="362" spans="7:17" x14ac:dyDescent="0.3">
      <c r="G362" s="2"/>
      <c r="O362" s="2"/>
      <c r="P362" s="2"/>
      <c r="Q362" s="2"/>
    </row>
    <row r="363" spans="7:17" x14ac:dyDescent="0.3">
      <c r="G363" s="2"/>
      <c r="O363" s="2"/>
      <c r="P363" s="2"/>
      <c r="Q363" s="2"/>
    </row>
    <row r="364" spans="7:17" x14ac:dyDescent="0.3">
      <c r="G364" s="2"/>
      <c r="O364" s="2"/>
      <c r="P364" s="2"/>
      <c r="Q364" s="2"/>
    </row>
    <row r="365" spans="7:17" x14ac:dyDescent="0.3">
      <c r="G365" s="2"/>
      <c r="O365" s="2"/>
      <c r="P365" s="2"/>
      <c r="Q365" s="2"/>
    </row>
    <row r="366" spans="7:17" x14ac:dyDescent="0.3">
      <c r="G366" s="2"/>
      <c r="O366" s="2"/>
      <c r="P366" s="2"/>
      <c r="Q366" s="2"/>
    </row>
    <row r="367" spans="7:17" x14ac:dyDescent="0.3">
      <c r="G367" s="2"/>
      <c r="O367" s="2"/>
      <c r="P367" s="2"/>
      <c r="Q367" s="2"/>
    </row>
    <row r="368" spans="7:17" x14ac:dyDescent="0.3">
      <c r="G368" s="2"/>
      <c r="O368" s="2"/>
      <c r="P368" s="2"/>
      <c r="Q368" s="2"/>
    </row>
    <row r="369" spans="7:17" x14ac:dyDescent="0.3">
      <c r="G369" s="2"/>
      <c r="O369" s="2"/>
      <c r="P369" s="2"/>
      <c r="Q369" s="2"/>
    </row>
    <row r="370" spans="7:17" x14ac:dyDescent="0.3">
      <c r="G370" s="2"/>
      <c r="O370" s="2"/>
      <c r="P370" s="2"/>
      <c r="Q370" s="2"/>
    </row>
    <row r="371" spans="7:17" x14ac:dyDescent="0.3">
      <c r="G371" s="2"/>
      <c r="O371" s="2"/>
      <c r="P371" s="2"/>
      <c r="Q371" s="2"/>
    </row>
    <row r="372" spans="7:17" x14ac:dyDescent="0.3">
      <c r="G372" s="2"/>
      <c r="O372" s="2"/>
      <c r="P372" s="2"/>
      <c r="Q372" s="2"/>
    </row>
    <row r="373" spans="7:17" x14ac:dyDescent="0.3">
      <c r="G373" s="2"/>
      <c r="O373" s="2"/>
      <c r="P373" s="2"/>
      <c r="Q373" s="2"/>
    </row>
    <row r="374" spans="7:17" x14ac:dyDescent="0.3">
      <c r="G374" s="2"/>
      <c r="O374" s="2"/>
      <c r="P374" s="2"/>
      <c r="Q374" s="2"/>
    </row>
    <row r="375" spans="7:17" x14ac:dyDescent="0.3">
      <c r="G375" s="2"/>
      <c r="O375" s="2"/>
      <c r="P375" s="2"/>
      <c r="Q375" s="2"/>
    </row>
    <row r="376" spans="7:17" x14ac:dyDescent="0.3">
      <c r="G376" s="2"/>
      <c r="O376" s="2"/>
      <c r="P376" s="2"/>
      <c r="Q376" s="2"/>
    </row>
    <row r="377" spans="7:17" x14ac:dyDescent="0.3">
      <c r="G377" s="2"/>
      <c r="O377" s="2"/>
      <c r="P377" s="2"/>
      <c r="Q377" s="2"/>
    </row>
    <row r="378" spans="7:17" x14ac:dyDescent="0.3">
      <c r="G378" s="2"/>
      <c r="O378" s="2"/>
      <c r="P378" s="2"/>
      <c r="Q378" s="2"/>
    </row>
    <row r="379" spans="7:17" x14ac:dyDescent="0.3">
      <c r="G379" s="2"/>
      <c r="O379" s="2"/>
      <c r="P379" s="2"/>
      <c r="Q379" s="2"/>
    </row>
    <row r="380" spans="7:17" x14ac:dyDescent="0.3">
      <c r="G380" s="2"/>
      <c r="O380" s="2"/>
      <c r="P380" s="2"/>
      <c r="Q380" s="2"/>
    </row>
    <row r="381" spans="7:17" x14ac:dyDescent="0.3">
      <c r="G381" s="2"/>
      <c r="O381" s="2"/>
      <c r="P381" s="2"/>
      <c r="Q381" s="2"/>
    </row>
    <row r="382" spans="7:17" x14ac:dyDescent="0.3">
      <c r="G382" s="2"/>
      <c r="O382" s="2"/>
      <c r="P382" s="2"/>
      <c r="Q382" s="2"/>
    </row>
    <row r="383" spans="7:17" x14ac:dyDescent="0.3">
      <c r="G383" s="2"/>
      <c r="O383" s="2"/>
      <c r="P383" s="2"/>
      <c r="Q383" s="2"/>
    </row>
    <row r="384" spans="7:17" x14ac:dyDescent="0.3">
      <c r="G384" s="2"/>
      <c r="O384" s="2"/>
      <c r="P384" s="2"/>
      <c r="Q384" s="2"/>
    </row>
    <row r="385" spans="7:17" x14ac:dyDescent="0.3">
      <c r="G385" s="2"/>
      <c r="O385" s="2"/>
      <c r="P385" s="2"/>
      <c r="Q385" s="2"/>
    </row>
    <row r="386" spans="7:17" x14ac:dyDescent="0.3">
      <c r="G386" s="2"/>
      <c r="O386" s="2"/>
      <c r="P386" s="2"/>
      <c r="Q386" s="2"/>
    </row>
    <row r="387" spans="7:17" x14ac:dyDescent="0.3">
      <c r="G387" s="2"/>
      <c r="O387" s="2"/>
      <c r="P387" s="2"/>
      <c r="Q387" s="2"/>
    </row>
    <row r="388" spans="7:17" x14ac:dyDescent="0.3">
      <c r="G388" s="2"/>
      <c r="O388" s="2"/>
      <c r="P388" s="2"/>
      <c r="Q388" s="2"/>
    </row>
    <row r="389" spans="7:17" x14ac:dyDescent="0.3">
      <c r="G389" s="2"/>
      <c r="O389" s="2"/>
      <c r="P389" s="2"/>
      <c r="Q389" s="2"/>
    </row>
    <row r="390" spans="7:17" x14ac:dyDescent="0.3">
      <c r="G390" s="2"/>
      <c r="O390" s="2"/>
      <c r="P390" s="2"/>
      <c r="Q390" s="2"/>
    </row>
    <row r="391" spans="7:17" x14ac:dyDescent="0.3">
      <c r="G391" s="2"/>
      <c r="O391" s="2"/>
      <c r="P391" s="2"/>
      <c r="Q391" s="2"/>
    </row>
    <row r="392" spans="7:17" x14ac:dyDescent="0.3">
      <c r="G392" s="2"/>
      <c r="O392" s="2"/>
      <c r="P392" s="2"/>
      <c r="Q392" s="2"/>
    </row>
    <row r="393" spans="7:17" x14ac:dyDescent="0.3">
      <c r="G393" s="2"/>
      <c r="O393" s="2"/>
      <c r="P393" s="2"/>
      <c r="Q393" s="2"/>
    </row>
    <row r="394" spans="7:17" x14ac:dyDescent="0.3">
      <c r="G394" s="2"/>
      <c r="O394" s="2"/>
      <c r="P394" s="2"/>
      <c r="Q394" s="2"/>
    </row>
    <row r="395" spans="7:17" x14ac:dyDescent="0.3">
      <c r="G395" s="2"/>
      <c r="O395" s="2"/>
      <c r="P395" s="2"/>
      <c r="Q395" s="2"/>
    </row>
    <row r="396" spans="7:17" x14ac:dyDescent="0.3">
      <c r="G396" s="2"/>
      <c r="O396" s="2"/>
      <c r="P396" s="2"/>
      <c r="Q396" s="2"/>
    </row>
    <row r="397" spans="7:17" x14ac:dyDescent="0.3">
      <c r="G397" s="2"/>
      <c r="O397" s="2"/>
      <c r="P397" s="2"/>
      <c r="Q397" s="2"/>
    </row>
    <row r="398" spans="7:17" x14ac:dyDescent="0.3">
      <c r="G398" s="2"/>
      <c r="O398" s="2"/>
      <c r="P398" s="2"/>
      <c r="Q398" s="2"/>
    </row>
    <row r="399" spans="7:17" x14ac:dyDescent="0.3">
      <c r="G399" s="2"/>
      <c r="O399" s="2"/>
      <c r="P399" s="2"/>
      <c r="Q399" s="2"/>
    </row>
    <row r="400" spans="7:17" x14ac:dyDescent="0.3">
      <c r="G400" s="2"/>
      <c r="O400" s="2"/>
      <c r="P400" s="2"/>
      <c r="Q400" s="2"/>
    </row>
    <row r="401" spans="7:17" x14ac:dyDescent="0.3">
      <c r="G401" s="2"/>
      <c r="O401" s="2"/>
      <c r="P401" s="2"/>
      <c r="Q401" s="2"/>
    </row>
    <row r="402" spans="7:17" x14ac:dyDescent="0.3">
      <c r="G402" s="2"/>
      <c r="O402" s="2"/>
      <c r="P402" s="2"/>
      <c r="Q402" s="2"/>
    </row>
    <row r="403" spans="7:17" x14ac:dyDescent="0.3">
      <c r="G403" s="2"/>
      <c r="O403" s="2"/>
      <c r="P403" s="2"/>
      <c r="Q403" s="2"/>
    </row>
    <row r="404" spans="7:17" x14ac:dyDescent="0.3">
      <c r="G404" s="2"/>
      <c r="O404" s="2"/>
      <c r="P404" s="2"/>
      <c r="Q404" s="2"/>
    </row>
    <row r="405" spans="7:17" x14ac:dyDescent="0.3">
      <c r="G405" s="2"/>
      <c r="O405" s="2"/>
      <c r="P405" s="2"/>
      <c r="Q405" s="2"/>
    </row>
    <row r="406" spans="7:17" x14ac:dyDescent="0.3">
      <c r="G406" s="2"/>
      <c r="O406" s="2"/>
      <c r="P406" s="2"/>
      <c r="Q406" s="2"/>
    </row>
    <row r="407" spans="7:17" x14ac:dyDescent="0.3">
      <c r="G407" s="2"/>
      <c r="O407" s="2"/>
      <c r="P407" s="2"/>
      <c r="Q407" s="2"/>
    </row>
    <row r="408" spans="7:17" x14ac:dyDescent="0.3">
      <c r="G408" s="2"/>
      <c r="O408" s="2"/>
      <c r="P408" s="2"/>
      <c r="Q408" s="2"/>
    </row>
    <row r="409" spans="7:17" x14ac:dyDescent="0.3">
      <c r="G409" s="2"/>
      <c r="O409" s="2"/>
      <c r="P409" s="2"/>
      <c r="Q409" s="2"/>
    </row>
    <row r="410" spans="7:17" x14ac:dyDescent="0.3">
      <c r="G410" s="2"/>
      <c r="O410" s="2"/>
      <c r="P410" s="2"/>
      <c r="Q410" s="2"/>
    </row>
    <row r="411" spans="7:17" x14ac:dyDescent="0.3">
      <c r="G411" s="2"/>
      <c r="O411" s="2"/>
      <c r="P411" s="2"/>
      <c r="Q411" s="2"/>
    </row>
    <row r="412" spans="7:17" x14ac:dyDescent="0.3">
      <c r="G412" s="2"/>
      <c r="O412" s="2"/>
      <c r="P412" s="2"/>
      <c r="Q412" s="2"/>
    </row>
    <row r="413" spans="7:17" x14ac:dyDescent="0.3">
      <c r="G413" s="2"/>
      <c r="O413" s="2"/>
      <c r="P413" s="2"/>
      <c r="Q413" s="2"/>
    </row>
    <row r="414" spans="7:17" x14ac:dyDescent="0.3">
      <c r="G414" s="2"/>
      <c r="O414" s="2"/>
      <c r="P414" s="2"/>
      <c r="Q414" s="2"/>
    </row>
    <row r="415" spans="7:17" x14ac:dyDescent="0.3">
      <c r="G415" s="2"/>
      <c r="O415" s="2"/>
      <c r="P415" s="2"/>
      <c r="Q415" s="2"/>
    </row>
    <row r="416" spans="7:17" x14ac:dyDescent="0.3">
      <c r="G416" s="2"/>
      <c r="O416" s="2"/>
      <c r="P416" s="2"/>
      <c r="Q416" s="2"/>
    </row>
    <row r="417" spans="7:17" x14ac:dyDescent="0.3">
      <c r="G417" s="2"/>
      <c r="O417" s="2"/>
      <c r="P417" s="2"/>
      <c r="Q417" s="2"/>
    </row>
    <row r="418" spans="7:17" x14ac:dyDescent="0.3">
      <c r="G418" s="2"/>
      <c r="O418" s="2"/>
      <c r="P418" s="2"/>
      <c r="Q418" s="2"/>
    </row>
    <row r="419" spans="7:17" x14ac:dyDescent="0.3">
      <c r="G419" s="2"/>
      <c r="O419" s="2"/>
      <c r="P419" s="2"/>
      <c r="Q419" s="2"/>
    </row>
    <row r="420" spans="7:17" x14ac:dyDescent="0.3">
      <c r="G420" s="2"/>
      <c r="O420" s="2"/>
      <c r="P420" s="2"/>
      <c r="Q420" s="2"/>
    </row>
    <row r="421" spans="7:17" x14ac:dyDescent="0.3">
      <c r="G421" s="2"/>
      <c r="O421" s="2"/>
      <c r="P421" s="2"/>
      <c r="Q421" s="2"/>
    </row>
    <row r="422" spans="7:17" x14ac:dyDescent="0.3">
      <c r="G422" s="2"/>
      <c r="O422" s="2"/>
      <c r="P422" s="2"/>
      <c r="Q422" s="2"/>
    </row>
    <row r="423" spans="7:17" x14ac:dyDescent="0.3">
      <c r="G423" s="2"/>
      <c r="O423" s="2"/>
      <c r="P423" s="2"/>
      <c r="Q423" s="2"/>
    </row>
    <row r="424" spans="7:17" x14ac:dyDescent="0.3">
      <c r="G424" s="2"/>
      <c r="O424" s="2"/>
      <c r="P424" s="2"/>
      <c r="Q424" s="2"/>
    </row>
    <row r="425" spans="7:17" x14ac:dyDescent="0.3">
      <c r="G425" s="2"/>
      <c r="O425" s="2"/>
      <c r="P425" s="2"/>
      <c r="Q425" s="2"/>
    </row>
    <row r="426" spans="7:17" x14ac:dyDescent="0.3">
      <c r="G426" s="2"/>
      <c r="O426" s="2"/>
      <c r="P426" s="2"/>
      <c r="Q426" s="2"/>
    </row>
    <row r="427" spans="7:17" x14ac:dyDescent="0.3">
      <c r="G427" s="2"/>
      <c r="O427" s="2"/>
      <c r="P427" s="2"/>
      <c r="Q427" s="2"/>
    </row>
    <row r="428" spans="7:17" x14ac:dyDescent="0.3">
      <c r="G428" s="2"/>
      <c r="O428" s="2"/>
      <c r="P428" s="2"/>
      <c r="Q428" s="2"/>
    </row>
    <row r="429" spans="7:17" x14ac:dyDescent="0.3">
      <c r="G429" s="2"/>
      <c r="O429" s="2"/>
      <c r="P429" s="2"/>
      <c r="Q429" s="2"/>
    </row>
    <row r="430" spans="7:17" x14ac:dyDescent="0.3">
      <c r="G430" s="2"/>
      <c r="O430" s="2"/>
      <c r="P430" s="2"/>
      <c r="Q430" s="2"/>
    </row>
    <row r="431" spans="7:17" x14ac:dyDescent="0.3">
      <c r="G431" s="2"/>
      <c r="O431" s="2"/>
      <c r="P431" s="2"/>
      <c r="Q431" s="2"/>
    </row>
    <row r="432" spans="7:17" x14ac:dyDescent="0.3">
      <c r="G432" s="2"/>
      <c r="O432" s="2"/>
      <c r="P432" s="2"/>
      <c r="Q432" s="2"/>
    </row>
  </sheetData>
  <autoFilter ref="J10:O23">
    <sortState ref="J11:O23">
      <sortCondition descending="1" ref="K10:K23"/>
    </sortState>
  </autoFilter>
  <mergeCells count="49">
    <mergeCell ref="H27:H28"/>
    <mergeCell ref="G15:G16"/>
    <mergeCell ref="B1:T3"/>
    <mergeCell ref="B9:H9"/>
    <mergeCell ref="B27:B28"/>
    <mergeCell ref="C27:C28"/>
    <mergeCell ref="D27:D28"/>
    <mergeCell ref="C15:C16"/>
    <mergeCell ref="D15:D16"/>
    <mergeCell ref="E15:E16"/>
    <mergeCell ref="F15:F16"/>
    <mergeCell ref="J9:T9"/>
    <mergeCell ref="H12:H13"/>
    <mergeCell ref="H15:H16"/>
    <mergeCell ref="E18:E19"/>
    <mergeCell ref="F18:F19"/>
    <mergeCell ref="G18:G19"/>
    <mergeCell ref="H18:H19"/>
    <mergeCell ref="B21:B22"/>
    <mergeCell ref="C21:C22"/>
    <mergeCell ref="D21:D22"/>
    <mergeCell ref="D12:D13"/>
    <mergeCell ref="E12:E13"/>
    <mergeCell ref="F12:F13"/>
    <mergeCell ref="G12:G13"/>
    <mergeCell ref="B15:B16"/>
    <mergeCell ref="E21:E22"/>
    <mergeCell ref="F21:F22"/>
    <mergeCell ref="G21:G22"/>
    <mergeCell ref="B12:B13"/>
    <mergeCell ref="B18:B19"/>
    <mergeCell ref="C12:C13"/>
    <mergeCell ref="C18:C19"/>
    <mergeCell ref="H21:H22"/>
    <mergeCell ref="D18:D19"/>
    <mergeCell ref="H24:H25"/>
    <mergeCell ref="E27:E28"/>
    <mergeCell ref="F27:F28"/>
    <mergeCell ref="B30:H30"/>
    <mergeCell ref="B24:B25"/>
    <mergeCell ref="C24:C25"/>
    <mergeCell ref="D24:D25"/>
    <mergeCell ref="E24:E25"/>
    <mergeCell ref="F24:F25"/>
    <mergeCell ref="G24:G25"/>
    <mergeCell ref="G27:G28"/>
    <mergeCell ref="J30:V30"/>
    <mergeCell ref="F33:G33"/>
    <mergeCell ref="U33:V33"/>
  </mergeCells>
  <phoneticPr fontId="3" type="noConversion"/>
  <conditionalFormatting sqref="B11:H11 B14:H14 B17:H17 B20:H20 B23:H23 B26:H26">
    <cfRule type="expression" dxfId="77" priority="6">
      <formula>MONTH(B11)&lt;&gt;$A$2</formula>
    </cfRule>
  </conditionalFormatting>
  <conditionalFormatting sqref="B11:H28">
    <cfRule type="expression" dxfId="76" priority="5">
      <formula>B11="무지출"</formula>
    </cfRule>
  </conditionalFormatting>
  <conditionalFormatting sqref="U58:U78 U81:U84 U106:U165">
    <cfRule type="expression" dxfId="39" priority="4">
      <formula>$U58&lt;0</formula>
    </cfRule>
  </conditionalFormatting>
  <conditionalFormatting sqref="U86:U104">
    <cfRule type="expression" dxfId="38" priority="3">
      <formula>$U86&lt;0</formula>
    </cfRule>
  </conditionalFormatting>
  <conditionalFormatting sqref="U85">
    <cfRule type="expression" dxfId="37" priority="2">
      <formula>$U85&lt;0</formula>
    </cfRule>
  </conditionalFormatting>
  <conditionalFormatting sqref="U105">
    <cfRule type="expression" dxfId="36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C58:C77 C34:C53 K34:K53 K58:K77 K81:K165">
      <formula1>_10_대상분류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1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/>
    <pageSetUpPr autoPageBreaks="0" fitToPage="1"/>
  </sheetPr>
  <dimension ref="A1:Z434"/>
  <sheetViews>
    <sheetView showGridLines="0" topLeftCell="A142" zoomScale="90" zoomScaleNormal="90" zoomScaleSheetLayoutView="55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16384" width="8.875" style="1"/>
  </cols>
  <sheetData>
    <row r="1" spans="1:26" ht="16.5" customHeight="1" x14ac:dyDescent="0.3">
      <c r="A1" s="407">
        <f>메인!$R$3</f>
        <v>2025</v>
      </c>
      <c r="B1" s="541" t="s">
        <v>129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6" ht="16.5" customHeight="1" x14ac:dyDescent="0.3">
      <c r="A2" s="408">
        <f>메인!$H$11</f>
        <v>4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6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6" ht="19.899999999999999" customHeight="1" x14ac:dyDescent="0.3">
      <c r="B5" s="56" t="s">
        <v>64</v>
      </c>
      <c r="C5" s="59">
        <f>SUM($C$32+$C$56)</f>
        <v>15000</v>
      </c>
      <c r="E5" s="3"/>
      <c r="F5" s="3"/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S5" s="38"/>
      <c r="T5" s="38"/>
      <c r="V5" s="115"/>
      <c r="W5" s="116"/>
      <c r="Y5" s="117"/>
      <c r="Z5" s="118"/>
    </row>
    <row r="6" spans="1:26" ht="19.899999999999999" customHeight="1" x14ac:dyDescent="0.3">
      <c r="B6" s="56" t="s">
        <v>65</v>
      </c>
      <c r="C6" s="75">
        <f>SUM($K$32+$L$56)</f>
        <v>2625100</v>
      </c>
      <c r="E6" s="3"/>
      <c r="F6" s="3"/>
      <c r="G6" s="363"/>
      <c r="H6" s="97"/>
      <c r="J6" s="350"/>
      <c r="K6" s="352"/>
      <c r="L6" s="352"/>
      <c r="M6" s="352"/>
      <c r="N6" s="352"/>
      <c r="O6" s="352"/>
      <c r="P6" s="352"/>
      <c r="Q6" s="352"/>
      <c r="R6" s="394"/>
      <c r="S6" s="394"/>
      <c r="T6" s="394"/>
      <c r="V6" s="115"/>
      <c r="W6" s="116"/>
      <c r="Y6" s="117"/>
      <c r="Z6" s="121"/>
    </row>
    <row r="7" spans="1:26" ht="19.899999999999999" customHeight="1" x14ac:dyDescent="0.3">
      <c r="B7" s="62" t="s">
        <v>43</v>
      </c>
      <c r="C7" s="57">
        <f>$C$5-$C$6</f>
        <v>-2610100</v>
      </c>
      <c r="D7" s="87"/>
      <c r="E7" s="3"/>
      <c r="F7" s="3"/>
      <c r="J7" s="351"/>
      <c r="K7" s="353"/>
      <c r="L7" s="353"/>
      <c r="M7" s="353"/>
      <c r="N7" s="353"/>
      <c r="O7" s="353"/>
      <c r="P7" s="353"/>
      <c r="Q7" s="353"/>
      <c r="R7" s="395"/>
      <c r="S7" s="395"/>
      <c r="T7" s="395"/>
      <c r="V7" s="62"/>
      <c r="W7" s="120"/>
      <c r="Y7" s="117"/>
    </row>
    <row r="8" spans="1:26" ht="19.899999999999999" customHeight="1" x14ac:dyDescent="0.3">
      <c r="E8" s="3"/>
      <c r="F8" s="3"/>
      <c r="G8" s="412" t="s">
        <v>257</v>
      </c>
      <c r="H8" s="413">
        <f ca="1">COUNTIF(B10:H28,"무지출")</f>
        <v>30</v>
      </c>
      <c r="Y8" s="121"/>
    </row>
    <row r="9" spans="1:26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Y9" s="121"/>
    </row>
    <row r="10" spans="1:26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  <c r="Y10" s="121"/>
    </row>
    <row r="11" spans="1:26" ht="19.899999999999999" customHeight="1" x14ac:dyDescent="0.3">
      <c r="B11" s="404">
        <f>DATE($A$1,$A$2,1)-WEEKDAY(DATE($A$1,$A$2,1))+1</f>
        <v>45746</v>
      </c>
      <c r="C11" s="405">
        <f>B11+1</f>
        <v>45747</v>
      </c>
      <c r="D11" s="405">
        <f t="shared" ref="D11:H11" si="0">C11+1</f>
        <v>45748</v>
      </c>
      <c r="E11" s="405">
        <f t="shared" si="0"/>
        <v>45749</v>
      </c>
      <c r="F11" s="405">
        <f t="shared" si="0"/>
        <v>45750</v>
      </c>
      <c r="G11" s="405">
        <f t="shared" si="0"/>
        <v>45751</v>
      </c>
      <c r="H11" s="406">
        <f t="shared" si="0"/>
        <v>45752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VLOOKUP(J11,예산!$B$41:$N$53,5,FALSE)</f>
        <v>0</v>
      </c>
      <c r="M11" s="428">
        <f t="shared" ref="M11:M23" si="1">L11-K11</f>
        <v>0</v>
      </c>
      <c r="N11" s="437">
        <f>VLOOKUP(J11,'3월'!$J$10:$K$23,2,FALSE)</f>
        <v>0</v>
      </c>
      <c r="O11" s="439">
        <f t="shared" ref="O11:O23" si="2">K11-N11</f>
        <v>0</v>
      </c>
      <c r="P11" s="3"/>
      <c r="Y11" s="121"/>
    </row>
    <row r="12" spans="1:26" ht="19.899999999999999" customHeight="1" x14ac:dyDescent="0.3">
      <c r="B12" s="532" t="str">
        <f t="shared" ref="B12:H12" ca="1" si="3">IF(MONTH(B11)&lt;&gt;$A$2,"",IF(AND(SUMIF($J$81:$J$145,B11,$R$81:$R$145)=0,B11&lt;TODAY()),"무지출",SUMIF($J$81:$J$145,B11,$R$81:$R$145)))</f>
        <v/>
      </c>
      <c r="C12" s="533" t="str">
        <f t="shared" ca="1" si="3"/>
        <v/>
      </c>
      <c r="D12" s="533" t="str">
        <f t="shared" ca="1" si="3"/>
        <v>무지출</v>
      </c>
      <c r="E12" s="533" t="str">
        <f t="shared" ca="1" si="3"/>
        <v>무지출</v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VLOOKUP(J12,예산!$B$41:$N$53,5,FALSE)</f>
        <v>0</v>
      </c>
      <c r="M12" s="428">
        <f t="shared" si="1"/>
        <v>-212000</v>
      </c>
      <c r="N12" s="437">
        <f>VLOOKUP(J12,'3월'!$J$10:$K$23,2,FALSE)</f>
        <v>212000</v>
      </c>
      <c r="O12" s="439">
        <f t="shared" si="2"/>
        <v>0</v>
      </c>
      <c r="P12" s="3"/>
      <c r="Y12" s="121"/>
    </row>
    <row r="13" spans="1:26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VLOOKUP(J13,예산!$B$41:$N$53,5,FALSE)</f>
        <v>0</v>
      </c>
      <c r="M13" s="428">
        <f t="shared" si="1"/>
        <v>0</v>
      </c>
      <c r="N13" s="437">
        <f>VLOOKUP(J13,'3월'!$J$10:$K$23,2,FALSE)</f>
        <v>0</v>
      </c>
      <c r="O13" s="439">
        <f t="shared" si="2"/>
        <v>0</v>
      </c>
      <c r="P13" s="3"/>
      <c r="Y13" s="121"/>
    </row>
    <row r="14" spans="1:26" ht="19.899999999999999" customHeight="1" x14ac:dyDescent="0.3">
      <c r="B14" s="404">
        <f>B11+7</f>
        <v>45753</v>
      </c>
      <c r="C14" s="405">
        <f t="shared" ref="C14:H14" si="5">C11+7</f>
        <v>45754</v>
      </c>
      <c r="D14" s="405">
        <f t="shared" si="5"/>
        <v>45755</v>
      </c>
      <c r="E14" s="405">
        <f t="shared" si="5"/>
        <v>45756</v>
      </c>
      <c r="F14" s="405">
        <f t="shared" si="5"/>
        <v>45757</v>
      </c>
      <c r="G14" s="405">
        <f t="shared" si="5"/>
        <v>45758</v>
      </c>
      <c r="H14" s="406">
        <f t="shared" si="5"/>
        <v>45759</v>
      </c>
      <c r="J14" s="369" t="str">
        <f>항목!H$3</f>
        <v>반려동물비</v>
      </c>
      <c r="K14" s="426">
        <f t="shared" si="4"/>
        <v>0</v>
      </c>
      <c r="L14" s="426">
        <f>VLOOKUP(J14,예산!$B$41:$N$53,5,FALSE)</f>
        <v>0</v>
      </c>
      <c r="M14" s="428">
        <f t="shared" si="1"/>
        <v>0</v>
      </c>
      <c r="N14" s="437">
        <f>VLOOKUP(J14,'3월'!$J$10:$K$23,2,FALSE)</f>
        <v>0</v>
      </c>
      <c r="O14" s="439">
        <f t="shared" si="2"/>
        <v>0</v>
      </c>
      <c r="P14" s="3"/>
      <c r="Y14" s="121"/>
    </row>
    <row r="15" spans="1:26" ht="19.899999999999999" customHeight="1" x14ac:dyDescent="0.3">
      <c r="B15" s="532" t="str">
        <f t="shared" ref="B15:H15" ca="1" si="6">IF(MONTH(B14)&lt;&gt;$A$2,"",IF(AND(SUMIF($J$81:$J$145,B14,$R$81:$R$145)=0,B14&lt;TODAY()),"무지출",SUMIF($J$81:$J$145,B14,$R$81:$R$145)))</f>
        <v>무지출</v>
      </c>
      <c r="C15" s="533" t="str">
        <f t="shared" ca="1" si="6"/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VLOOKUP(J15,예산!$B$41:$N$53,5,FALSE)</f>
        <v>0</v>
      </c>
      <c r="M15" s="428">
        <f t="shared" si="1"/>
        <v>0</v>
      </c>
      <c r="N15" s="437">
        <f>VLOOKUP(J15,'3월'!$J$10:$K$23,2,FALSE)</f>
        <v>0</v>
      </c>
      <c r="O15" s="439">
        <f t="shared" si="2"/>
        <v>0</v>
      </c>
      <c r="P15" s="3"/>
      <c r="Y15" s="121"/>
    </row>
    <row r="16" spans="1:26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VLOOKUP(J16,예산!$B$41:$N$53,5,FALSE)</f>
        <v>0</v>
      </c>
      <c r="M16" s="428">
        <f t="shared" si="1"/>
        <v>0</v>
      </c>
      <c r="N16" s="437">
        <f>VLOOKUP(J16,'3월'!$J$10:$K$23,2,FALSE)</f>
        <v>0</v>
      </c>
      <c r="O16" s="439">
        <f t="shared" si="2"/>
        <v>0</v>
      </c>
      <c r="P16" s="3"/>
      <c r="Y16" s="121"/>
    </row>
    <row r="17" spans="2:25" ht="19.899999999999999" customHeight="1" x14ac:dyDescent="0.3">
      <c r="B17" s="404">
        <f>B11+14</f>
        <v>45760</v>
      </c>
      <c r="C17" s="405">
        <f t="shared" ref="C17:H17" si="7">C11+14</f>
        <v>45761</v>
      </c>
      <c r="D17" s="405">
        <f t="shared" si="7"/>
        <v>45762</v>
      </c>
      <c r="E17" s="405">
        <f t="shared" si="7"/>
        <v>45763</v>
      </c>
      <c r="F17" s="405">
        <f t="shared" si="7"/>
        <v>45764</v>
      </c>
      <c r="G17" s="405">
        <f t="shared" si="7"/>
        <v>45765</v>
      </c>
      <c r="H17" s="406">
        <f t="shared" si="7"/>
        <v>45766</v>
      </c>
      <c r="J17" s="369" t="str">
        <f>항목!K$3</f>
        <v>문화생활비</v>
      </c>
      <c r="K17" s="426">
        <f t="shared" si="4"/>
        <v>63100</v>
      </c>
      <c r="L17" s="426">
        <f>VLOOKUP(J17,예산!$B$41:$N$53,5,FALSE)</f>
        <v>0</v>
      </c>
      <c r="M17" s="428">
        <f t="shared" si="1"/>
        <v>-63100</v>
      </c>
      <c r="N17" s="437">
        <f>VLOOKUP(J17,'3월'!$J$10:$K$23,2,FALSE)</f>
        <v>63100</v>
      </c>
      <c r="O17" s="439">
        <f t="shared" si="2"/>
        <v>0</v>
      </c>
      <c r="P17" s="3"/>
      <c r="Y17" s="121"/>
    </row>
    <row r="18" spans="2:25" ht="19.899999999999999" customHeight="1" x14ac:dyDescent="0.3">
      <c r="B18" s="532" t="str">
        <f t="shared" ref="B18:H18" ca="1" si="8">IF(MONTH(B17)&lt;&gt;$A$2,"",IF(AND(SUMIF($J$81:$J$145,B17,$R$81:$R$145)=0,B17&lt;TODAY()),"무지출",SUMIF($J$81:$J$145,B17,$R$81:$R$145)))</f>
        <v>무지출</v>
      </c>
      <c r="C18" s="533" t="str">
        <f t="shared" ca="1" si="8"/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VLOOKUP(J18,예산!$B$41:$N$53,5,FALSE)</f>
        <v>0</v>
      </c>
      <c r="M18" s="428">
        <f t="shared" si="1"/>
        <v>0</v>
      </c>
      <c r="N18" s="437">
        <f>VLOOKUP(J18,'3월'!$J$10:$K$23,2,FALSE)</f>
        <v>0</v>
      </c>
      <c r="O18" s="439">
        <f t="shared" si="2"/>
        <v>0</v>
      </c>
      <c r="P18" s="3"/>
      <c r="Y18" s="121"/>
    </row>
    <row r="19" spans="2:25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VLOOKUP(J19,예산!$B$41:$N$53,5,FALSE)</f>
        <v>0</v>
      </c>
      <c r="M19" s="428">
        <f t="shared" si="1"/>
        <v>0</v>
      </c>
      <c r="N19" s="437">
        <f>VLOOKUP(J19,'3월'!$J$10:$K$23,2,FALSE)</f>
        <v>0</v>
      </c>
      <c r="O19" s="439">
        <f t="shared" si="2"/>
        <v>0</v>
      </c>
      <c r="P19" s="3"/>
      <c r="Y19" s="121"/>
    </row>
    <row r="20" spans="2:25" ht="19.899999999999999" customHeight="1" x14ac:dyDescent="0.3">
      <c r="B20" s="404">
        <f>B11+21</f>
        <v>45767</v>
      </c>
      <c r="C20" s="405">
        <f t="shared" ref="C20:H20" si="9">C11+21</f>
        <v>45768</v>
      </c>
      <c r="D20" s="405">
        <f t="shared" si="9"/>
        <v>45769</v>
      </c>
      <c r="E20" s="405">
        <f t="shared" si="9"/>
        <v>45770</v>
      </c>
      <c r="F20" s="405">
        <f t="shared" si="9"/>
        <v>45771</v>
      </c>
      <c r="G20" s="405">
        <f t="shared" si="9"/>
        <v>45772</v>
      </c>
      <c r="H20" s="406">
        <f t="shared" si="9"/>
        <v>45773</v>
      </c>
      <c r="J20" s="369" t="str">
        <f>항목!N$3</f>
        <v>통신비</v>
      </c>
      <c r="K20" s="426">
        <f t="shared" si="4"/>
        <v>0</v>
      </c>
      <c r="L20" s="426">
        <f>VLOOKUP(J20,예산!$B$41:$N$53,5,FALSE)</f>
        <v>0</v>
      </c>
      <c r="M20" s="428">
        <f t="shared" si="1"/>
        <v>0</v>
      </c>
      <c r="N20" s="437">
        <f>VLOOKUP(J20,'3월'!$J$10:$K$23,2,FALSE)</f>
        <v>0</v>
      </c>
      <c r="O20" s="439">
        <f t="shared" si="2"/>
        <v>0</v>
      </c>
      <c r="P20" s="3"/>
      <c r="Y20" s="121"/>
    </row>
    <row r="21" spans="2:25" ht="19.899999999999999" customHeight="1" x14ac:dyDescent="0.3">
      <c r="B21" s="532" t="str">
        <f t="shared" ref="B21:H21" ca="1" si="10">IF(MONTH(B20)&lt;&gt;$A$2,"",IF(AND(SUMIF($J$81:$J$145,B20,$R$81:$R$145)=0,B20&lt;TODAY()),"무지출",SUMIF($J$81:$J$145,B20,$R$81:$R$145)))</f>
        <v>무지출</v>
      </c>
      <c r="C21" s="533" t="str">
        <f t="shared" ca="1" si="10"/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VLOOKUP(J21,예산!$B$41:$N$53,5,FALSE)</f>
        <v>0</v>
      </c>
      <c r="M21" s="428">
        <f t="shared" si="1"/>
        <v>0</v>
      </c>
      <c r="N21" s="437">
        <f>VLOOKUP(J21,'3월'!$J$10:$K$23,2,FALSE)</f>
        <v>0</v>
      </c>
      <c r="O21" s="439">
        <f t="shared" si="2"/>
        <v>0</v>
      </c>
      <c r="P21" s="3"/>
      <c r="Y21" s="121"/>
    </row>
    <row r="22" spans="2:25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VLOOKUP(J22,예산!$B$41:$N$53,5,FALSE)</f>
        <v>0</v>
      </c>
      <c r="M22" s="428">
        <f t="shared" si="1"/>
        <v>0</v>
      </c>
      <c r="N22" s="437">
        <f>VLOOKUP(J22,'3월'!$J$10:$K$23,2,FALSE)</f>
        <v>0</v>
      </c>
      <c r="O22" s="439">
        <f t="shared" si="2"/>
        <v>0</v>
      </c>
      <c r="P22" s="3"/>
      <c r="Y22" s="121"/>
    </row>
    <row r="23" spans="2:25" ht="19.899999999999999" customHeight="1" x14ac:dyDescent="0.3">
      <c r="B23" s="404">
        <f>B11+28</f>
        <v>45774</v>
      </c>
      <c r="C23" s="405">
        <f t="shared" ref="C23:H23" si="11">C11+28</f>
        <v>45775</v>
      </c>
      <c r="D23" s="405">
        <f t="shared" si="11"/>
        <v>45776</v>
      </c>
      <c r="E23" s="405">
        <f t="shared" si="11"/>
        <v>45777</v>
      </c>
      <c r="F23" s="405">
        <f t="shared" si="11"/>
        <v>45778</v>
      </c>
      <c r="G23" s="405">
        <f t="shared" si="11"/>
        <v>45779</v>
      </c>
      <c r="H23" s="406">
        <f t="shared" si="11"/>
        <v>45780</v>
      </c>
      <c r="J23" s="332" t="str">
        <f>항목!Q$3</f>
        <v>추가항목</v>
      </c>
      <c r="K23" s="426">
        <f t="shared" si="4"/>
        <v>0</v>
      </c>
      <c r="L23" s="427">
        <f>VLOOKUP(J23,예산!$B$41:$N$53,5,FALSE)</f>
        <v>0</v>
      </c>
      <c r="M23" s="429">
        <f t="shared" si="1"/>
        <v>0</v>
      </c>
      <c r="N23" s="438">
        <f>VLOOKUP(J23,'3월'!$J$10:$K$23,2,FALSE)</f>
        <v>0</v>
      </c>
      <c r="O23" s="440">
        <f t="shared" si="2"/>
        <v>0</v>
      </c>
      <c r="P23" s="3"/>
      <c r="Y23" s="121"/>
    </row>
    <row r="24" spans="2:25" ht="19.899999999999999" customHeight="1" x14ac:dyDescent="0.3">
      <c r="B24" s="532" t="str">
        <f t="shared" ref="B24:H24" ca="1" si="12">IF(MONTH(B23)&lt;&gt;$A$2,"",IF(AND(SUMIF($J$81:$J$145,B23,$R$81:$R$145)=0,B23&lt;TODAY()),"무지출",SUMIF($J$81:$J$145,B23,$R$81:$R$145)))</f>
        <v>무지출</v>
      </c>
      <c r="C24" s="533" t="str">
        <f t="shared" ca="1" si="12"/>
        <v>무지출</v>
      </c>
      <c r="D24" s="533" t="str">
        <f t="shared" ca="1" si="12"/>
        <v>무지출</v>
      </c>
      <c r="E24" s="533" t="str">
        <f t="shared" ca="1" si="12"/>
        <v>무지출</v>
      </c>
      <c r="F24" s="533" t="str">
        <f t="shared" ca="1" si="12"/>
        <v/>
      </c>
      <c r="G24" s="533" t="str">
        <f t="shared" ca="1" si="12"/>
        <v/>
      </c>
      <c r="H24" s="534" t="str">
        <f t="shared" ca="1" si="12"/>
        <v/>
      </c>
      <c r="Y24" s="121"/>
    </row>
    <row r="25" spans="2:25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Y25" s="121"/>
    </row>
    <row r="26" spans="2:25" ht="19.899999999999999" customHeight="1" x14ac:dyDescent="0.3">
      <c r="B26" s="404">
        <f>B11+35</f>
        <v>45781</v>
      </c>
      <c r="C26" s="405">
        <f t="shared" ref="C26:H26" si="13">C11+35</f>
        <v>45782</v>
      </c>
      <c r="D26" s="405">
        <f t="shared" si="13"/>
        <v>45783</v>
      </c>
      <c r="E26" s="405">
        <f t="shared" si="13"/>
        <v>45784</v>
      </c>
      <c r="F26" s="405">
        <f t="shared" si="13"/>
        <v>45785</v>
      </c>
      <c r="G26" s="405">
        <f t="shared" si="13"/>
        <v>45786</v>
      </c>
      <c r="H26" s="406">
        <f t="shared" si="13"/>
        <v>45787</v>
      </c>
      <c r="J26" s="446"/>
      <c r="K26" s="368"/>
      <c r="L26" s="368"/>
      <c r="M26" s="368"/>
      <c r="N26" s="368"/>
      <c r="O26" s="368"/>
      <c r="Y26" s="121"/>
    </row>
    <row r="27" spans="2:25" ht="19.899999999999999" customHeight="1" x14ac:dyDescent="0.3">
      <c r="B27" s="532" t="str">
        <f t="shared" ref="B27:H27" ca="1" si="14">IF(MONTH(B26)&lt;&gt;$A$2,"",IF(AND(SUMIF($J$81:$J$145,B26,$R$81:$R$145)=0,B26&lt;TODAY()),"무지출",SUMIF($J$81:$J$145,B26,$R$81:$R$145)))</f>
        <v/>
      </c>
      <c r="C27" s="533" t="str">
        <f t="shared" ca="1" si="14"/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  <c r="Y27" s="121"/>
    </row>
    <row r="28" spans="2:25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Y28" s="121"/>
    </row>
    <row r="29" spans="2:25" ht="19.899999999999999" customHeight="1" x14ac:dyDescent="0.3">
      <c r="Y29" s="121"/>
    </row>
    <row r="30" spans="2:25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5" ht="10.15" customHeight="1" x14ac:dyDescent="0.3"/>
    <row r="32" spans="2:25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F168" s="2"/>
      <c r="G168" s="2"/>
      <c r="O168" s="2"/>
      <c r="P168" s="2"/>
      <c r="Q168" s="2"/>
    </row>
    <row r="169" spans="1:23" ht="18" customHeight="1" x14ac:dyDescent="0.3">
      <c r="F169" s="2"/>
      <c r="G169" s="2"/>
      <c r="O169" s="2"/>
      <c r="P169" s="2"/>
      <c r="Q169" s="2"/>
    </row>
    <row r="170" spans="1:23" ht="18" customHeight="1" x14ac:dyDescent="0.3">
      <c r="F170" s="2"/>
      <c r="G170" s="2"/>
      <c r="O170" s="2"/>
      <c r="P170" s="2"/>
      <c r="Q170" s="2"/>
    </row>
    <row r="171" spans="1:23" ht="18" customHeight="1" x14ac:dyDescent="0.3">
      <c r="F171" s="2"/>
      <c r="G171" s="2"/>
      <c r="O171" s="2"/>
      <c r="P171" s="2"/>
      <c r="Q171" s="2"/>
    </row>
    <row r="172" spans="1:23" ht="18" customHeight="1" x14ac:dyDescent="0.3">
      <c r="F172" s="2"/>
      <c r="G172" s="2"/>
      <c r="O172" s="2"/>
      <c r="P172" s="2"/>
      <c r="Q172" s="2"/>
    </row>
    <row r="173" spans="1:23" ht="18" customHeight="1" x14ac:dyDescent="0.3">
      <c r="F173" s="2"/>
      <c r="G173" s="2"/>
      <c r="O173" s="2"/>
      <c r="P173" s="2"/>
      <c r="Q173" s="2"/>
    </row>
    <row r="174" spans="1:23" ht="18" customHeight="1" x14ac:dyDescent="0.3">
      <c r="F174" s="2"/>
      <c r="G174" s="2"/>
      <c r="O174" s="2"/>
      <c r="P174" s="2"/>
      <c r="Q174" s="2"/>
    </row>
    <row r="175" spans="1:23" ht="18" customHeight="1" x14ac:dyDescent="0.3">
      <c r="F175" s="2"/>
      <c r="G175" s="2"/>
      <c r="O175" s="2"/>
      <c r="P175" s="2"/>
      <c r="Q175" s="2"/>
    </row>
    <row r="176" spans="1:23" ht="18" customHeight="1" x14ac:dyDescent="0.3">
      <c r="F176" s="2"/>
      <c r="G176" s="2"/>
      <c r="O176" s="2"/>
      <c r="P176" s="2"/>
      <c r="Q176" s="2"/>
    </row>
    <row r="177" spans="6:17" ht="18" customHeight="1" x14ac:dyDescent="0.3">
      <c r="F177" s="2"/>
      <c r="G177" s="2"/>
      <c r="O177" s="2"/>
      <c r="P177" s="2"/>
      <c r="Q177" s="2"/>
    </row>
    <row r="178" spans="6:17" ht="18" customHeight="1" x14ac:dyDescent="0.3">
      <c r="F178" s="2"/>
      <c r="G178" s="2"/>
      <c r="O178" s="2"/>
      <c r="P178" s="2"/>
      <c r="Q178" s="2"/>
    </row>
    <row r="179" spans="6:17" ht="18" customHeight="1" x14ac:dyDescent="0.3">
      <c r="F179" s="2"/>
      <c r="G179" s="2"/>
      <c r="O179" s="2"/>
      <c r="P179" s="2"/>
      <c r="Q179" s="2"/>
    </row>
    <row r="180" spans="6:17" ht="18" customHeight="1" x14ac:dyDescent="0.3">
      <c r="F180" s="2"/>
      <c r="G180" s="2"/>
      <c r="O180" s="2"/>
      <c r="P180" s="2"/>
      <c r="Q180" s="2"/>
    </row>
    <row r="181" spans="6:17" ht="18" customHeight="1" x14ac:dyDescent="0.3">
      <c r="F181" s="2"/>
      <c r="G181" s="2"/>
      <c r="O181" s="2"/>
      <c r="P181" s="2"/>
      <c r="Q181" s="2"/>
    </row>
    <row r="182" spans="6:17" ht="18" customHeight="1" x14ac:dyDescent="0.3">
      <c r="F182" s="2"/>
      <c r="G182" s="2"/>
      <c r="O182" s="2"/>
      <c r="P182" s="2"/>
      <c r="Q182" s="2"/>
    </row>
    <row r="183" spans="6:17" ht="18" customHeight="1" x14ac:dyDescent="0.3">
      <c r="F183" s="2"/>
      <c r="G183" s="2"/>
      <c r="O183" s="2"/>
      <c r="P183" s="2"/>
      <c r="Q183" s="2"/>
    </row>
    <row r="184" spans="6:17" ht="18" customHeight="1" x14ac:dyDescent="0.3">
      <c r="F184" s="2"/>
      <c r="G184" s="2"/>
      <c r="O184" s="2"/>
      <c r="P184" s="2"/>
      <c r="Q184" s="2"/>
    </row>
    <row r="185" spans="6:17" ht="18" customHeight="1" x14ac:dyDescent="0.3">
      <c r="F185" s="2"/>
      <c r="G185" s="2"/>
      <c r="O185" s="2"/>
      <c r="P185" s="2"/>
      <c r="Q185" s="2"/>
    </row>
    <row r="186" spans="6:17" ht="18" customHeight="1" x14ac:dyDescent="0.3">
      <c r="F186" s="2"/>
      <c r="G186" s="2"/>
      <c r="O186" s="2"/>
      <c r="P186" s="2"/>
      <c r="Q186" s="2"/>
    </row>
    <row r="187" spans="6:17" ht="18" customHeight="1" x14ac:dyDescent="0.3">
      <c r="F187" s="2"/>
      <c r="G187" s="2"/>
      <c r="O187" s="2"/>
      <c r="P187" s="2"/>
      <c r="Q187" s="2"/>
    </row>
    <row r="188" spans="6:17" ht="18" customHeight="1" x14ac:dyDescent="0.3">
      <c r="F188" s="2"/>
      <c r="G188" s="2"/>
      <c r="O188" s="2"/>
      <c r="P188" s="2"/>
      <c r="Q188" s="2"/>
    </row>
    <row r="189" spans="6:17" ht="18" customHeight="1" x14ac:dyDescent="0.3">
      <c r="F189" s="2"/>
      <c r="G189" s="2"/>
      <c r="O189" s="2"/>
      <c r="P189" s="2"/>
      <c r="Q189" s="2"/>
    </row>
    <row r="190" spans="6:17" ht="18" customHeight="1" x14ac:dyDescent="0.3">
      <c r="F190" s="2"/>
      <c r="G190" s="2"/>
      <c r="O190" s="2"/>
      <c r="P190" s="2"/>
      <c r="Q190" s="2"/>
    </row>
    <row r="191" spans="6:17" ht="18" customHeight="1" x14ac:dyDescent="0.3">
      <c r="F191" s="2"/>
      <c r="G191" s="2"/>
      <c r="O191" s="2"/>
      <c r="P191" s="2"/>
      <c r="Q191" s="2"/>
    </row>
    <row r="192" spans="6:17" ht="18" customHeight="1" x14ac:dyDescent="0.3">
      <c r="F192" s="2"/>
      <c r="G192" s="2"/>
      <c r="O192" s="2"/>
      <c r="P192" s="2"/>
      <c r="Q192" s="2"/>
    </row>
    <row r="193" spans="6:17" ht="18" customHeight="1" x14ac:dyDescent="0.3">
      <c r="F193" s="2"/>
      <c r="G193" s="2"/>
      <c r="O193" s="2"/>
      <c r="P193" s="2"/>
      <c r="Q193" s="2"/>
    </row>
    <row r="194" spans="6:17" ht="18" customHeight="1" x14ac:dyDescent="0.3">
      <c r="F194" s="2"/>
      <c r="G194" s="2"/>
      <c r="O194" s="2"/>
      <c r="P194" s="2"/>
      <c r="Q194" s="2"/>
    </row>
    <row r="195" spans="6:17" ht="18" customHeight="1" x14ac:dyDescent="0.3">
      <c r="F195" s="2"/>
      <c r="G195" s="2"/>
      <c r="O195" s="2"/>
      <c r="P195" s="2"/>
      <c r="Q195" s="2"/>
    </row>
    <row r="196" spans="6:17" ht="18" customHeight="1" x14ac:dyDescent="0.3">
      <c r="F196" s="2"/>
      <c r="G196" s="2"/>
      <c r="O196" s="2"/>
      <c r="P196" s="2"/>
      <c r="Q196" s="2"/>
    </row>
    <row r="197" spans="6:17" ht="18" customHeight="1" x14ac:dyDescent="0.3">
      <c r="F197" s="2"/>
      <c r="G197" s="2"/>
      <c r="O197" s="2"/>
      <c r="P197" s="2"/>
      <c r="Q197" s="2"/>
    </row>
    <row r="198" spans="6:17" ht="18" customHeight="1" x14ac:dyDescent="0.3">
      <c r="F198" s="2"/>
      <c r="G198" s="2"/>
      <c r="O198" s="2"/>
      <c r="P198" s="2"/>
      <c r="Q198" s="2"/>
    </row>
    <row r="199" spans="6:17" ht="18" customHeight="1" x14ac:dyDescent="0.3">
      <c r="F199" s="2"/>
      <c r="G199" s="2"/>
      <c r="O199" s="2"/>
      <c r="P199" s="2"/>
      <c r="Q199" s="2"/>
    </row>
    <row r="200" spans="6:17" ht="18" customHeight="1" x14ac:dyDescent="0.3">
      <c r="F200" s="2"/>
      <c r="G200" s="2"/>
      <c r="O200" s="2"/>
      <c r="P200" s="2"/>
      <c r="Q200" s="2"/>
    </row>
    <row r="201" spans="6:17" ht="18" customHeight="1" x14ac:dyDescent="0.3">
      <c r="F201" s="2"/>
      <c r="G201" s="2"/>
      <c r="O201" s="2"/>
      <c r="P201" s="2"/>
      <c r="Q201" s="2"/>
    </row>
    <row r="202" spans="6:17" ht="18" customHeight="1" x14ac:dyDescent="0.3">
      <c r="F202" s="2"/>
      <c r="G202" s="2"/>
      <c r="O202" s="2"/>
      <c r="P202" s="2"/>
      <c r="Q202" s="2"/>
    </row>
    <row r="203" spans="6:17" ht="18" customHeight="1" x14ac:dyDescent="0.3">
      <c r="F203" s="2"/>
      <c r="G203" s="2"/>
      <c r="O203" s="2"/>
      <c r="P203" s="2"/>
      <c r="Q203" s="2"/>
    </row>
    <row r="204" spans="6:17" ht="18" customHeight="1" x14ac:dyDescent="0.3">
      <c r="F204" s="2"/>
      <c r="G204" s="2"/>
      <c r="O204" s="2"/>
      <c r="P204" s="2"/>
      <c r="Q204" s="2"/>
    </row>
    <row r="205" spans="6:17" ht="18" customHeight="1" x14ac:dyDescent="0.3">
      <c r="F205" s="2"/>
      <c r="G205" s="2"/>
      <c r="O205" s="2"/>
      <c r="P205" s="2"/>
      <c r="Q205" s="2"/>
    </row>
    <row r="206" spans="6:17" ht="18" customHeight="1" x14ac:dyDescent="0.3">
      <c r="F206" s="2"/>
      <c r="G206" s="2"/>
      <c r="O206" s="2"/>
      <c r="P206" s="2"/>
      <c r="Q206" s="2"/>
    </row>
    <row r="207" spans="6:17" ht="18" customHeight="1" x14ac:dyDescent="0.3">
      <c r="F207" s="2"/>
      <c r="G207" s="2"/>
      <c r="O207" s="2"/>
      <c r="P207" s="2"/>
      <c r="Q207" s="2"/>
    </row>
    <row r="208" spans="6:17" ht="18" customHeight="1" x14ac:dyDescent="0.3">
      <c r="F208" s="2"/>
      <c r="G208" s="2"/>
      <c r="O208" s="2"/>
      <c r="P208" s="2"/>
      <c r="Q208" s="2"/>
    </row>
    <row r="209" spans="6:17" ht="18" customHeight="1" x14ac:dyDescent="0.3">
      <c r="F209" s="2"/>
      <c r="G209" s="2"/>
      <c r="O209" s="2"/>
      <c r="P209" s="2"/>
      <c r="Q209" s="2"/>
    </row>
    <row r="210" spans="6:17" ht="18" customHeight="1" x14ac:dyDescent="0.3">
      <c r="F210" s="2"/>
      <c r="G210" s="2"/>
      <c r="O210" s="2"/>
      <c r="P210" s="2"/>
      <c r="Q210" s="2"/>
    </row>
    <row r="211" spans="6:17" ht="18" customHeight="1" x14ac:dyDescent="0.3">
      <c r="F211" s="2"/>
      <c r="G211" s="2"/>
      <c r="O211" s="2"/>
      <c r="P211" s="2"/>
      <c r="Q211" s="2"/>
    </row>
    <row r="212" spans="6:17" ht="18" customHeight="1" x14ac:dyDescent="0.3">
      <c r="F212" s="2"/>
      <c r="G212" s="2"/>
      <c r="O212" s="2"/>
      <c r="P212" s="2"/>
      <c r="Q212" s="2"/>
    </row>
    <row r="213" spans="6:17" ht="18" customHeight="1" x14ac:dyDescent="0.3">
      <c r="F213" s="2"/>
      <c r="G213" s="2"/>
      <c r="O213" s="2"/>
      <c r="P213" s="2"/>
      <c r="Q213" s="2"/>
    </row>
    <row r="214" spans="6:17" ht="18" customHeight="1" x14ac:dyDescent="0.3">
      <c r="F214" s="2"/>
      <c r="G214" s="2"/>
      <c r="O214" s="2"/>
      <c r="P214" s="2"/>
      <c r="Q214" s="2"/>
    </row>
    <row r="215" spans="6:17" ht="18" customHeight="1" x14ac:dyDescent="0.3">
      <c r="F215" s="2"/>
      <c r="G215" s="2"/>
      <c r="O215" s="2"/>
      <c r="P215" s="2"/>
      <c r="Q215" s="2"/>
    </row>
    <row r="216" spans="6:17" ht="18" customHeight="1" x14ac:dyDescent="0.3">
      <c r="F216" s="2"/>
      <c r="G216" s="2"/>
      <c r="O216" s="2"/>
      <c r="P216" s="2"/>
      <c r="Q216" s="2"/>
    </row>
    <row r="217" spans="6:17" ht="18" customHeight="1" x14ac:dyDescent="0.3">
      <c r="F217" s="2"/>
      <c r="G217" s="2"/>
      <c r="O217" s="2"/>
      <c r="P217" s="2"/>
      <c r="Q217" s="2"/>
    </row>
    <row r="218" spans="6:17" ht="18" customHeight="1" x14ac:dyDescent="0.3">
      <c r="F218" s="2"/>
      <c r="G218" s="2"/>
      <c r="O218" s="2"/>
      <c r="P218" s="2"/>
      <c r="Q218" s="2"/>
    </row>
    <row r="219" spans="6:17" ht="18" customHeight="1" x14ac:dyDescent="0.3">
      <c r="F219" s="2"/>
      <c r="G219" s="2"/>
      <c r="O219" s="2"/>
      <c r="P219" s="2"/>
      <c r="Q219" s="2"/>
    </row>
    <row r="220" spans="6:17" ht="18" customHeight="1" x14ac:dyDescent="0.3">
      <c r="F220" s="2"/>
      <c r="G220" s="2"/>
      <c r="O220" s="2"/>
      <c r="P220" s="2"/>
      <c r="Q220" s="2"/>
    </row>
    <row r="221" spans="6:17" ht="18" customHeight="1" x14ac:dyDescent="0.3">
      <c r="F221" s="2"/>
      <c r="G221" s="2"/>
      <c r="O221" s="2"/>
      <c r="P221" s="2"/>
      <c r="Q221" s="2"/>
    </row>
    <row r="222" spans="6:17" ht="18" customHeight="1" x14ac:dyDescent="0.3">
      <c r="F222" s="2"/>
      <c r="G222" s="2"/>
      <c r="O222" s="2"/>
      <c r="P222" s="2"/>
      <c r="Q222" s="2"/>
    </row>
    <row r="223" spans="6:17" ht="18" customHeight="1" x14ac:dyDescent="0.3">
      <c r="F223" s="2"/>
      <c r="G223" s="2"/>
      <c r="O223" s="2"/>
      <c r="P223" s="2"/>
      <c r="Q223" s="2"/>
    </row>
    <row r="224" spans="6:17" ht="18" customHeight="1" x14ac:dyDescent="0.3">
      <c r="F224" s="2"/>
      <c r="G224" s="2"/>
      <c r="O224" s="2"/>
      <c r="P224" s="2"/>
      <c r="Q224" s="2"/>
    </row>
    <row r="225" spans="6:17" ht="18" customHeight="1" x14ac:dyDescent="0.3">
      <c r="F225" s="2"/>
      <c r="G225" s="2"/>
      <c r="O225" s="2"/>
      <c r="P225" s="2"/>
      <c r="Q225" s="2"/>
    </row>
    <row r="226" spans="6:17" ht="18" customHeight="1" x14ac:dyDescent="0.3">
      <c r="F226" s="2"/>
      <c r="G226" s="2"/>
      <c r="O226" s="2"/>
      <c r="P226" s="2"/>
      <c r="Q226" s="2"/>
    </row>
    <row r="227" spans="6:17" ht="18" customHeight="1" x14ac:dyDescent="0.3">
      <c r="F227" s="2"/>
      <c r="G227" s="2"/>
      <c r="O227" s="2"/>
      <c r="P227" s="2"/>
      <c r="Q227" s="2"/>
    </row>
    <row r="228" spans="6:17" ht="18" customHeight="1" x14ac:dyDescent="0.3">
      <c r="F228" s="2"/>
      <c r="G228" s="2"/>
      <c r="O228" s="2"/>
      <c r="P228" s="2"/>
      <c r="Q228" s="2"/>
    </row>
    <row r="229" spans="6:17" ht="18" customHeight="1" x14ac:dyDescent="0.3">
      <c r="F229" s="2"/>
      <c r="G229" s="2"/>
      <c r="O229" s="2"/>
      <c r="P229" s="2"/>
      <c r="Q229" s="2"/>
    </row>
    <row r="230" spans="6:17" ht="18" customHeight="1" x14ac:dyDescent="0.3">
      <c r="F230" s="2"/>
      <c r="G230" s="2"/>
      <c r="O230" s="2"/>
      <c r="P230" s="2"/>
      <c r="Q230" s="2"/>
    </row>
    <row r="231" spans="6:17" ht="18" customHeight="1" x14ac:dyDescent="0.3">
      <c r="F231" s="2"/>
      <c r="G231" s="2"/>
      <c r="O231" s="2"/>
      <c r="P231" s="2"/>
      <c r="Q231" s="2"/>
    </row>
    <row r="232" spans="6:17" ht="18" customHeight="1" x14ac:dyDescent="0.3">
      <c r="F232" s="2"/>
      <c r="G232" s="2"/>
      <c r="O232" s="2"/>
      <c r="P232" s="2"/>
      <c r="Q232" s="2"/>
    </row>
    <row r="233" spans="6:17" ht="18" customHeight="1" x14ac:dyDescent="0.3">
      <c r="F233" s="2"/>
      <c r="G233" s="2"/>
      <c r="O233" s="2"/>
      <c r="P233" s="2"/>
      <c r="Q233" s="2"/>
    </row>
    <row r="234" spans="6:17" ht="18" customHeight="1" x14ac:dyDescent="0.3">
      <c r="F234" s="2"/>
      <c r="G234" s="2"/>
      <c r="O234" s="2"/>
      <c r="P234" s="2"/>
      <c r="Q234" s="2"/>
    </row>
    <row r="235" spans="6:17" ht="18" customHeight="1" x14ac:dyDescent="0.3">
      <c r="F235" s="2"/>
      <c r="G235" s="2"/>
      <c r="O235" s="2"/>
      <c r="P235" s="2"/>
      <c r="Q235" s="2"/>
    </row>
    <row r="236" spans="6:17" ht="18" customHeight="1" x14ac:dyDescent="0.3">
      <c r="F236" s="2"/>
      <c r="G236" s="2"/>
      <c r="O236" s="2"/>
      <c r="P236" s="2"/>
      <c r="Q236" s="2"/>
    </row>
    <row r="237" spans="6:17" ht="18" customHeight="1" x14ac:dyDescent="0.3">
      <c r="F237" s="2"/>
      <c r="G237" s="2"/>
      <c r="O237" s="2"/>
      <c r="P237" s="2"/>
      <c r="Q237" s="2"/>
    </row>
    <row r="238" spans="6:17" ht="18" customHeight="1" x14ac:dyDescent="0.3">
      <c r="F238" s="2"/>
      <c r="G238" s="2"/>
      <c r="O238" s="2"/>
      <c r="P238" s="2"/>
      <c r="Q238" s="2"/>
    </row>
    <row r="239" spans="6:17" ht="18" customHeight="1" x14ac:dyDescent="0.3">
      <c r="F239" s="2"/>
      <c r="G239" s="2"/>
      <c r="O239" s="2"/>
      <c r="P239" s="2"/>
      <c r="Q239" s="2"/>
    </row>
    <row r="240" spans="6:17" ht="18" customHeight="1" x14ac:dyDescent="0.3">
      <c r="F240" s="2"/>
      <c r="G240" s="2"/>
      <c r="O240" s="2"/>
      <c r="P240" s="2"/>
      <c r="Q240" s="2"/>
    </row>
    <row r="241" spans="6:17" ht="18" customHeight="1" x14ac:dyDescent="0.3">
      <c r="F241" s="2"/>
      <c r="G241" s="2"/>
      <c r="O241" s="2"/>
      <c r="P241" s="2"/>
      <c r="Q241" s="2"/>
    </row>
    <row r="242" spans="6:17" ht="18" customHeight="1" x14ac:dyDescent="0.3">
      <c r="F242" s="2"/>
      <c r="G242" s="2"/>
      <c r="O242" s="2"/>
      <c r="P242" s="2"/>
      <c r="Q242" s="2"/>
    </row>
    <row r="243" spans="6:17" ht="18" customHeight="1" x14ac:dyDescent="0.3">
      <c r="F243" s="2"/>
      <c r="G243" s="2"/>
      <c r="O243" s="2"/>
      <c r="P243" s="2"/>
      <c r="Q243" s="2"/>
    </row>
    <row r="244" spans="6:17" ht="18" customHeight="1" x14ac:dyDescent="0.3">
      <c r="F244" s="2"/>
      <c r="G244" s="2"/>
      <c r="O244" s="2"/>
      <c r="P244" s="2"/>
      <c r="Q244" s="2"/>
    </row>
    <row r="245" spans="6:17" ht="18" customHeight="1" x14ac:dyDescent="0.3">
      <c r="F245" s="2"/>
      <c r="G245" s="2"/>
      <c r="O245" s="2"/>
      <c r="P245" s="2"/>
      <c r="Q245" s="2"/>
    </row>
    <row r="246" spans="6:17" ht="18" customHeight="1" x14ac:dyDescent="0.3">
      <c r="F246" s="2"/>
      <c r="G246" s="2"/>
      <c r="O246" s="2"/>
      <c r="P246" s="2"/>
      <c r="Q246" s="2"/>
    </row>
    <row r="247" spans="6:17" ht="18" customHeight="1" x14ac:dyDescent="0.3">
      <c r="F247" s="2"/>
      <c r="G247" s="2"/>
      <c r="O247" s="2"/>
      <c r="P247" s="2"/>
      <c r="Q247" s="2"/>
    </row>
    <row r="248" spans="6:17" ht="18" customHeight="1" x14ac:dyDescent="0.3">
      <c r="F248" s="2"/>
      <c r="G248" s="2"/>
      <c r="O248" s="2"/>
      <c r="P248" s="2"/>
      <c r="Q248" s="2"/>
    </row>
    <row r="249" spans="6:17" ht="18" customHeight="1" x14ac:dyDescent="0.3">
      <c r="F249" s="2"/>
      <c r="G249" s="2"/>
      <c r="O249" s="2"/>
      <c r="P249" s="2"/>
      <c r="Q249" s="2"/>
    </row>
    <row r="250" spans="6:17" ht="18" customHeight="1" x14ac:dyDescent="0.3">
      <c r="F250" s="2"/>
      <c r="G250" s="2"/>
      <c r="O250" s="2"/>
      <c r="P250" s="2"/>
      <c r="Q250" s="2"/>
    </row>
    <row r="251" spans="6:17" ht="18" customHeight="1" x14ac:dyDescent="0.3">
      <c r="F251" s="2"/>
      <c r="G251" s="2"/>
      <c r="O251" s="2"/>
      <c r="P251" s="2"/>
      <c r="Q251" s="2"/>
    </row>
    <row r="252" spans="6:17" ht="18" customHeight="1" x14ac:dyDescent="0.3">
      <c r="F252" s="2"/>
      <c r="G252" s="2"/>
      <c r="O252" s="2"/>
      <c r="P252" s="2"/>
      <c r="Q252" s="2"/>
    </row>
    <row r="253" spans="6:17" ht="18" customHeight="1" x14ac:dyDescent="0.3">
      <c r="F253" s="2"/>
      <c r="G253" s="2"/>
      <c r="O253" s="2"/>
      <c r="P253" s="2"/>
      <c r="Q253" s="2"/>
    </row>
    <row r="254" spans="6:17" ht="18" customHeight="1" x14ac:dyDescent="0.3">
      <c r="F254" s="2"/>
      <c r="G254" s="2"/>
      <c r="O254" s="2"/>
      <c r="P254" s="2"/>
      <c r="Q254" s="2"/>
    </row>
    <row r="255" spans="6:17" ht="18" customHeight="1" x14ac:dyDescent="0.3">
      <c r="F255" s="2"/>
      <c r="G255" s="2"/>
      <c r="O255" s="2"/>
      <c r="P255" s="2"/>
      <c r="Q255" s="2"/>
    </row>
    <row r="256" spans="6:17" ht="18" customHeight="1" x14ac:dyDescent="0.3">
      <c r="F256" s="2"/>
      <c r="G256" s="2"/>
      <c r="O256" s="2"/>
      <c r="P256" s="2"/>
      <c r="Q256" s="2"/>
    </row>
    <row r="257" spans="6:17" ht="18" customHeight="1" x14ac:dyDescent="0.3">
      <c r="F257" s="2"/>
      <c r="G257" s="2"/>
      <c r="O257" s="2"/>
      <c r="P257" s="2"/>
      <c r="Q257" s="2"/>
    </row>
    <row r="258" spans="6:17" ht="18" customHeight="1" x14ac:dyDescent="0.3">
      <c r="F258" s="2"/>
      <c r="G258" s="2"/>
      <c r="O258" s="2"/>
      <c r="P258" s="2"/>
      <c r="Q258" s="2"/>
    </row>
    <row r="259" spans="6:17" ht="18" customHeight="1" x14ac:dyDescent="0.3">
      <c r="F259" s="2"/>
      <c r="G259" s="2"/>
      <c r="O259" s="2"/>
      <c r="P259" s="2"/>
      <c r="Q259" s="2"/>
    </row>
    <row r="260" spans="6:17" ht="18" customHeight="1" x14ac:dyDescent="0.3">
      <c r="F260" s="2"/>
      <c r="G260" s="2"/>
      <c r="O260" s="2"/>
      <c r="P260" s="2"/>
      <c r="Q260" s="2"/>
    </row>
    <row r="261" spans="6:17" ht="18" customHeight="1" x14ac:dyDescent="0.3">
      <c r="F261" s="2"/>
      <c r="G261" s="2"/>
      <c r="O261" s="2"/>
      <c r="P261" s="2"/>
      <c r="Q261" s="2"/>
    </row>
    <row r="262" spans="6:17" ht="18" customHeight="1" x14ac:dyDescent="0.3">
      <c r="F262" s="2"/>
      <c r="G262" s="2"/>
      <c r="O262" s="2"/>
      <c r="P262" s="2"/>
      <c r="Q262" s="2"/>
    </row>
    <row r="263" spans="6:17" ht="18" customHeight="1" x14ac:dyDescent="0.3">
      <c r="F263" s="2"/>
      <c r="G263" s="2"/>
      <c r="O263" s="2"/>
      <c r="P263" s="2"/>
      <c r="Q263" s="2"/>
    </row>
    <row r="264" spans="6:17" ht="18" customHeight="1" x14ac:dyDescent="0.3">
      <c r="F264" s="2"/>
      <c r="G264" s="2"/>
      <c r="O264" s="2"/>
      <c r="P264" s="2"/>
      <c r="Q264" s="2"/>
    </row>
    <row r="265" spans="6:17" ht="18" customHeight="1" x14ac:dyDescent="0.3">
      <c r="F265" s="2"/>
      <c r="G265" s="2"/>
      <c r="O265" s="2"/>
      <c r="P265" s="2"/>
      <c r="Q265" s="2"/>
    </row>
    <row r="266" spans="6:17" ht="18" customHeight="1" x14ac:dyDescent="0.3">
      <c r="F266" s="2"/>
      <c r="G266" s="2"/>
      <c r="O266" s="2"/>
      <c r="P266" s="2"/>
      <c r="Q266" s="2"/>
    </row>
    <row r="267" spans="6:17" ht="18" customHeight="1" x14ac:dyDescent="0.3">
      <c r="F267" s="2"/>
      <c r="G267" s="2"/>
      <c r="O267" s="2"/>
      <c r="P267" s="2"/>
      <c r="Q267" s="2"/>
    </row>
    <row r="268" spans="6:17" ht="18" customHeight="1" x14ac:dyDescent="0.3">
      <c r="F268" s="2"/>
      <c r="G268" s="2"/>
      <c r="O268" s="2"/>
      <c r="P268" s="2"/>
      <c r="Q268" s="2"/>
    </row>
    <row r="269" spans="6:17" ht="18" customHeight="1" x14ac:dyDescent="0.3">
      <c r="F269" s="2"/>
      <c r="G269" s="2"/>
      <c r="O269" s="2"/>
      <c r="P269" s="2"/>
      <c r="Q269" s="2"/>
    </row>
    <row r="270" spans="6:17" ht="18" customHeight="1" x14ac:dyDescent="0.3">
      <c r="F270" s="2"/>
      <c r="G270" s="2"/>
      <c r="O270" s="2"/>
      <c r="P270" s="2"/>
      <c r="Q270" s="2"/>
    </row>
    <row r="271" spans="6:17" ht="18" customHeight="1" x14ac:dyDescent="0.3">
      <c r="F271" s="2"/>
      <c r="G271" s="2"/>
      <c r="O271" s="2"/>
      <c r="P271" s="2"/>
      <c r="Q271" s="2"/>
    </row>
    <row r="272" spans="6:17" ht="18" customHeight="1" x14ac:dyDescent="0.3">
      <c r="F272" s="2"/>
      <c r="G272" s="2"/>
      <c r="O272" s="2"/>
      <c r="P272" s="2"/>
      <c r="Q272" s="2"/>
    </row>
    <row r="273" spans="6:17" ht="18" customHeight="1" x14ac:dyDescent="0.3">
      <c r="F273" s="2"/>
      <c r="G273" s="2"/>
      <c r="O273" s="2"/>
      <c r="P273" s="2"/>
      <c r="Q273" s="2"/>
    </row>
    <row r="274" spans="6:17" ht="18" customHeight="1" x14ac:dyDescent="0.3">
      <c r="F274" s="2"/>
      <c r="G274" s="2"/>
      <c r="O274" s="2"/>
      <c r="P274" s="2"/>
      <c r="Q274" s="2"/>
    </row>
    <row r="275" spans="6:17" ht="18" customHeight="1" x14ac:dyDescent="0.3">
      <c r="F275" s="2"/>
      <c r="G275" s="2"/>
      <c r="O275" s="2"/>
      <c r="P275" s="2"/>
      <c r="Q275" s="2"/>
    </row>
    <row r="276" spans="6:17" ht="18" customHeight="1" x14ac:dyDescent="0.3">
      <c r="F276" s="2"/>
      <c r="G276" s="2"/>
      <c r="O276" s="2"/>
      <c r="P276" s="2"/>
      <c r="Q276" s="2"/>
    </row>
    <row r="277" spans="6:17" ht="18" customHeight="1" x14ac:dyDescent="0.3">
      <c r="F277" s="2"/>
      <c r="G277" s="2"/>
      <c r="O277" s="2"/>
      <c r="P277" s="2"/>
      <c r="Q277" s="2"/>
    </row>
    <row r="278" spans="6:17" ht="18" customHeight="1" x14ac:dyDescent="0.3">
      <c r="F278" s="2"/>
      <c r="G278" s="2"/>
      <c r="O278" s="2"/>
      <c r="P278" s="2"/>
      <c r="Q278" s="2"/>
    </row>
    <row r="279" spans="6:17" ht="18" customHeight="1" x14ac:dyDescent="0.3">
      <c r="F279" s="2"/>
      <c r="G279" s="2"/>
      <c r="O279" s="2"/>
      <c r="P279" s="2"/>
      <c r="Q279" s="2"/>
    </row>
    <row r="280" spans="6:17" ht="18" customHeight="1" x14ac:dyDescent="0.3">
      <c r="F280" s="2"/>
      <c r="G280" s="2"/>
      <c r="O280" s="2"/>
      <c r="P280" s="2"/>
      <c r="Q280" s="2"/>
    </row>
    <row r="281" spans="6:17" ht="18" customHeight="1" x14ac:dyDescent="0.3">
      <c r="F281" s="2"/>
      <c r="G281" s="2"/>
      <c r="O281" s="2"/>
      <c r="P281" s="2"/>
      <c r="Q281" s="2"/>
    </row>
    <row r="282" spans="6:17" ht="18" customHeight="1" x14ac:dyDescent="0.3">
      <c r="F282" s="2"/>
      <c r="G282" s="2"/>
      <c r="O282" s="2"/>
      <c r="P282" s="2"/>
      <c r="Q282" s="2"/>
    </row>
    <row r="283" spans="6:17" ht="18" customHeight="1" x14ac:dyDescent="0.3">
      <c r="F283" s="2"/>
      <c r="G283" s="2"/>
      <c r="O283" s="2"/>
      <c r="P283" s="2"/>
      <c r="Q283" s="2"/>
    </row>
    <row r="284" spans="6:17" ht="18" customHeight="1" x14ac:dyDescent="0.3">
      <c r="F284" s="2"/>
      <c r="G284" s="2"/>
      <c r="O284" s="2"/>
      <c r="P284" s="2"/>
      <c r="Q284" s="2"/>
    </row>
    <row r="285" spans="6:17" ht="18" customHeight="1" x14ac:dyDescent="0.3">
      <c r="F285" s="2"/>
      <c r="G285" s="2"/>
      <c r="O285" s="2"/>
      <c r="P285" s="2"/>
      <c r="Q285" s="2"/>
    </row>
    <row r="286" spans="6:17" ht="18" customHeight="1" x14ac:dyDescent="0.3">
      <c r="F286" s="2"/>
      <c r="G286" s="2"/>
      <c r="O286" s="2"/>
      <c r="P286" s="2"/>
      <c r="Q286" s="2"/>
    </row>
    <row r="287" spans="6:17" ht="18" customHeight="1" x14ac:dyDescent="0.3">
      <c r="F287" s="2"/>
      <c r="G287" s="2"/>
      <c r="O287" s="2"/>
      <c r="P287" s="2"/>
      <c r="Q287" s="2"/>
    </row>
    <row r="288" spans="6:17" ht="18" customHeight="1" x14ac:dyDescent="0.3">
      <c r="F288" s="2"/>
      <c r="G288" s="2"/>
      <c r="O288" s="2"/>
      <c r="P288" s="2"/>
      <c r="Q288" s="2"/>
    </row>
    <row r="289" spans="6:17" ht="18" customHeight="1" x14ac:dyDescent="0.3">
      <c r="F289" s="2"/>
      <c r="G289" s="2"/>
      <c r="O289" s="2"/>
      <c r="P289" s="2"/>
      <c r="Q289" s="2"/>
    </row>
    <row r="290" spans="6:17" ht="18" customHeight="1" x14ac:dyDescent="0.3">
      <c r="F290" s="2"/>
      <c r="G290" s="2"/>
      <c r="O290" s="2"/>
      <c r="P290" s="2"/>
      <c r="Q290" s="2"/>
    </row>
    <row r="291" spans="6:17" ht="18" customHeight="1" x14ac:dyDescent="0.3">
      <c r="F291" s="2"/>
      <c r="G291" s="2"/>
      <c r="O291" s="2"/>
      <c r="P291" s="2"/>
      <c r="Q291" s="2"/>
    </row>
    <row r="292" spans="6:17" ht="18" customHeight="1" x14ac:dyDescent="0.3">
      <c r="F292" s="2"/>
      <c r="G292" s="2"/>
      <c r="O292" s="2"/>
      <c r="P292" s="2"/>
      <c r="Q292" s="2"/>
    </row>
    <row r="293" spans="6:17" ht="18" customHeight="1" x14ac:dyDescent="0.3">
      <c r="F293" s="2"/>
      <c r="G293" s="2"/>
      <c r="O293" s="2"/>
      <c r="P293" s="2"/>
      <c r="Q293" s="2"/>
    </row>
    <row r="294" spans="6:17" ht="18" customHeight="1" x14ac:dyDescent="0.3">
      <c r="F294" s="2"/>
      <c r="G294" s="2"/>
      <c r="O294" s="2"/>
      <c r="P294" s="2"/>
      <c r="Q294" s="2"/>
    </row>
    <row r="295" spans="6:17" ht="18" customHeight="1" x14ac:dyDescent="0.3">
      <c r="F295" s="2"/>
      <c r="G295" s="2"/>
      <c r="O295" s="2"/>
      <c r="P295" s="2"/>
      <c r="Q295" s="2"/>
    </row>
    <row r="296" spans="6:17" ht="18" customHeight="1" x14ac:dyDescent="0.3">
      <c r="F296" s="2"/>
      <c r="G296" s="2"/>
      <c r="O296" s="2"/>
      <c r="P296" s="2"/>
      <c r="Q296" s="2"/>
    </row>
    <row r="297" spans="6:17" ht="18" customHeight="1" x14ac:dyDescent="0.3">
      <c r="F297" s="2"/>
      <c r="G297" s="2"/>
      <c r="O297" s="2"/>
      <c r="P297" s="2"/>
      <c r="Q297" s="2"/>
    </row>
    <row r="298" spans="6:17" ht="18" customHeight="1" x14ac:dyDescent="0.3">
      <c r="F298" s="2"/>
      <c r="G298" s="2"/>
      <c r="O298" s="2"/>
      <c r="P298" s="2"/>
      <c r="Q298" s="2"/>
    </row>
    <row r="299" spans="6:17" ht="18" customHeight="1" x14ac:dyDescent="0.3">
      <c r="F299" s="2"/>
      <c r="G299" s="2"/>
      <c r="O299" s="2"/>
      <c r="P299" s="2"/>
      <c r="Q299" s="2"/>
    </row>
    <row r="300" spans="6:17" ht="18" customHeight="1" x14ac:dyDescent="0.3">
      <c r="F300" s="2"/>
      <c r="G300" s="2"/>
      <c r="O300" s="2"/>
      <c r="P300" s="2"/>
      <c r="Q300" s="2"/>
    </row>
    <row r="301" spans="6:17" ht="18" customHeight="1" x14ac:dyDescent="0.3">
      <c r="F301" s="2"/>
      <c r="G301" s="2"/>
      <c r="O301" s="2"/>
      <c r="P301" s="2"/>
      <c r="Q301" s="2"/>
    </row>
    <row r="302" spans="6:17" ht="18" customHeight="1" x14ac:dyDescent="0.3">
      <c r="F302" s="2"/>
      <c r="G302" s="2"/>
      <c r="O302" s="2"/>
      <c r="P302" s="2"/>
      <c r="Q302" s="2"/>
    </row>
    <row r="303" spans="6:17" ht="18" customHeight="1" x14ac:dyDescent="0.3">
      <c r="F303" s="2"/>
      <c r="G303" s="2"/>
      <c r="O303" s="2"/>
      <c r="P303" s="2"/>
      <c r="Q303" s="2"/>
    </row>
    <row r="304" spans="6:17" ht="18" customHeight="1" x14ac:dyDescent="0.3">
      <c r="F304" s="2"/>
      <c r="G304" s="2"/>
      <c r="O304" s="2"/>
      <c r="P304" s="2"/>
      <c r="Q304" s="2"/>
    </row>
    <row r="305" spans="6:17" ht="18" customHeight="1" x14ac:dyDescent="0.3">
      <c r="F305" s="2"/>
      <c r="G305" s="2"/>
      <c r="O305" s="2"/>
      <c r="P305" s="2"/>
      <c r="Q305" s="2"/>
    </row>
    <row r="306" spans="6:17" ht="18" customHeight="1" x14ac:dyDescent="0.3">
      <c r="F306" s="2"/>
      <c r="G306" s="2"/>
      <c r="O306" s="2"/>
      <c r="P306" s="2"/>
      <c r="Q306" s="2"/>
    </row>
    <row r="307" spans="6:17" ht="18" customHeight="1" x14ac:dyDescent="0.3">
      <c r="F307" s="2"/>
      <c r="G307" s="2"/>
      <c r="O307" s="2"/>
      <c r="P307" s="2"/>
      <c r="Q307" s="2"/>
    </row>
    <row r="308" spans="6:17" ht="18" customHeight="1" x14ac:dyDescent="0.3">
      <c r="F308" s="2"/>
      <c r="G308" s="2"/>
      <c r="O308" s="2"/>
      <c r="P308" s="2"/>
      <c r="Q308" s="2"/>
    </row>
    <row r="309" spans="6:17" ht="18" customHeight="1" x14ac:dyDescent="0.3">
      <c r="F309" s="2"/>
      <c r="G309" s="2"/>
      <c r="O309" s="2"/>
      <c r="P309" s="2"/>
      <c r="Q309" s="2"/>
    </row>
    <row r="310" spans="6:17" ht="18" customHeight="1" x14ac:dyDescent="0.3">
      <c r="F310" s="2"/>
      <c r="G310" s="2"/>
      <c r="O310" s="2"/>
      <c r="P310" s="2"/>
      <c r="Q310" s="2"/>
    </row>
    <row r="311" spans="6:17" ht="18" customHeight="1" x14ac:dyDescent="0.3">
      <c r="F311" s="2"/>
      <c r="G311" s="2"/>
      <c r="O311" s="2"/>
      <c r="P311" s="2"/>
      <c r="Q311" s="2"/>
    </row>
    <row r="312" spans="6:17" ht="18" customHeight="1" x14ac:dyDescent="0.3">
      <c r="F312" s="2"/>
      <c r="G312" s="2"/>
      <c r="O312" s="2"/>
      <c r="P312" s="2"/>
      <c r="Q312" s="2"/>
    </row>
    <row r="313" spans="6:17" ht="18" customHeight="1" x14ac:dyDescent="0.3">
      <c r="F313" s="2"/>
      <c r="G313" s="2"/>
      <c r="O313" s="2"/>
      <c r="P313" s="2"/>
      <c r="Q313" s="2"/>
    </row>
    <row r="314" spans="6:17" ht="18" customHeight="1" x14ac:dyDescent="0.3">
      <c r="F314" s="2"/>
      <c r="G314" s="2"/>
      <c r="O314" s="2"/>
      <c r="P314" s="2"/>
      <c r="Q314" s="2"/>
    </row>
    <row r="315" spans="6:17" ht="18" customHeight="1" x14ac:dyDescent="0.3">
      <c r="F315" s="2"/>
      <c r="G315" s="2"/>
      <c r="O315" s="2"/>
      <c r="P315" s="2"/>
      <c r="Q315" s="2"/>
    </row>
    <row r="316" spans="6:17" ht="18" customHeight="1" x14ac:dyDescent="0.3">
      <c r="F316" s="2"/>
      <c r="G316" s="2"/>
      <c r="O316" s="2"/>
      <c r="P316" s="2"/>
      <c r="Q316" s="2"/>
    </row>
    <row r="317" spans="6:17" ht="18" customHeight="1" x14ac:dyDescent="0.3">
      <c r="F317" s="2"/>
      <c r="G317" s="2"/>
      <c r="O317" s="2"/>
      <c r="P317" s="2"/>
      <c r="Q317" s="2"/>
    </row>
    <row r="318" spans="6:17" ht="18" customHeight="1" x14ac:dyDescent="0.3">
      <c r="F318" s="2"/>
      <c r="G318" s="2"/>
      <c r="O318" s="2"/>
      <c r="P318" s="2"/>
      <c r="Q318" s="2"/>
    </row>
    <row r="319" spans="6:17" ht="18" customHeight="1" x14ac:dyDescent="0.3">
      <c r="F319" s="2"/>
      <c r="G319" s="2"/>
      <c r="O319" s="2"/>
      <c r="P319" s="2"/>
      <c r="Q319" s="2"/>
    </row>
    <row r="320" spans="6:17" ht="18" customHeight="1" x14ac:dyDescent="0.3">
      <c r="F320" s="2"/>
      <c r="G320" s="2"/>
      <c r="O320" s="2"/>
      <c r="P320" s="2"/>
      <c r="Q320" s="2"/>
    </row>
    <row r="321" spans="6:17" ht="18" customHeight="1" x14ac:dyDescent="0.3">
      <c r="F321" s="2"/>
      <c r="G321" s="2"/>
      <c r="O321" s="2"/>
      <c r="P321" s="2"/>
      <c r="Q321" s="2"/>
    </row>
    <row r="322" spans="6:17" ht="18" customHeight="1" x14ac:dyDescent="0.3">
      <c r="F322" s="2"/>
      <c r="G322" s="2"/>
      <c r="O322" s="2"/>
      <c r="P322" s="2"/>
      <c r="Q322" s="2"/>
    </row>
    <row r="323" spans="6:17" ht="18" customHeight="1" x14ac:dyDescent="0.3">
      <c r="F323" s="2"/>
      <c r="G323" s="2"/>
      <c r="O323" s="2"/>
      <c r="P323" s="2"/>
      <c r="Q323" s="2"/>
    </row>
    <row r="324" spans="6:17" ht="18" customHeight="1" x14ac:dyDescent="0.3">
      <c r="F324" s="2"/>
      <c r="G324" s="2"/>
      <c r="O324" s="2"/>
      <c r="P324" s="2"/>
      <c r="Q324" s="2"/>
    </row>
    <row r="325" spans="6:17" ht="18" customHeight="1" x14ac:dyDescent="0.3">
      <c r="F325" s="2"/>
      <c r="G325" s="2"/>
      <c r="O325" s="2"/>
      <c r="P325" s="2"/>
      <c r="Q325" s="2"/>
    </row>
    <row r="326" spans="6:17" ht="18" customHeight="1" x14ac:dyDescent="0.3">
      <c r="F326" s="2"/>
      <c r="G326" s="2"/>
      <c r="O326" s="2"/>
      <c r="P326" s="2"/>
      <c r="Q326" s="2"/>
    </row>
    <row r="327" spans="6:17" ht="18" customHeight="1" x14ac:dyDescent="0.3">
      <c r="F327" s="2"/>
      <c r="G327" s="2"/>
      <c r="O327" s="2"/>
      <c r="P327" s="2"/>
      <c r="Q327" s="2"/>
    </row>
    <row r="328" spans="6:17" ht="18" customHeight="1" x14ac:dyDescent="0.3">
      <c r="F328" s="2"/>
      <c r="G328" s="2"/>
      <c r="O328" s="2"/>
      <c r="P328" s="2"/>
      <c r="Q328" s="2"/>
    </row>
    <row r="329" spans="6:17" ht="18" customHeight="1" x14ac:dyDescent="0.3">
      <c r="F329" s="2"/>
      <c r="G329" s="2"/>
      <c r="O329" s="2"/>
      <c r="P329" s="2"/>
      <c r="Q329" s="2"/>
    </row>
    <row r="330" spans="6:17" ht="18" customHeight="1" x14ac:dyDescent="0.3">
      <c r="F330" s="2"/>
      <c r="G330" s="2"/>
      <c r="O330" s="2"/>
      <c r="P330" s="2"/>
      <c r="Q330" s="2"/>
    </row>
    <row r="331" spans="6:17" ht="18" customHeight="1" x14ac:dyDescent="0.3">
      <c r="F331" s="2"/>
      <c r="G331" s="2"/>
      <c r="O331" s="2"/>
      <c r="P331" s="2"/>
      <c r="Q331" s="2"/>
    </row>
    <row r="332" spans="6:17" ht="18" customHeight="1" x14ac:dyDescent="0.3">
      <c r="F332" s="2"/>
      <c r="G332" s="2"/>
      <c r="O332" s="2"/>
      <c r="P332" s="2"/>
      <c r="Q332" s="2"/>
    </row>
    <row r="333" spans="6:17" ht="18" customHeight="1" x14ac:dyDescent="0.3">
      <c r="F333" s="2"/>
      <c r="G333" s="2"/>
      <c r="O333" s="2"/>
      <c r="P333" s="2"/>
      <c r="Q333" s="2"/>
    </row>
    <row r="334" spans="6:17" ht="18" customHeight="1" x14ac:dyDescent="0.3">
      <c r="F334" s="2"/>
      <c r="G334" s="2"/>
      <c r="O334" s="2"/>
      <c r="P334" s="2"/>
      <c r="Q334" s="2"/>
    </row>
    <row r="335" spans="6:17" ht="18" customHeight="1" x14ac:dyDescent="0.3">
      <c r="F335" s="2"/>
      <c r="G335" s="2"/>
      <c r="O335" s="2"/>
      <c r="P335" s="2"/>
      <c r="Q335" s="2"/>
    </row>
    <row r="336" spans="6:17" ht="18" customHeight="1" x14ac:dyDescent="0.3">
      <c r="F336" s="2"/>
      <c r="G336" s="2"/>
      <c r="O336" s="2"/>
      <c r="P336" s="2"/>
      <c r="Q336" s="2"/>
    </row>
    <row r="337" spans="6:17" ht="18" customHeight="1" x14ac:dyDescent="0.3">
      <c r="F337" s="2"/>
      <c r="G337" s="2"/>
      <c r="O337" s="2"/>
      <c r="P337" s="2"/>
      <c r="Q337" s="2"/>
    </row>
    <row r="338" spans="6:17" ht="18" customHeight="1" x14ac:dyDescent="0.3">
      <c r="F338" s="2"/>
      <c r="G338" s="2"/>
      <c r="O338" s="2"/>
      <c r="P338" s="2"/>
      <c r="Q338" s="2"/>
    </row>
    <row r="339" spans="6:17" ht="18" customHeight="1" x14ac:dyDescent="0.3">
      <c r="F339" s="2"/>
      <c r="G339" s="2"/>
      <c r="O339" s="2"/>
      <c r="P339" s="2"/>
      <c r="Q339" s="2"/>
    </row>
    <row r="340" spans="6:17" ht="18" customHeight="1" x14ac:dyDescent="0.3">
      <c r="F340" s="2"/>
      <c r="G340" s="2"/>
      <c r="O340" s="2"/>
      <c r="P340" s="2"/>
      <c r="Q340" s="2"/>
    </row>
    <row r="341" spans="6:17" ht="18" customHeight="1" x14ac:dyDescent="0.3">
      <c r="F341" s="2"/>
      <c r="G341" s="2"/>
      <c r="O341" s="2"/>
      <c r="P341" s="2"/>
      <c r="Q341" s="2"/>
    </row>
    <row r="342" spans="6:17" ht="18" customHeight="1" x14ac:dyDescent="0.3">
      <c r="F342" s="2"/>
      <c r="G342" s="2"/>
      <c r="O342" s="2"/>
      <c r="P342" s="2"/>
      <c r="Q342" s="2"/>
    </row>
    <row r="343" spans="6:17" ht="18" customHeight="1" x14ac:dyDescent="0.3">
      <c r="F343" s="2"/>
      <c r="G343" s="2"/>
      <c r="O343" s="2"/>
      <c r="P343" s="2"/>
      <c r="Q343" s="2"/>
    </row>
    <row r="344" spans="6:17" ht="18" customHeight="1" x14ac:dyDescent="0.3">
      <c r="F344" s="2"/>
      <c r="G344" s="2"/>
      <c r="O344" s="2"/>
      <c r="P344" s="2"/>
      <c r="Q344" s="2"/>
    </row>
    <row r="345" spans="6:17" ht="18" customHeight="1" x14ac:dyDescent="0.3">
      <c r="F345" s="2"/>
      <c r="G345" s="2"/>
      <c r="O345" s="2"/>
      <c r="P345" s="2"/>
      <c r="Q345" s="2"/>
    </row>
    <row r="346" spans="6:17" ht="18" customHeight="1" x14ac:dyDescent="0.3">
      <c r="F346" s="2"/>
      <c r="G346" s="2"/>
      <c r="O346" s="2"/>
      <c r="P346" s="2"/>
      <c r="Q346" s="2"/>
    </row>
    <row r="347" spans="6:17" ht="18" customHeight="1" x14ac:dyDescent="0.3">
      <c r="F347" s="2"/>
      <c r="G347" s="2"/>
      <c r="O347" s="2"/>
      <c r="P347" s="2"/>
      <c r="Q347" s="2"/>
    </row>
    <row r="348" spans="6:17" ht="18" customHeight="1" x14ac:dyDescent="0.3">
      <c r="F348" s="2"/>
      <c r="G348" s="2"/>
      <c r="O348" s="2"/>
      <c r="P348" s="2"/>
      <c r="Q348" s="2"/>
    </row>
    <row r="349" spans="6:17" ht="18" customHeight="1" x14ac:dyDescent="0.3">
      <c r="F349" s="2"/>
      <c r="G349" s="2"/>
      <c r="O349" s="2"/>
      <c r="P349" s="2"/>
      <c r="Q349" s="2"/>
    </row>
    <row r="350" spans="6:17" ht="18" customHeight="1" x14ac:dyDescent="0.3">
      <c r="F350" s="2"/>
      <c r="G350" s="2"/>
      <c r="O350" s="2"/>
      <c r="P350" s="2"/>
      <c r="Q350" s="2"/>
    </row>
    <row r="351" spans="6:17" ht="18" customHeight="1" x14ac:dyDescent="0.3">
      <c r="F351" s="2"/>
      <c r="G351" s="2"/>
      <c r="O351" s="2"/>
      <c r="P351" s="2"/>
      <c r="Q351" s="2"/>
    </row>
    <row r="352" spans="6:17" ht="18" customHeight="1" x14ac:dyDescent="0.3">
      <c r="F352" s="2"/>
      <c r="G352" s="2"/>
      <c r="O352" s="2"/>
      <c r="P352" s="2"/>
      <c r="Q352" s="2"/>
    </row>
    <row r="353" spans="6:17" ht="18" customHeight="1" x14ac:dyDescent="0.3">
      <c r="F353" s="2"/>
      <c r="G353" s="2"/>
      <c r="O353" s="2"/>
      <c r="P353" s="2"/>
      <c r="Q353" s="2"/>
    </row>
    <row r="354" spans="6:17" ht="18" customHeight="1" x14ac:dyDescent="0.3">
      <c r="F354" s="2"/>
      <c r="G354" s="2"/>
      <c r="O354" s="2"/>
      <c r="P354" s="2"/>
      <c r="Q354" s="2"/>
    </row>
    <row r="355" spans="6:17" ht="18" customHeight="1" x14ac:dyDescent="0.3">
      <c r="F355" s="2"/>
      <c r="G355" s="2"/>
      <c r="O355" s="2"/>
      <c r="P355" s="2"/>
      <c r="Q355" s="2"/>
    </row>
    <row r="356" spans="6:17" ht="18" customHeight="1" x14ac:dyDescent="0.3">
      <c r="F356" s="2"/>
      <c r="G356" s="2"/>
      <c r="O356" s="2"/>
      <c r="P356" s="2"/>
      <c r="Q356" s="2"/>
    </row>
    <row r="357" spans="6:17" ht="18" customHeight="1" x14ac:dyDescent="0.3">
      <c r="F357" s="2"/>
      <c r="G357" s="2"/>
      <c r="O357" s="2"/>
      <c r="P357" s="2"/>
      <c r="Q357" s="2"/>
    </row>
    <row r="358" spans="6:17" ht="18" customHeight="1" x14ac:dyDescent="0.3">
      <c r="F358" s="2"/>
      <c r="G358" s="2"/>
      <c r="O358" s="2"/>
      <c r="P358" s="2"/>
      <c r="Q358" s="2"/>
    </row>
    <row r="359" spans="6:17" ht="18" customHeight="1" x14ac:dyDescent="0.3">
      <c r="F359" s="2"/>
      <c r="G359" s="2"/>
      <c r="O359" s="2"/>
      <c r="P359" s="2"/>
      <c r="Q359" s="2"/>
    </row>
    <row r="360" spans="6:17" ht="18" customHeight="1" x14ac:dyDescent="0.3">
      <c r="F360" s="2"/>
      <c r="G360" s="2"/>
      <c r="O360" s="2"/>
      <c r="P360" s="2"/>
      <c r="Q360" s="2"/>
    </row>
    <row r="361" spans="6:17" ht="18" customHeight="1" x14ac:dyDescent="0.3">
      <c r="F361" s="2"/>
      <c r="G361" s="2"/>
      <c r="O361" s="2"/>
      <c r="P361" s="2"/>
      <c r="Q361" s="2"/>
    </row>
    <row r="362" spans="6:17" ht="18" customHeight="1" x14ac:dyDescent="0.3">
      <c r="F362" s="2"/>
      <c r="G362" s="2"/>
      <c r="O362" s="2"/>
      <c r="P362" s="2"/>
      <c r="Q362" s="2"/>
    </row>
    <row r="363" spans="6:17" ht="18" customHeight="1" x14ac:dyDescent="0.3">
      <c r="F363" s="2"/>
      <c r="G363" s="2"/>
      <c r="O363" s="2"/>
      <c r="P363" s="2"/>
      <c r="Q363" s="2"/>
    </row>
    <row r="364" spans="6:17" ht="18" customHeight="1" x14ac:dyDescent="0.3">
      <c r="F364" s="2"/>
      <c r="G364" s="2"/>
      <c r="O364" s="2"/>
      <c r="P364" s="2"/>
      <c r="Q364" s="2"/>
    </row>
    <row r="365" spans="6:17" ht="18" customHeight="1" x14ac:dyDescent="0.3">
      <c r="F365" s="2"/>
      <c r="G365" s="2"/>
      <c r="O365" s="2"/>
      <c r="P365" s="2"/>
      <c r="Q365" s="2"/>
    </row>
    <row r="366" spans="6:17" ht="18" customHeight="1" x14ac:dyDescent="0.3">
      <c r="F366" s="2"/>
      <c r="G366" s="2"/>
      <c r="O366" s="2"/>
      <c r="P366" s="2"/>
      <c r="Q366" s="2"/>
    </row>
    <row r="367" spans="6:17" ht="18" customHeight="1" x14ac:dyDescent="0.3">
      <c r="F367" s="2"/>
      <c r="G367" s="2"/>
      <c r="O367" s="2"/>
      <c r="P367" s="2"/>
      <c r="Q367" s="2"/>
    </row>
    <row r="368" spans="6:17" ht="18" customHeight="1" x14ac:dyDescent="0.3">
      <c r="F368" s="2"/>
      <c r="G368" s="2"/>
      <c r="O368" s="2"/>
      <c r="P368" s="2"/>
      <c r="Q368" s="2"/>
    </row>
    <row r="369" spans="6:17" ht="18" customHeight="1" x14ac:dyDescent="0.3">
      <c r="F369" s="2"/>
      <c r="G369" s="2"/>
      <c r="O369" s="2"/>
      <c r="P369" s="2"/>
      <c r="Q369" s="2"/>
    </row>
    <row r="370" spans="6:17" ht="18" customHeight="1" x14ac:dyDescent="0.3">
      <c r="F370" s="2"/>
      <c r="G370" s="2"/>
      <c r="O370" s="2"/>
      <c r="P370" s="2"/>
      <c r="Q370" s="2"/>
    </row>
    <row r="371" spans="6:17" ht="18" customHeight="1" x14ac:dyDescent="0.3">
      <c r="F371" s="2"/>
      <c r="G371" s="2"/>
      <c r="O371" s="2"/>
      <c r="P371" s="2"/>
      <c r="Q371" s="2"/>
    </row>
    <row r="372" spans="6:17" ht="18" customHeight="1" x14ac:dyDescent="0.3">
      <c r="F372" s="2"/>
      <c r="G372" s="2"/>
      <c r="O372" s="2"/>
      <c r="P372" s="2"/>
      <c r="Q372" s="2"/>
    </row>
    <row r="373" spans="6:17" ht="18" customHeight="1" x14ac:dyDescent="0.3">
      <c r="F373" s="2"/>
      <c r="G373" s="2"/>
      <c r="O373" s="2"/>
      <c r="P373" s="2"/>
      <c r="Q373" s="2"/>
    </row>
    <row r="374" spans="6:17" ht="19.899999999999999" customHeight="1" x14ac:dyDescent="0.3">
      <c r="F374" s="2"/>
      <c r="G374" s="2"/>
      <c r="O374" s="2"/>
      <c r="P374" s="2"/>
      <c r="Q374" s="2"/>
    </row>
    <row r="375" spans="6:17" ht="19.899999999999999" customHeight="1" x14ac:dyDescent="0.3">
      <c r="F375" s="2"/>
      <c r="G375" s="2"/>
      <c r="O375" s="2"/>
      <c r="P375" s="2"/>
      <c r="Q375" s="2"/>
    </row>
    <row r="376" spans="6:17" ht="19.899999999999999" customHeight="1" x14ac:dyDescent="0.3">
      <c r="F376" s="2"/>
      <c r="G376" s="2"/>
      <c r="O376" s="2"/>
      <c r="P376" s="2"/>
      <c r="Q376" s="2"/>
    </row>
    <row r="377" spans="6:17" ht="19.899999999999999" customHeight="1" x14ac:dyDescent="0.3">
      <c r="F377" s="2"/>
      <c r="G377" s="2"/>
      <c r="O377" s="2"/>
      <c r="P377" s="2"/>
      <c r="Q377" s="2"/>
    </row>
    <row r="378" spans="6:17" ht="19.899999999999999" customHeight="1" x14ac:dyDescent="0.3">
      <c r="F378" s="2"/>
      <c r="G378" s="2"/>
      <c r="O378" s="2"/>
      <c r="P378" s="2"/>
      <c r="Q378" s="2"/>
    </row>
    <row r="379" spans="6:17" ht="19.899999999999999" customHeight="1" x14ac:dyDescent="0.3">
      <c r="F379" s="2"/>
      <c r="G379" s="2"/>
      <c r="O379" s="2"/>
      <c r="P379" s="2"/>
      <c r="Q379" s="2"/>
    </row>
    <row r="380" spans="6:17" ht="19.899999999999999" customHeight="1" x14ac:dyDescent="0.3">
      <c r="F380" s="2"/>
      <c r="G380" s="2"/>
      <c r="O380" s="2"/>
      <c r="P380" s="2"/>
      <c r="Q380" s="2"/>
    </row>
    <row r="381" spans="6:17" ht="19.899999999999999" customHeight="1" x14ac:dyDescent="0.3">
      <c r="F381" s="2"/>
      <c r="G381" s="2"/>
      <c r="O381" s="2"/>
      <c r="P381" s="2"/>
      <c r="Q381" s="2"/>
    </row>
    <row r="382" spans="6:17" ht="19.899999999999999" customHeight="1" x14ac:dyDescent="0.3">
      <c r="F382" s="2"/>
      <c r="G382" s="2"/>
      <c r="O382" s="2"/>
      <c r="P382" s="2"/>
      <c r="Q382" s="2"/>
    </row>
    <row r="383" spans="6:17" ht="19.899999999999999" customHeight="1" x14ac:dyDescent="0.3">
      <c r="F383" s="2"/>
      <c r="G383" s="2"/>
      <c r="O383" s="2"/>
      <c r="P383" s="2"/>
      <c r="Q383" s="2"/>
    </row>
    <row r="384" spans="6:17" ht="19.899999999999999" customHeight="1" x14ac:dyDescent="0.3">
      <c r="F384" s="2"/>
      <c r="G384" s="2"/>
      <c r="O384" s="2"/>
      <c r="P384" s="2"/>
      <c r="Q384" s="2"/>
    </row>
    <row r="385" spans="6:17" ht="19.899999999999999" customHeight="1" x14ac:dyDescent="0.3">
      <c r="F385" s="2"/>
      <c r="G385" s="2"/>
      <c r="O385" s="2"/>
      <c r="P385" s="2"/>
      <c r="Q385" s="2"/>
    </row>
    <row r="386" spans="6:17" ht="19.899999999999999" customHeight="1" x14ac:dyDescent="0.3">
      <c r="F386" s="2"/>
      <c r="G386" s="2"/>
      <c r="O386" s="2"/>
      <c r="P386" s="2"/>
      <c r="Q386" s="2"/>
    </row>
    <row r="387" spans="6:17" ht="19.899999999999999" customHeight="1" x14ac:dyDescent="0.3">
      <c r="F387" s="2"/>
      <c r="G387" s="2"/>
      <c r="O387" s="2"/>
      <c r="P387" s="2"/>
      <c r="Q387" s="2"/>
    </row>
    <row r="388" spans="6:17" ht="19.899999999999999" customHeight="1" x14ac:dyDescent="0.3">
      <c r="F388" s="2"/>
      <c r="G388" s="2"/>
      <c r="O388" s="2"/>
      <c r="P388" s="2"/>
      <c r="Q388" s="2"/>
    </row>
    <row r="389" spans="6:17" ht="19.899999999999999" customHeight="1" x14ac:dyDescent="0.3">
      <c r="F389" s="2"/>
      <c r="G389" s="2"/>
      <c r="O389" s="2"/>
      <c r="P389" s="2"/>
      <c r="Q389" s="2"/>
    </row>
    <row r="390" spans="6:17" ht="19.899999999999999" customHeight="1" x14ac:dyDescent="0.3">
      <c r="F390" s="2"/>
      <c r="G390" s="2"/>
      <c r="O390" s="2"/>
      <c r="P390" s="2"/>
      <c r="Q390" s="2"/>
    </row>
    <row r="391" spans="6:17" ht="19.899999999999999" customHeight="1" x14ac:dyDescent="0.3">
      <c r="F391" s="2"/>
      <c r="G391" s="2"/>
      <c r="O391" s="2"/>
      <c r="P391" s="2"/>
      <c r="Q391" s="2"/>
    </row>
    <row r="392" spans="6:17" ht="19.899999999999999" customHeight="1" x14ac:dyDescent="0.3">
      <c r="F392" s="2"/>
      <c r="G392" s="2"/>
      <c r="O392" s="2"/>
      <c r="P392" s="2"/>
      <c r="Q392" s="2"/>
    </row>
    <row r="393" spans="6:17" ht="19.899999999999999" customHeight="1" x14ac:dyDescent="0.3">
      <c r="F393" s="2"/>
      <c r="G393" s="2"/>
      <c r="O393" s="2"/>
      <c r="P393" s="2"/>
      <c r="Q393" s="2"/>
    </row>
    <row r="394" spans="6:17" ht="19.899999999999999" customHeight="1" x14ac:dyDescent="0.3">
      <c r="F394" s="2"/>
      <c r="G394" s="2"/>
      <c r="O394" s="2"/>
      <c r="P394" s="2"/>
      <c r="Q394" s="2"/>
    </row>
    <row r="395" spans="6:17" ht="19.899999999999999" customHeight="1" x14ac:dyDescent="0.3">
      <c r="F395" s="2"/>
      <c r="G395" s="2"/>
      <c r="O395" s="2"/>
      <c r="P395" s="2"/>
      <c r="Q395" s="2"/>
    </row>
    <row r="396" spans="6:17" ht="19.899999999999999" customHeight="1" x14ac:dyDescent="0.3">
      <c r="F396" s="2"/>
      <c r="G396" s="2"/>
      <c r="O396" s="2"/>
      <c r="P396" s="2"/>
      <c r="Q396" s="2"/>
    </row>
    <row r="397" spans="6:17" ht="19.899999999999999" customHeight="1" x14ac:dyDescent="0.3">
      <c r="F397" s="2"/>
      <c r="G397" s="2"/>
      <c r="O397" s="2"/>
      <c r="P397" s="2"/>
      <c r="Q397" s="2"/>
    </row>
    <row r="398" spans="6:17" ht="19.899999999999999" customHeight="1" x14ac:dyDescent="0.3">
      <c r="F398" s="2"/>
      <c r="G398" s="2"/>
      <c r="O398" s="2"/>
      <c r="P398" s="2"/>
      <c r="Q398" s="2"/>
    </row>
    <row r="399" spans="6:17" ht="19.899999999999999" customHeight="1" x14ac:dyDescent="0.3">
      <c r="F399" s="2"/>
      <c r="G399" s="2"/>
      <c r="O399" s="2"/>
      <c r="P399" s="2"/>
      <c r="Q399" s="2"/>
    </row>
    <row r="400" spans="6:17" ht="19.899999999999999" customHeight="1" x14ac:dyDescent="0.3">
      <c r="F400" s="2"/>
      <c r="G400" s="2"/>
      <c r="O400" s="2"/>
      <c r="P400" s="2"/>
      <c r="Q400" s="2"/>
    </row>
    <row r="401" spans="6:17" ht="19.899999999999999" customHeight="1" x14ac:dyDescent="0.3">
      <c r="F401" s="2"/>
      <c r="G401" s="2"/>
      <c r="O401" s="2"/>
      <c r="P401" s="2"/>
      <c r="Q401" s="2"/>
    </row>
    <row r="402" spans="6:17" ht="19.899999999999999" customHeight="1" x14ac:dyDescent="0.3">
      <c r="F402" s="2"/>
      <c r="G402" s="2"/>
      <c r="O402" s="2"/>
      <c r="P402" s="2"/>
      <c r="Q402" s="2"/>
    </row>
    <row r="403" spans="6:17" ht="19.899999999999999" customHeight="1" x14ac:dyDescent="0.3">
      <c r="F403" s="2"/>
      <c r="G403" s="2"/>
      <c r="O403" s="2"/>
      <c r="P403" s="2"/>
      <c r="Q403" s="2"/>
    </row>
    <row r="404" spans="6:17" ht="19.899999999999999" customHeight="1" x14ac:dyDescent="0.3">
      <c r="F404" s="2"/>
      <c r="G404" s="2"/>
      <c r="O404" s="2"/>
      <c r="P404" s="2"/>
      <c r="Q404" s="2"/>
    </row>
    <row r="405" spans="6:17" ht="19.899999999999999" customHeight="1" x14ac:dyDescent="0.3">
      <c r="F405" s="2"/>
      <c r="G405" s="2"/>
      <c r="O405" s="2"/>
      <c r="P405" s="2"/>
      <c r="Q405" s="2"/>
    </row>
    <row r="406" spans="6:17" ht="19.899999999999999" customHeight="1" x14ac:dyDescent="0.3">
      <c r="F406" s="2"/>
      <c r="G406" s="2"/>
      <c r="O406" s="2"/>
      <c r="P406" s="2"/>
      <c r="Q406" s="2"/>
    </row>
    <row r="407" spans="6:17" ht="19.899999999999999" customHeight="1" x14ac:dyDescent="0.3">
      <c r="F407" s="2"/>
      <c r="G407" s="2"/>
      <c r="O407" s="2"/>
      <c r="P407" s="2"/>
      <c r="Q407" s="2"/>
    </row>
    <row r="408" spans="6:17" ht="19.899999999999999" customHeight="1" x14ac:dyDescent="0.3">
      <c r="F408" s="2"/>
      <c r="G408" s="2"/>
      <c r="O408" s="2"/>
      <c r="P408" s="2"/>
      <c r="Q408" s="2"/>
    </row>
    <row r="409" spans="6:17" ht="19.899999999999999" customHeight="1" x14ac:dyDescent="0.3">
      <c r="F409" s="2"/>
      <c r="G409" s="2"/>
      <c r="O409" s="2"/>
      <c r="P409" s="2"/>
      <c r="Q409" s="2"/>
    </row>
    <row r="410" spans="6:17" ht="19.899999999999999" customHeight="1" x14ac:dyDescent="0.3">
      <c r="F410" s="2"/>
      <c r="G410" s="2"/>
      <c r="O410" s="2"/>
      <c r="P410" s="2"/>
      <c r="Q410" s="2"/>
    </row>
    <row r="411" spans="6:17" ht="19.899999999999999" customHeight="1" x14ac:dyDescent="0.3">
      <c r="F411" s="2"/>
      <c r="G411" s="2"/>
      <c r="O411" s="2"/>
      <c r="P411" s="2"/>
      <c r="Q411" s="2"/>
    </row>
    <row r="412" spans="6:17" ht="19.899999999999999" customHeight="1" x14ac:dyDescent="0.3">
      <c r="F412" s="2"/>
      <c r="G412" s="2"/>
      <c r="O412" s="2"/>
      <c r="P412" s="2"/>
      <c r="Q412" s="2"/>
    </row>
    <row r="413" spans="6:17" ht="19.899999999999999" customHeight="1" x14ac:dyDescent="0.3">
      <c r="F413" s="2"/>
      <c r="G413" s="2"/>
      <c r="O413" s="2"/>
      <c r="P413" s="2"/>
      <c r="Q413" s="2"/>
    </row>
    <row r="414" spans="6:17" ht="19.899999999999999" customHeight="1" x14ac:dyDescent="0.3">
      <c r="F414" s="2"/>
      <c r="G414" s="2"/>
      <c r="O414" s="2"/>
      <c r="P414" s="2"/>
      <c r="Q414" s="2"/>
    </row>
    <row r="415" spans="6:17" ht="19.899999999999999" customHeight="1" x14ac:dyDescent="0.3">
      <c r="F415" s="2"/>
      <c r="G415" s="2"/>
      <c r="O415" s="2"/>
      <c r="P415" s="2"/>
      <c r="Q415" s="2"/>
    </row>
    <row r="416" spans="6:17" ht="19.899999999999999" customHeight="1" x14ac:dyDescent="0.3">
      <c r="O416" s="2"/>
      <c r="P416" s="2"/>
      <c r="Q416" s="2"/>
    </row>
    <row r="417" spans="15:17" ht="19.899999999999999" customHeight="1" x14ac:dyDescent="0.3">
      <c r="O417" s="2"/>
      <c r="P417" s="2"/>
      <c r="Q417" s="2"/>
    </row>
    <row r="418" spans="15:17" ht="19.899999999999999" customHeight="1" x14ac:dyDescent="0.3">
      <c r="O418" s="2"/>
      <c r="P418" s="2"/>
      <c r="Q418" s="2"/>
    </row>
    <row r="419" spans="15:17" ht="19.899999999999999" customHeight="1" x14ac:dyDescent="0.3">
      <c r="O419" s="2"/>
      <c r="P419" s="2"/>
      <c r="Q419" s="2"/>
    </row>
    <row r="420" spans="15:17" ht="19.899999999999999" customHeight="1" x14ac:dyDescent="0.3">
      <c r="O420" s="2"/>
      <c r="P420" s="2"/>
      <c r="Q420" s="2"/>
    </row>
    <row r="421" spans="15:17" ht="19.899999999999999" customHeight="1" x14ac:dyDescent="0.3">
      <c r="O421" s="2"/>
      <c r="P421" s="2"/>
      <c r="Q421" s="2"/>
    </row>
    <row r="422" spans="15:17" ht="19.899999999999999" customHeight="1" x14ac:dyDescent="0.3">
      <c r="O422" s="2"/>
      <c r="P422" s="2"/>
      <c r="Q422" s="2"/>
    </row>
    <row r="423" spans="15:17" ht="19.899999999999999" customHeight="1" x14ac:dyDescent="0.3">
      <c r="O423" s="2"/>
      <c r="P423" s="2"/>
      <c r="Q423" s="2"/>
    </row>
    <row r="424" spans="15:17" ht="19.899999999999999" customHeight="1" x14ac:dyDescent="0.3">
      <c r="O424" s="2"/>
      <c r="P424" s="2"/>
      <c r="Q424" s="2"/>
    </row>
    <row r="425" spans="15:17" ht="19.899999999999999" customHeight="1" x14ac:dyDescent="0.3">
      <c r="O425" s="2"/>
      <c r="P425" s="2"/>
      <c r="Q425" s="2"/>
    </row>
    <row r="426" spans="15:17" ht="19.899999999999999" customHeight="1" x14ac:dyDescent="0.3">
      <c r="O426" s="2"/>
      <c r="P426" s="2"/>
      <c r="Q426" s="2"/>
    </row>
    <row r="427" spans="15:17" ht="19.899999999999999" customHeight="1" x14ac:dyDescent="0.3">
      <c r="O427" s="2"/>
      <c r="P427" s="2"/>
      <c r="Q427" s="2"/>
    </row>
    <row r="428" spans="15:17" ht="19.899999999999999" customHeight="1" x14ac:dyDescent="0.3">
      <c r="O428" s="2"/>
      <c r="P428" s="2"/>
      <c r="Q428" s="2"/>
    </row>
    <row r="429" spans="15:17" ht="19.899999999999999" customHeight="1" x14ac:dyDescent="0.3">
      <c r="O429" s="2"/>
      <c r="P429" s="2"/>
      <c r="Q429" s="2"/>
    </row>
    <row r="430" spans="15:17" x14ac:dyDescent="0.3">
      <c r="O430" s="2"/>
      <c r="P430" s="2"/>
      <c r="Q430" s="2"/>
    </row>
    <row r="431" spans="15:17" x14ac:dyDescent="0.3">
      <c r="O431" s="2"/>
      <c r="P431" s="2"/>
      <c r="Q431" s="2"/>
    </row>
    <row r="432" spans="15:17" x14ac:dyDescent="0.3">
      <c r="O432" s="2"/>
      <c r="P432" s="2"/>
      <c r="Q432" s="2"/>
    </row>
    <row r="433" spans="15:17" x14ac:dyDescent="0.3">
      <c r="O433" s="2"/>
      <c r="P433" s="2"/>
      <c r="Q433" s="2"/>
    </row>
    <row r="434" spans="15:17" x14ac:dyDescent="0.3"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J30:V30"/>
    <mergeCell ref="F33:G33"/>
    <mergeCell ref="U33:V33"/>
    <mergeCell ref="G12:G13"/>
    <mergeCell ref="H12:H13"/>
    <mergeCell ref="B12:B13"/>
    <mergeCell ref="C12:C13"/>
    <mergeCell ref="D12:D13"/>
    <mergeCell ref="E12:E13"/>
    <mergeCell ref="F12:F13"/>
    <mergeCell ref="B1:T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9:H9"/>
    <mergeCell ref="H24:H25"/>
    <mergeCell ref="B21:B22"/>
    <mergeCell ref="C21:C22"/>
    <mergeCell ref="D21:D22"/>
    <mergeCell ref="E21:E22"/>
    <mergeCell ref="F21:F22"/>
    <mergeCell ref="C24:C25"/>
    <mergeCell ref="D24:D25"/>
    <mergeCell ref="E24:E25"/>
    <mergeCell ref="F24:F25"/>
    <mergeCell ref="G24:G25"/>
    <mergeCell ref="J9:T9"/>
    <mergeCell ref="G27:G28"/>
    <mergeCell ref="H27:H28"/>
    <mergeCell ref="B30:H30"/>
    <mergeCell ref="B27:B28"/>
    <mergeCell ref="C27:C28"/>
    <mergeCell ref="D27:D28"/>
    <mergeCell ref="E27:E28"/>
    <mergeCell ref="F27:F28"/>
    <mergeCell ref="G21:G22"/>
    <mergeCell ref="H21:H22"/>
    <mergeCell ref="B24:B25"/>
  </mergeCells>
  <phoneticPr fontId="3" type="noConversion"/>
  <conditionalFormatting sqref="B11:H11 B14:H14 B17:H17 B20:H20 B23:H23 B26:H26">
    <cfRule type="expression" dxfId="74" priority="6">
      <formula>MONTH(B11)&lt;&gt;$A$2</formula>
    </cfRule>
  </conditionalFormatting>
  <conditionalFormatting sqref="B11:H28">
    <cfRule type="expression" dxfId="73" priority="5">
      <formula>B11="무지출"</formula>
    </cfRule>
  </conditionalFormatting>
  <conditionalFormatting sqref="U58:U78 U81:U84 U106:U165">
    <cfRule type="expression" dxfId="35" priority="4">
      <formula>$U58&lt;0</formula>
    </cfRule>
  </conditionalFormatting>
  <conditionalFormatting sqref="U86:U104">
    <cfRule type="expression" dxfId="34" priority="3">
      <formula>$U86&lt;0</formula>
    </cfRule>
  </conditionalFormatting>
  <conditionalFormatting sqref="U85">
    <cfRule type="expression" dxfId="33" priority="2">
      <formula>$U85&lt;0</formula>
    </cfRule>
  </conditionalFormatting>
  <conditionalFormatting sqref="U105">
    <cfRule type="expression" dxfId="32" priority="1">
      <formula>$U105&lt;0</formula>
    </cfRule>
  </conditionalFormatting>
  <dataValidations count="5"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C58:C77 C34:C53 K34:K53 K58:K77 K81:K165">
      <formula1>_10_대상분류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/>
    <pageSetUpPr autoPageBreaks="0" fitToPage="1"/>
  </sheetPr>
  <dimension ref="A1:Z434"/>
  <sheetViews>
    <sheetView showGridLines="0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16384" width="8.875" style="1"/>
  </cols>
  <sheetData>
    <row r="1" spans="1:26" ht="16.5" customHeight="1" x14ac:dyDescent="0.3">
      <c r="A1" s="407">
        <f>메인!$R$3</f>
        <v>2025</v>
      </c>
      <c r="B1" s="541" t="s">
        <v>128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6" ht="16.5" customHeight="1" x14ac:dyDescent="0.3">
      <c r="A2" s="408">
        <f>메인!$I$11</f>
        <v>5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6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4" spans="1:26" x14ac:dyDescent="0.3">
      <c r="Z4" s="121"/>
    </row>
    <row r="5" spans="1:26" ht="19.899999999999999" customHeight="1" x14ac:dyDescent="0.3">
      <c r="B5" s="56" t="s">
        <v>64</v>
      </c>
      <c r="C5" s="59">
        <f>SUM($C$32+$C$56)</f>
        <v>15000</v>
      </c>
      <c r="F5" s="363"/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S5" s="38"/>
      <c r="T5" s="38"/>
      <c r="V5" s="115"/>
      <c r="W5" s="116"/>
      <c r="Y5" s="117"/>
      <c r="Z5" s="118"/>
    </row>
    <row r="6" spans="1:26" ht="19.899999999999999" customHeight="1" x14ac:dyDescent="0.3">
      <c r="B6" s="56" t="s">
        <v>65</v>
      </c>
      <c r="C6" s="75">
        <f>SUM($K$32+$L$56)</f>
        <v>2625100</v>
      </c>
      <c r="F6" s="363"/>
      <c r="G6" s="363"/>
      <c r="H6" s="97"/>
      <c r="J6" s="350"/>
      <c r="K6" s="394"/>
      <c r="L6" s="394"/>
      <c r="M6" s="394"/>
      <c r="N6" s="394"/>
      <c r="O6" s="394"/>
      <c r="P6" s="394"/>
      <c r="Q6" s="352"/>
      <c r="R6" s="394"/>
      <c r="S6" s="394"/>
      <c r="T6" s="394"/>
      <c r="V6" s="115"/>
      <c r="W6" s="116"/>
      <c r="Y6" s="117"/>
      <c r="Z6" s="121"/>
    </row>
    <row r="7" spans="1:26" ht="19.899999999999999" customHeight="1" x14ac:dyDescent="0.3">
      <c r="B7" s="62" t="s">
        <v>43</v>
      </c>
      <c r="C7" s="57">
        <f>$C$5-$C$6</f>
        <v>-2610100</v>
      </c>
      <c r="J7" s="351"/>
      <c r="K7" s="395"/>
      <c r="L7" s="395"/>
      <c r="M7" s="395"/>
      <c r="N7" s="395"/>
      <c r="O7" s="395"/>
      <c r="P7" s="395"/>
      <c r="Q7" s="353"/>
      <c r="R7" s="395"/>
      <c r="S7" s="395"/>
      <c r="T7" s="395"/>
      <c r="V7" s="62"/>
      <c r="W7" s="120"/>
      <c r="Y7" s="117"/>
      <c r="Z7" s="121"/>
    </row>
    <row r="8" spans="1:26" ht="19.899999999999999" customHeight="1" x14ac:dyDescent="0.3">
      <c r="E8" s="3"/>
      <c r="F8" s="3"/>
      <c r="G8" s="412" t="s">
        <v>257</v>
      </c>
      <c r="H8" s="413">
        <f ca="1">COUNTIF(B10:H28,"무지출")</f>
        <v>31</v>
      </c>
      <c r="Y8" s="121"/>
    </row>
    <row r="9" spans="1:26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Y9" s="121"/>
    </row>
    <row r="10" spans="1:26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  <c r="Y10" s="121"/>
    </row>
    <row r="11" spans="1:26" ht="19.899999999999999" customHeight="1" x14ac:dyDescent="0.3">
      <c r="B11" s="404">
        <f>DATE($A$1,$A$2,1)-WEEKDAY(DATE($A$1,$A$2,1))+1</f>
        <v>45774</v>
      </c>
      <c r="C11" s="405">
        <f>B11+1</f>
        <v>45775</v>
      </c>
      <c r="D11" s="405">
        <f t="shared" ref="D11:H11" si="0">C11+1</f>
        <v>45776</v>
      </c>
      <c r="E11" s="405">
        <f t="shared" si="0"/>
        <v>45777</v>
      </c>
      <c r="F11" s="405">
        <f t="shared" si="0"/>
        <v>45778</v>
      </c>
      <c r="G11" s="405">
        <f t="shared" si="0"/>
        <v>45779</v>
      </c>
      <c r="H11" s="406">
        <f t="shared" si="0"/>
        <v>45780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VLOOKUP(J11,예산!$B$41:$N$53,6,FALSE)</f>
        <v>0</v>
      </c>
      <c r="M11" s="428">
        <f t="shared" ref="M11:M23" si="1">L11-K11</f>
        <v>0</v>
      </c>
      <c r="N11" s="437">
        <f>VLOOKUP(J11,'4월'!$J$10:$K$23,2,FALSE)</f>
        <v>0</v>
      </c>
      <c r="O11" s="439">
        <f t="shared" ref="O11:O23" si="2">K11-N11</f>
        <v>0</v>
      </c>
      <c r="P11" s="3"/>
      <c r="Y11" s="121"/>
    </row>
    <row r="12" spans="1:26" ht="19.899999999999999" customHeight="1" x14ac:dyDescent="0.3">
      <c r="B12" s="532" t="str">
        <f t="shared" ref="B12:H12" ca="1" si="3">IF(MONTH(B11)&lt;&gt;$A$2,"",IF(AND(SUMIF($J$81:$J$164,B11,$R$81:$R$164)=0,B11&lt;TODAY()),"무지출",SUMIF($J$81:$J$164,B11,$R$81:$R$164)))</f>
        <v/>
      </c>
      <c r="C12" s="533" t="str">
        <f t="shared" ca="1" si="3"/>
        <v/>
      </c>
      <c r="D12" s="533" t="str">
        <f t="shared" ca="1" si="3"/>
        <v/>
      </c>
      <c r="E12" s="533" t="str">
        <f t="shared" ca="1" si="3"/>
        <v/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VLOOKUP(J12,예산!$B$41:$N$53,6,FALSE)</f>
        <v>0</v>
      </c>
      <c r="M12" s="428">
        <f t="shared" si="1"/>
        <v>-212000</v>
      </c>
      <c r="N12" s="437">
        <f>VLOOKUP(J12,'4월'!$J$10:$K$23,2,FALSE)</f>
        <v>212000</v>
      </c>
      <c r="O12" s="439">
        <f t="shared" si="2"/>
        <v>0</v>
      </c>
      <c r="P12" s="3"/>
      <c r="Y12" s="121"/>
    </row>
    <row r="13" spans="1:26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VLOOKUP(J13,예산!$B$41:$N$53,6,FALSE)</f>
        <v>0</v>
      </c>
      <c r="M13" s="428">
        <f t="shared" si="1"/>
        <v>0</v>
      </c>
      <c r="N13" s="437">
        <f>VLOOKUP(J13,'4월'!$J$10:$K$23,2,FALSE)</f>
        <v>0</v>
      </c>
      <c r="O13" s="439">
        <f t="shared" si="2"/>
        <v>0</v>
      </c>
      <c r="P13" s="3"/>
      <c r="Y13" s="121"/>
    </row>
    <row r="14" spans="1:26" ht="19.899999999999999" customHeight="1" x14ac:dyDescent="0.3">
      <c r="B14" s="404">
        <f>B11+7</f>
        <v>45781</v>
      </c>
      <c r="C14" s="405">
        <f t="shared" ref="C14:H14" si="5">C11+7</f>
        <v>45782</v>
      </c>
      <c r="D14" s="405">
        <f t="shared" si="5"/>
        <v>45783</v>
      </c>
      <c r="E14" s="405">
        <f t="shared" si="5"/>
        <v>45784</v>
      </c>
      <c r="F14" s="405">
        <f t="shared" si="5"/>
        <v>45785</v>
      </c>
      <c r="G14" s="405">
        <f t="shared" si="5"/>
        <v>45786</v>
      </c>
      <c r="H14" s="406">
        <f t="shared" si="5"/>
        <v>45787</v>
      </c>
      <c r="J14" s="369" t="str">
        <f>항목!H$3</f>
        <v>반려동물비</v>
      </c>
      <c r="K14" s="426">
        <f t="shared" si="4"/>
        <v>0</v>
      </c>
      <c r="L14" s="426">
        <f>VLOOKUP(J14,예산!$B$41:$N$53,6,FALSE)</f>
        <v>0</v>
      </c>
      <c r="M14" s="428">
        <f t="shared" si="1"/>
        <v>0</v>
      </c>
      <c r="N14" s="437">
        <f>VLOOKUP(J14,'4월'!$J$10:$K$23,2,FALSE)</f>
        <v>0</v>
      </c>
      <c r="O14" s="439">
        <f t="shared" si="2"/>
        <v>0</v>
      </c>
      <c r="P14" s="3"/>
      <c r="Y14" s="121"/>
    </row>
    <row r="15" spans="1:26" ht="19.899999999999999" customHeight="1" x14ac:dyDescent="0.3">
      <c r="B15" s="532" t="str">
        <f t="shared" ref="B15:H15" ca="1" si="6">IF(MONTH(B14)&lt;&gt;$A$2,"",IF(AND(SUMIF($J$81:$J$164,B14,$R$81:$R$164)=0,B14&lt;TODAY()),"무지출",SUMIF($J$81:$J$164,B14,$R$81:$R$164)))</f>
        <v>무지출</v>
      </c>
      <c r="C15" s="533" t="str">
        <f t="shared" ca="1" si="6"/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VLOOKUP(J15,예산!$B$41:$N$53,6,FALSE)</f>
        <v>0</v>
      </c>
      <c r="M15" s="428">
        <f t="shared" si="1"/>
        <v>0</v>
      </c>
      <c r="N15" s="437">
        <f>VLOOKUP(J15,'4월'!$J$10:$K$23,2,FALSE)</f>
        <v>0</v>
      </c>
      <c r="O15" s="439">
        <f t="shared" si="2"/>
        <v>0</v>
      </c>
      <c r="P15" s="3"/>
      <c r="Y15" s="121"/>
    </row>
    <row r="16" spans="1:26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VLOOKUP(J16,예산!$B$41:$N$53,6,FALSE)</f>
        <v>0</v>
      </c>
      <c r="M16" s="428">
        <f t="shared" si="1"/>
        <v>0</v>
      </c>
      <c r="N16" s="437">
        <f>VLOOKUP(J16,'4월'!$J$10:$K$23,2,FALSE)</f>
        <v>0</v>
      </c>
      <c r="O16" s="439">
        <f t="shared" si="2"/>
        <v>0</v>
      </c>
      <c r="P16" s="3"/>
      <c r="Y16" s="121"/>
    </row>
    <row r="17" spans="2:25" ht="19.899999999999999" customHeight="1" x14ac:dyDescent="0.3">
      <c r="B17" s="404">
        <f>B11+14</f>
        <v>45788</v>
      </c>
      <c r="C17" s="405">
        <f t="shared" ref="C17:H17" si="7">C11+14</f>
        <v>45789</v>
      </c>
      <c r="D17" s="405">
        <f t="shared" si="7"/>
        <v>45790</v>
      </c>
      <c r="E17" s="405">
        <f t="shared" si="7"/>
        <v>45791</v>
      </c>
      <c r="F17" s="405">
        <f t="shared" si="7"/>
        <v>45792</v>
      </c>
      <c r="G17" s="405">
        <f t="shared" si="7"/>
        <v>45793</v>
      </c>
      <c r="H17" s="406">
        <f t="shared" si="7"/>
        <v>45794</v>
      </c>
      <c r="J17" s="369" t="str">
        <f>항목!K$3</f>
        <v>문화생활비</v>
      </c>
      <c r="K17" s="426">
        <f t="shared" si="4"/>
        <v>63100</v>
      </c>
      <c r="L17" s="426">
        <f>VLOOKUP(J17,예산!$B$41:$N$53,6,FALSE)</f>
        <v>0</v>
      </c>
      <c r="M17" s="428">
        <f t="shared" si="1"/>
        <v>-63100</v>
      </c>
      <c r="N17" s="437">
        <f>VLOOKUP(J17,'4월'!$J$10:$K$23,2,FALSE)</f>
        <v>63100</v>
      </c>
      <c r="O17" s="439">
        <f t="shared" si="2"/>
        <v>0</v>
      </c>
      <c r="P17" s="3"/>
      <c r="Y17" s="121"/>
    </row>
    <row r="18" spans="2:25" ht="19.899999999999999" customHeight="1" x14ac:dyDescent="0.3">
      <c r="B18" s="532" t="str">
        <f t="shared" ref="B18:H18" ca="1" si="8">IF(MONTH(B17)&lt;&gt;$A$2,"",IF(AND(SUMIF($J$81:$J$164,B17,$R$81:$R$164)=0,B17&lt;TODAY()),"무지출",SUMIF($J$81:$J$164,B17,$R$81:$R$164)))</f>
        <v>무지출</v>
      </c>
      <c r="C18" s="533" t="str">
        <f t="shared" ca="1" si="8"/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VLOOKUP(J18,예산!$B$41:$N$53,6,FALSE)</f>
        <v>0</v>
      </c>
      <c r="M18" s="428">
        <f t="shared" si="1"/>
        <v>0</v>
      </c>
      <c r="N18" s="437">
        <f>VLOOKUP(J18,'4월'!$J$10:$K$23,2,FALSE)</f>
        <v>0</v>
      </c>
      <c r="O18" s="439">
        <f t="shared" si="2"/>
        <v>0</v>
      </c>
      <c r="P18" s="3"/>
      <c r="Y18" s="121"/>
    </row>
    <row r="19" spans="2:25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VLOOKUP(J19,예산!$B$41:$N$53,6,FALSE)</f>
        <v>0</v>
      </c>
      <c r="M19" s="428">
        <f t="shared" si="1"/>
        <v>0</v>
      </c>
      <c r="N19" s="437">
        <f>VLOOKUP(J19,'4월'!$J$10:$K$23,2,FALSE)</f>
        <v>0</v>
      </c>
      <c r="O19" s="439">
        <f t="shared" si="2"/>
        <v>0</v>
      </c>
      <c r="P19" s="3"/>
      <c r="Y19" s="121"/>
    </row>
    <row r="20" spans="2:25" ht="19.899999999999999" customHeight="1" x14ac:dyDescent="0.3">
      <c r="B20" s="404">
        <f>B11+21</f>
        <v>45795</v>
      </c>
      <c r="C20" s="405">
        <f t="shared" ref="C20:H20" si="9">C11+21</f>
        <v>45796</v>
      </c>
      <c r="D20" s="405">
        <f t="shared" si="9"/>
        <v>45797</v>
      </c>
      <c r="E20" s="405">
        <f t="shared" si="9"/>
        <v>45798</v>
      </c>
      <c r="F20" s="405">
        <f t="shared" si="9"/>
        <v>45799</v>
      </c>
      <c r="G20" s="405">
        <f t="shared" si="9"/>
        <v>45800</v>
      </c>
      <c r="H20" s="406">
        <f t="shared" si="9"/>
        <v>45801</v>
      </c>
      <c r="J20" s="369" t="str">
        <f>항목!N$3</f>
        <v>통신비</v>
      </c>
      <c r="K20" s="426">
        <f t="shared" si="4"/>
        <v>0</v>
      </c>
      <c r="L20" s="426">
        <f>VLOOKUP(J20,예산!$B$41:$N$53,6,FALSE)</f>
        <v>0</v>
      </c>
      <c r="M20" s="428">
        <f t="shared" si="1"/>
        <v>0</v>
      </c>
      <c r="N20" s="437">
        <f>VLOOKUP(J20,'4월'!$J$10:$K$23,2,FALSE)</f>
        <v>0</v>
      </c>
      <c r="O20" s="439">
        <f t="shared" si="2"/>
        <v>0</v>
      </c>
      <c r="P20" s="3"/>
      <c r="Y20" s="121"/>
    </row>
    <row r="21" spans="2:25" ht="19.899999999999999" customHeight="1" x14ac:dyDescent="0.3">
      <c r="B21" s="532" t="str">
        <f t="shared" ref="B21:H21" ca="1" si="10">IF(MONTH(B20)&lt;&gt;$A$2,"",IF(AND(SUMIF($J$81:$J$164,B20,$R$81:$R$164)=0,B20&lt;TODAY()),"무지출",SUMIF($J$81:$J$164,B20,$R$81:$R$164)))</f>
        <v>무지출</v>
      </c>
      <c r="C21" s="533" t="str">
        <f t="shared" ca="1" si="10"/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VLOOKUP(J21,예산!$B$41:$N$53,6,FALSE)</f>
        <v>0</v>
      </c>
      <c r="M21" s="428">
        <f t="shared" si="1"/>
        <v>0</v>
      </c>
      <c r="N21" s="437">
        <f>VLOOKUP(J21,'4월'!$J$10:$K$23,2,FALSE)</f>
        <v>0</v>
      </c>
      <c r="O21" s="439">
        <f t="shared" si="2"/>
        <v>0</v>
      </c>
      <c r="P21" s="3"/>
      <c r="Y21" s="121"/>
    </row>
    <row r="22" spans="2:25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VLOOKUP(J22,예산!$B$41:$N$53,6,FALSE)</f>
        <v>0</v>
      </c>
      <c r="M22" s="428">
        <f t="shared" si="1"/>
        <v>0</v>
      </c>
      <c r="N22" s="437">
        <f>VLOOKUP(J22,'4월'!$J$10:$K$23,2,FALSE)</f>
        <v>0</v>
      </c>
      <c r="O22" s="439">
        <f t="shared" si="2"/>
        <v>0</v>
      </c>
      <c r="P22" s="3"/>
      <c r="Y22" s="121"/>
    </row>
    <row r="23" spans="2:25" ht="19.899999999999999" customHeight="1" x14ac:dyDescent="0.3">
      <c r="B23" s="404">
        <f>B11+28</f>
        <v>45802</v>
      </c>
      <c r="C23" s="405">
        <f t="shared" ref="C23:H23" si="11">C11+28</f>
        <v>45803</v>
      </c>
      <c r="D23" s="405">
        <f t="shared" si="11"/>
        <v>45804</v>
      </c>
      <c r="E23" s="405">
        <f t="shared" si="11"/>
        <v>45805</v>
      </c>
      <c r="F23" s="405">
        <f t="shared" si="11"/>
        <v>45806</v>
      </c>
      <c r="G23" s="405">
        <f t="shared" si="11"/>
        <v>45807</v>
      </c>
      <c r="H23" s="406">
        <f t="shared" si="11"/>
        <v>45808</v>
      </c>
      <c r="J23" s="332" t="str">
        <f>항목!Q$3</f>
        <v>추가항목</v>
      </c>
      <c r="K23" s="426">
        <f t="shared" si="4"/>
        <v>0</v>
      </c>
      <c r="L23" s="427">
        <f>VLOOKUP(J23,예산!$B$41:$N$53,6,FALSE)</f>
        <v>0</v>
      </c>
      <c r="M23" s="429">
        <f t="shared" si="1"/>
        <v>0</v>
      </c>
      <c r="N23" s="438">
        <f>VLOOKUP(J23,'4월'!$J$10:$K$23,2,FALSE)</f>
        <v>0</v>
      </c>
      <c r="O23" s="440">
        <f t="shared" si="2"/>
        <v>0</v>
      </c>
      <c r="P23" s="3"/>
      <c r="Y23" s="121"/>
    </row>
    <row r="24" spans="2:25" ht="19.899999999999999" customHeight="1" x14ac:dyDescent="0.3">
      <c r="B24" s="532" t="str">
        <f t="shared" ref="B24:H24" ca="1" si="12">IF(MONTH(B23)&lt;&gt;$A$2,"",IF(AND(SUMIF($J$81:$J$164,B23,$R$81:$R$164)=0,B23&lt;TODAY()),"무지출",SUMIF($J$81:$J$164,B23,$R$81:$R$164)))</f>
        <v>무지출</v>
      </c>
      <c r="C24" s="533" t="str">
        <f t="shared" ca="1" si="12"/>
        <v>무지출</v>
      </c>
      <c r="D24" s="533" t="str">
        <f t="shared" ca="1" si="12"/>
        <v>무지출</v>
      </c>
      <c r="E24" s="533" t="str">
        <f t="shared" ca="1" si="12"/>
        <v>무지출</v>
      </c>
      <c r="F24" s="533" t="str">
        <f t="shared" ca="1" si="12"/>
        <v>무지출</v>
      </c>
      <c r="G24" s="533" t="str">
        <f t="shared" ca="1" si="12"/>
        <v>무지출</v>
      </c>
      <c r="H24" s="534" t="str">
        <f t="shared" ca="1" si="12"/>
        <v>무지출</v>
      </c>
      <c r="Y24" s="121"/>
    </row>
    <row r="25" spans="2:25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Y25" s="121"/>
    </row>
    <row r="26" spans="2:25" ht="19.899999999999999" customHeight="1" x14ac:dyDescent="0.3">
      <c r="B26" s="404">
        <f>B11+35</f>
        <v>45809</v>
      </c>
      <c r="C26" s="405">
        <f t="shared" ref="C26:H26" si="13">C11+35</f>
        <v>45810</v>
      </c>
      <c r="D26" s="405">
        <f t="shared" si="13"/>
        <v>45811</v>
      </c>
      <c r="E26" s="405">
        <f t="shared" si="13"/>
        <v>45812</v>
      </c>
      <c r="F26" s="405">
        <f t="shared" si="13"/>
        <v>45813</v>
      </c>
      <c r="G26" s="405">
        <f t="shared" si="13"/>
        <v>45814</v>
      </c>
      <c r="H26" s="406">
        <f t="shared" si="13"/>
        <v>45815</v>
      </c>
      <c r="J26" s="446"/>
      <c r="K26" s="368"/>
      <c r="L26" s="368"/>
      <c r="M26" s="368"/>
      <c r="N26" s="368"/>
      <c r="O26" s="368"/>
      <c r="Y26" s="121"/>
    </row>
    <row r="27" spans="2:25" ht="19.899999999999999" customHeight="1" x14ac:dyDescent="0.3">
      <c r="B27" s="532" t="str">
        <f t="shared" ref="B27:H27" ca="1" si="14">IF(MONTH(B26)&lt;&gt;$A$2,"",IF(AND(SUMIF($J$81:$J$164,B26,$R$81:$R$164)=0,B26&lt;TODAY()),"무지출",SUMIF($J$81:$J$164,B26,$R$81:$R$164)))</f>
        <v/>
      </c>
      <c r="C27" s="533" t="str">
        <f t="shared" ca="1" si="14"/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  <c r="Y27" s="121"/>
    </row>
    <row r="28" spans="2:25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Y28" s="121"/>
    </row>
    <row r="29" spans="2:25" ht="19.899999999999999" customHeight="1" x14ac:dyDescent="0.3">
      <c r="Y29" s="121"/>
    </row>
    <row r="30" spans="2:25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5" ht="10.15" customHeight="1" x14ac:dyDescent="0.3"/>
    <row r="32" spans="2:25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E168" s="2"/>
      <c r="F168" s="2"/>
      <c r="G168" s="2"/>
      <c r="O168" s="2"/>
      <c r="P168" s="2"/>
      <c r="Q168" s="2"/>
    </row>
    <row r="169" spans="1:23" ht="18" customHeight="1" x14ac:dyDescent="0.3">
      <c r="E169" s="2"/>
      <c r="F169" s="2"/>
      <c r="G169" s="2"/>
      <c r="O169" s="2"/>
      <c r="P169" s="2"/>
      <c r="Q169" s="2"/>
    </row>
    <row r="170" spans="1:23" ht="18" customHeight="1" x14ac:dyDescent="0.3">
      <c r="E170" s="2"/>
      <c r="F170" s="2"/>
      <c r="G170" s="2"/>
      <c r="O170" s="2"/>
      <c r="P170" s="2"/>
      <c r="Q170" s="2"/>
    </row>
    <row r="171" spans="1:23" ht="18" customHeight="1" x14ac:dyDescent="0.3">
      <c r="E171" s="2"/>
      <c r="F171" s="2"/>
      <c r="G171" s="2"/>
      <c r="O171" s="2"/>
      <c r="P171" s="2"/>
      <c r="Q171" s="2"/>
    </row>
    <row r="172" spans="1:23" ht="18" customHeight="1" x14ac:dyDescent="0.3">
      <c r="E172" s="2"/>
      <c r="F172" s="2"/>
      <c r="G172" s="2"/>
      <c r="O172" s="2"/>
      <c r="P172" s="2"/>
      <c r="Q172" s="2"/>
    </row>
    <row r="173" spans="1:23" ht="18" customHeight="1" x14ac:dyDescent="0.3">
      <c r="E173" s="2"/>
      <c r="F173" s="2"/>
      <c r="G173" s="2"/>
      <c r="O173" s="2"/>
      <c r="P173" s="2"/>
      <c r="Q173" s="2"/>
    </row>
    <row r="174" spans="1:23" ht="18" customHeight="1" x14ac:dyDescent="0.3">
      <c r="E174" s="2"/>
      <c r="F174" s="2"/>
      <c r="G174" s="2"/>
      <c r="O174" s="2"/>
      <c r="P174" s="2"/>
      <c r="Q174" s="2"/>
    </row>
    <row r="175" spans="1:23" ht="18" customHeight="1" x14ac:dyDescent="0.3">
      <c r="E175" s="2"/>
      <c r="F175" s="2"/>
      <c r="G175" s="2"/>
      <c r="O175" s="2"/>
      <c r="P175" s="2"/>
      <c r="Q175" s="2"/>
    </row>
    <row r="176" spans="1:23" ht="18" customHeight="1" x14ac:dyDescent="0.3">
      <c r="E176" s="2"/>
      <c r="F176" s="2"/>
      <c r="G176" s="2"/>
      <c r="O176" s="2"/>
      <c r="P176" s="2"/>
      <c r="Q176" s="2"/>
    </row>
    <row r="177" spans="5:17" ht="18" customHeight="1" x14ac:dyDescent="0.3">
      <c r="E177" s="2"/>
      <c r="F177" s="2"/>
      <c r="G177" s="2"/>
      <c r="O177" s="2"/>
      <c r="P177" s="2"/>
      <c r="Q177" s="2"/>
    </row>
    <row r="178" spans="5:17" ht="18" customHeight="1" x14ac:dyDescent="0.3">
      <c r="E178" s="2"/>
      <c r="F178" s="2"/>
      <c r="G178" s="2"/>
      <c r="O178" s="2"/>
      <c r="P178" s="2"/>
      <c r="Q178" s="2"/>
    </row>
    <row r="179" spans="5:17" ht="18" customHeight="1" x14ac:dyDescent="0.3">
      <c r="E179" s="2"/>
      <c r="F179" s="2"/>
      <c r="G179" s="2"/>
      <c r="O179" s="2"/>
      <c r="P179" s="2"/>
      <c r="Q179" s="2"/>
    </row>
    <row r="180" spans="5:17" ht="18" customHeight="1" x14ac:dyDescent="0.3">
      <c r="E180" s="2"/>
      <c r="F180" s="2"/>
      <c r="G180" s="2"/>
      <c r="O180" s="2"/>
      <c r="P180" s="2"/>
      <c r="Q180" s="2"/>
    </row>
    <row r="181" spans="5:17" ht="18" customHeight="1" x14ac:dyDescent="0.3">
      <c r="E181" s="2"/>
      <c r="F181" s="2"/>
      <c r="G181" s="2"/>
      <c r="O181" s="2"/>
      <c r="P181" s="2"/>
      <c r="Q181" s="2"/>
    </row>
    <row r="182" spans="5:17" ht="18" customHeight="1" x14ac:dyDescent="0.3">
      <c r="E182" s="2"/>
      <c r="F182" s="2"/>
      <c r="G182" s="2"/>
      <c r="O182" s="2"/>
      <c r="P182" s="2"/>
      <c r="Q182" s="2"/>
    </row>
    <row r="183" spans="5:17" ht="18" customHeight="1" x14ac:dyDescent="0.3">
      <c r="E183" s="2"/>
      <c r="F183" s="2"/>
      <c r="G183" s="2"/>
      <c r="O183" s="2"/>
      <c r="P183" s="2"/>
      <c r="Q183" s="2"/>
    </row>
    <row r="184" spans="5:17" ht="18" customHeight="1" x14ac:dyDescent="0.3">
      <c r="E184" s="2"/>
      <c r="F184" s="2"/>
      <c r="G184" s="2"/>
      <c r="O184" s="2"/>
      <c r="P184" s="2"/>
      <c r="Q184" s="2"/>
    </row>
    <row r="185" spans="5:17" ht="18" customHeight="1" x14ac:dyDescent="0.3">
      <c r="E185" s="2"/>
      <c r="F185" s="2"/>
      <c r="G185" s="2"/>
      <c r="O185" s="2"/>
      <c r="P185" s="2"/>
      <c r="Q185" s="2"/>
    </row>
    <row r="186" spans="5:17" ht="18" customHeight="1" x14ac:dyDescent="0.3">
      <c r="E186" s="2"/>
      <c r="F186" s="2"/>
      <c r="G186" s="2"/>
      <c r="O186" s="2"/>
      <c r="P186" s="2"/>
      <c r="Q186" s="2"/>
    </row>
    <row r="187" spans="5:17" ht="18" customHeight="1" x14ac:dyDescent="0.3">
      <c r="E187" s="2"/>
      <c r="F187" s="2"/>
      <c r="G187" s="2"/>
      <c r="O187" s="2"/>
      <c r="P187" s="2"/>
      <c r="Q187" s="2"/>
    </row>
    <row r="188" spans="5:17" ht="18" customHeight="1" x14ac:dyDescent="0.3">
      <c r="E188" s="2"/>
      <c r="F188" s="2"/>
      <c r="G188" s="2"/>
      <c r="O188" s="2"/>
      <c r="P188" s="2"/>
      <c r="Q188" s="2"/>
    </row>
    <row r="189" spans="5:17" ht="18" customHeight="1" x14ac:dyDescent="0.3">
      <c r="E189" s="2"/>
      <c r="F189" s="2"/>
      <c r="G189" s="2"/>
      <c r="O189" s="2"/>
      <c r="P189" s="2"/>
      <c r="Q189" s="2"/>
    </row>
    <row r="190" spans="5:17" ht="18" customHeight="1" x14ac:dyDescent="0.3">
      <c r="E190" s="2"/>
      <c r="F190" s="2"/>
      <c r="G190" s="2"/>
      <c r="O190" s="2"/>
      <c r="P190" s="2"/>
      <c r="Q190" s="2"/>
    </row>
    <row r="191" spans="5:17" ht="18" customHeight="1" x14ac:dyDescent="0.3">
      <c r="E191" s="2"/>
      <c r="F191" s="2"/>
      <c r="G191" s="2"/>
      <c r="O191" s="2"/>
      <c r="P191" s="2"/>
      <c r="Q191" s="2"/>
    </row>
    <row r="192" spans="5:17" ht="18" customHeight="1" x14ac:dyDescent="0.3">
      <c r="E192" s="2"/>
      <c r="F192" s="2"/>
      <c r="G192" s="2"/>
      <c r="O192" s="2"/>
      <c r="P192" s="2"/>
      <c r="Q192" s="2"/>
    </row>
    <row r="193" spans="5:17" ht="18" customHeight="1" x14ac:dyDescent="0.3">
      <c r="E193" s="2"/>
      <c r="F193" s="2"/>
      <c r="G193" s="2"/>
      <c r="O193" s="2"/>
      <c r="P193" s="2"/>
      <c r="Q193" s="2"/>
    </row>
    <row r="194" spans="5:17" ht="18" customHeight="1" x14ac:dyDescent="0.3">
      <c r="E194" s="2"/>
      <c r="F194" s="2"/>
      <c r="G194" s="2"/>
      <c r="O194" s="2"/>
      <c r="P194" s="2"/>
      <c r="Q194" s="2"/>
    </row>
    <row r="195" spans="5:17" ht="18" customHeight="1" x14ac:dyDescent="0.3">
      <c r="E195" s="2"/>
      <c r="F195" s="2"/>
      <c r="G195" s="2"/>
      <c r="O195" s="2"/>
      <c r="P195" s="2"/>
      <c r="Q195" s="2"/>
    </row>
    <row r="196" spans="5:17" ht="18" customHeight="1" x14ac:dyDescent="0.3">
      <c r="E196" s="2"/>
      <c r="F196" s="2"/>
      <c r="G196" s="2"/>
      <c r="O196" s="2"/>
      <c r="P196" s="2"/>
      <c r="Q196" s="2"/>
    </row>
    <row r="197" spans="5:17" ht="18" customHeight="1" x14ac:dyDescent="0.3">
      <c r="E197" s="2"/>
      <c r="F197" s="2"/>
      <c r="G197" s="2"/>
      <c r="O197" s="2"/>
      <c r="P197" s="2"/>
      <c r="Q197" s="2"/>
    </row>
    <row r="198" spans="5:17" ht="18" customHeight="1" x14ac:dyDescent="0.3">
      <c r="E198" s="2"/>
      <c r="F198" s="2"/>
      <c r="G198" s="2"/>
      <c r="O198" s="2"/>
      <c r="P198" s="2"/>
      <c r="Q198" s="2"/>
    </row>
    <row r="199" spans="5:17" ht="18" customHeight="1" x14ac:dyDescent="0.3">
      <c r="E199" s="2"/>
      <c r="F199" s="2"/>
      <c r="G199" s="2"/>
      <c r="O199" s="2"/>
      <c r="P199" s="2"/>
      <c r="Q199" s="2"/>
    </row>
    <row r="200" spans="5:17" ht="18" customHeight="1" x14ac:dyDescent="0.3">
      <c r="E200" s="2"/>
      <c r="F200" s="2"/>
      <c r="G200" s="2"/>
      <c r="O200" s="2"/>
      <c r="P200" s="2"/>
      <c r="Q200" s="2"/>
    </row>
    <row r="201" spans="5:17" ht="18" customHeight="1" x14ac:dyDescent="0.3">
      <c r="E201" s="2"/>
      <c r="F201" s="2"/>
      <c r="G201" s="2"/>
      <c r="O201" s="2"/>
      <c r="P201" s="2"/>
      <c r="Q201" s="2"/>
    </row>
    <row r="202" spans="5:17" ht="18" customHeight="1" x14ac:dyDescent="0.3">
      <c r="E202" s="2"/>
      <c r="F202" s="2"/>
      <c r="G202" s="2"/>
      <c r="O202" s="2"/>
      <c r="P202" s="2"/>
      <c r="Q202" s="2"/>
    </row>
    <row r="203" spans="5:17" ht="18" customHeight="1" x14ac:dyDescent="0.3">
      <c r="E203" s="2"/>
      <c r="F203" s="2"/>
      <c r="G203" s="2"/>
      <c r="O203" s="2"/>
      <c r="P203" s="2"/>
      <c r="Q203" s="2"/>
    </row>
    <row r="204" spans="5:17" ht="18" customHeight="1" x14ac:dyDescent="0.3">
      <c r="E204" s="2"/>
      <c r="F204" s="2"/>
      <c r="G204" s="2"/>
      <c r="O204" s="2"/>
      <c r="P204" s="2"/>
      <c r="Q204" s="2"/>
    </row>
    <row r="205" spans="5:17" ht="18" customHeight="1" x14ac:dyDescent="0.3">
      <c r="E205" s="2"/>
      <c r="F205" s="2"/>
      <c r="G205" s="2"/>
      <c r="O205" s="2"/>
      <c r="P205" s="2"/>
      <c r="Q205" s="2"/>
    </row>
    <row r="206" spans="5:17" ht="18" customHeight="1" x14ac:dyDescent="0.3">
      <c r="E206" s="2"/>
      <c r="F206" s="2"/>
      <c r="G206" s="2"/>
      <c r="O206" s="2"/>
      <c r="P206" s="2"/>
      <c r="Q206" s="2"/>
    </row>
    <row r="207" spans="5:17" ht="18" customHeight="1" x14ac:dyDescent="0.3">
      <c r="E207" s="2"/>
      <c r="F207" s="2"/>
      <c r="G207" s="2"/>
      <c r="O207" s="2"/>
      <c r="P207" s="2"/>
      <c r="Q207" s="2"/>
    </row>
    <row r="208" spans="5:17" ht="18" customHeight="1" x14ac:dyDescent="0.3">
      <c r="E208" s="2"/>
      <c r="F208" s="2"/>
      <c r="G208" s="2"/>
      <c r="O208" s="2"/>
      <c r="P208" s="2"/>
      <c r="Q208" s="2"/>
    </row>
    <row r="209" spans="5:17" ht="18" customHeight="1" x14ac:dyDescent="0.3">
      <c r="E209" s="2"/>
      <c r="F209" s="2"/>
      <c r="G209" s="2"/>
      <c r="O209" s="2"/>
      <c r="P209" s="2"/>
      <c r="Q209" s="2"/>
    </row>
    <row r="210" spans="5:17" ht="18" customHeight="1" x14ac:dyDescent="0.3">
      <c r="E210" s="2"/>
      <c r="F210" s="2"/>
      <c r="G210" s="2"/>
      <c r="O210" s="2"/>
      <c r="P210" s="2"/>
      <c r="Q210" s="2"/>
    </row>
    <row r="211" spans="5:17" ht="18" customHeight="1" x14ac:dyDescent="0.3">
      <c r="E211" s="2"/>
      <c r="F211" s="2"/>
      <c r="G211" s="2"/>
      <c r="O211" s="2"/>
      <c r="P211" s="2"/>
      <c r="Q211" s="2"/>
    </row>
    <row r="212" spans="5:17" ht="19.899999999999999" customHeight="1" x14ac:dyDescent="0.3">
      <c r="E212" s="2"/>
      <c r="F212" s="2"/>
      <c r="G212" s="2"/>
      <c r="O212" s="2"/>
      <c r="P212" s="2"/>
      <c r="Q212" s="2"/>
    </row>
    <row r="213" spans="5:17" ht="19.899999999999999" customHeight="1" x14ac:dyDescent="0.3">
      <c r="E213" s="2"/>
      <c r="F213" s="2"/>
      <c r="G213" s="2"/>
      <c r="O213" s="2"/>
      <c r="P213" s="2"/>
      <c r="Q213" s="2"/>
    </row>
    <row r="214" spans="5:17" ht="19.899999999999999" customHeight="1" x14ac:dyDescent="0.3">
      <c r="E214" s="2"/>
      <c r="F214" s="2"/>
      <c r="G214" s="2"/>
      <c r="O214" s="2"/>
      <c r="P214" s="2"/>
      <c r="Q214" s="2"/>
    </row>
    <row r="215" spans="5:17" ht="19.899999999999999" customHeight="1" x14ac:dyDescent="0.3">
      <c r="E215" s="2"/>
      <c r="F215" s="2"/>
      <c r="G215" s="2"/>
      <c r="O215" s="2"/>
      <c r="P215" s="2"/>
      <c r="Q215" s="2"/>
    </row>
    <row r="216" spans="5:17" ht="19.899999999999999" customHeight="1" x14ac:dyDescent="0.3">
      <c r="E216" s="2"/>
      <c r="F216" s="2"/>
      <c r="G216" s="2"/>
      <c r="O216" s="2"/>
      <c r="P216" s="2"/>
      <c r="Q216" s="2"/>
    </row>
    <row r="217" spans="5:17" ht="19.899999999999999" customHeight="1" x14ac:dyDescent="0.3">
      <c r="E217" s="2"/>
      <c r="F217" s="2"/>
      <c r="G217" s="2"/>
      <c r="O217" s="2"/>
      <c r="P217" s="2"/>
      <c r="Q217" s="2"/>
    </row>
    <row r="218" spans="5:17" ht="19.899999999999999" customHeight="1" x14ac:dyDescent="0.3">
      <c r="E218" s="2"/>
      <c r="F218" s="2"/>
      <c r="G218" s="2"/>
      <c r="O218" s="2"/>
      <c r="P218" s="2"/>
      <c r="Q218" s="2"/>
    </row>
    <row r="219" spans="5:17" ht="19.899999999999999" customHeight="1" x14ac:dyDescent="0.3">
      <c r="E219" s="2"/>
      <c r="F219" s="2"/>
      <c r="G219" s="2"/>
      <c r="O219" s="2"/>
      <c r="P219" s="2"/>
      <c r="Q219" s="2"/>
    </row>
    <row r="220" spans="5:17" ht="19.899999999999999" customHeight="1" x14ac:dyDescent="0.3">
      <c r="E220" s="2"/>
      <c r="F220" s="2"/>
      <c r="G220" s="2"/>
      <c r="O220" s="2"/>
      <c r="P220" s="2"/>
      <c r="Q220" s="2"/>
    </row>
    <row r="221" spans="5:17" ht="19.899999999999999" customHeight="1" x14ac:dyDescent="0.3">
      <c r="E221" s="2"/>
      <c r="F221" s="2"/>
      <c r="G221" s="2"/>
      <c r="O221" s="2"/>
      <c r="P221" s="2"/>
      <c r="Q221" s="2"/>
    </row>
    <row r="222" spans="5:17" ht="19.899999999999999" customHeight="1" x14ac:dyDescent="0.3">
      <c r="E222" s="2"/>
      <c r="F222" s="2"/>
      <c r="G222" s="2"/>
      <c r="O222" s="2"/>
      <c r="P222" s="2"/>
      <c r="Q222" s="2"/>
    </row>
    <row r="223" spans="5:17" ht="19.899999999999999" customHeight="1" x14ac:dyDescent="0.3">
      <c r="E223" s="2"/>
      <c r="F223" s="2"/>
      <c r="G223" s="2"/>
      <c r="O223" s="2"/>
      <c r="P223" s="2"/>
      <c r="Q223" s="2"/>
    </row>
    <row r="224" spans="5:17" ht="19.899999999999999" customHeight="1" x14ac:dyDescent="0.3">
      <c r="E224" s="2"/>
      <c r="F224" s="2"/>
      <c r="G224" s="2"/>
      <c r="O224" s="2"/>
      <c r="P224" s="2"/>
      <c r="Q224" s="2"/>
    </row>
    <row r="225" spans="5:17" ht="19.899999999999999" customHeight="1" x14ac:dyDescent="0.3">
      <c r="E225" s="2"/>
      <c r="F225" s="2"/>
      <c r="G225" s="2"/>
      <c r="O225" s="2"/>
      <c r="P225" s="2"/>
      <c r="Q225" s="2"/>
    </row>
    <row r="226" spans="5:17" ht="19.899999999999999" customHeight="1" x14ac:dyDescent="0.3">
      <c r="E226" s="2"/>
      <c r="F226" s="2"/>
      <c r="G226" s="2"/>
      <c r="O226" s="2"/>
      <c r="P226" s="2"/>
      <c r="Q226" s="2"/>
    </row>
    <row r="227" spans="5:17" ht="19.899999999999999" customHeight="1" x14ac:dyDescent="0.3">
      <c r="E227" s="2"/>
      <c r="F227" s="2"/>
      <c r="G227" s="2"/>
      <c r="O227" s="2"/>
      <c r="P227" s="2"/>
      <c r="Q227" s="2"/>
    </row>
    <row r="228" spans="5:17" ht="19.899999999999999" customHeight="1" x14ac:dyDescent="0.3">
      <c r="E228" s="2"/>
      <c r="F228" s="2"/>
      <c r="G228" s="2"/>
      <c r="O228" s="2"/>
      <c r="P228" s="2"/>
      <c r="Q228" s="2"/>
    </row>
    <row r="229" spans="5:17" ht="19.899999999999999" customHeight="1" x14ac:dyDescent="0.3">
      <c r="E229" s="2"/>
      <c r="F229" s="2"/>
      <c r="G229" s="2"/>
      <c r="O229" s="2"/>
      <c r="P229" s="2"/>
      <c r="Q229" s="2"/>
    </row>
    <row r="230" spans="5:17" ht="19.899999999999999" customHeight="1" x14ac:dyDescent="0.3">
      <c r="E230" s="2"/>
      <c r="F230" s="2"/>
      <c r="G230" s="2"/>
      <c r="O230" s="2"/>
      <c r="P230" s="2"/>
      <c r="Q230" s="2"/>
    </row>
    <row r="231" spans="5:17" ht="19.899999999999999" customHeight="1" x14ac:dyDescent="0.3">
      <c r="E231" s="2"/>
      <c r="F231" s="2"/>
      <c r="G231" s="2"/>
      <c r="O231" s="2"/>
      <c r="P231" s="2"/>
      <c r="Q231" s="2"/>
    </row>
    <row r="232" spans="5:17" ht="19.899999999999999" customHeight="1" x14ac:dyDescent="0.3">
      <c r="E232" s="2"/>
      <c r="F232" s="2"/>
      <c r="G232" s="2"/>
      <c r="O232" s="2"/>
      <c r="P232" s="2"/>
      <c r="Q232" s="2"/>
    </row>
    <row r="233" spans="5:17" ht="19.899999999999999" customHeight="1" x14ac:dyDescent="0.3">
      <c r="E233" s="2"/>
      <c r="F233" s="2"/>
      <c r="G233" s="2"/>
      <c r="O233" s="2"/>
      <c r="P233" s="2"/>
      <c r="Q233" s="2"/>
    </row>
    <row r="234" spans="5:17" ht="19.899999999999999" customHeight="1" x14ac:dyDescent="0.3">
      <c r="E234" s="2"/>
      <c r="F234" s="2"/>
      <c r="G234" s="2"/>
      <c r="O234" s="2"/>
      <c r="P234" s="2"/>
      <c r="Q234" s="2"/>
    </row>
    <row r="235" spans="5:17" ht="19.899999999999999" customHeight="1" x14ac:dyDescent="0.3">
      <c r="E235" s="2"/>
      <c r="F235" s="2"/>
      <c r="G235" s="2"/>
      <c r="O235" s="2"/>
      <c r="P235" s="2"/>
      <c r="Q235" s="2"/>
    </row>
    <row r="236" spans="5:17" ht="19.899999999999999" customHeight="1" x14ac:dyDescent="0.3">
      <c r="E236" s="2"/>
      <c r="F236" s="2"/>
      <c r="G236" s="2"/>
      <c r="O236" s="2"/>
      <c r="P236" s="2"/>
      <c r="Q236" s="2"/>
    </row>
    <row r="237" spans="5:17" ht="19.899999999999999" customHeight="1" x14ac:dyDescent="0.3">
      <c r="E237" s="2"/>
      <c r="F237" s="2"/>
      <c r="G237" s="2"/>
      <c r="O237" s="2"/>
      <c r="P237" s="2"/>
      <c r="Q237" s="2"/>
    </row>
    <row r="238" spans="5:17" ht="19.899999999999999" customHeight="1" x14ac:dyDescent="0.3">
      <c r="E238" s="2"/>
      <c r="F238" s="2"/>
      <c r="G238" s="2"/>
      <c r="O238" s="2"/>
      <c r="P238" s="2"/>
      <c r="Q238" s="2"/>
    </row>
    <row r="239" spans="5:17" ht="19.899999999999999" customHeight="1" x14ac:dyDescent="0.3">
      <c r="E239" s="2"/>
      <c r="F239" s="2"/>
      <c r="G239" s="2"/>
      <c r="O239" s="2"/>
      <c r="P239" s="2"/>
      <c r="Q239" s="2"/>
    </row>
    <row r="240" spans="5:17" ht="19.899999999999999" customHeight="1" x14ac:dyDescent="0.3">
      <c r="E240" s="2"/>
      <c r="F240" s="2"/>
      <c r="G240" s="2"/>
      <c r="O240" s="2"/>
      <c r="P240" s="2"/>
      <c r="Q240" s="2"/>
    </row>
    <row r="241" spans="5:17" ht="19.899999999999999" customHeight="1" x14ac:dyDescent="0.3">
      <c r="E241" s="2"/>
      <c r="F241" s="2"/>
      <c r="G241" s="2"/>
      <c r="O241" s="2"/>
      <c r="P241" s="2"/>
      <c r="Q241" s="2"/>
    </row>
    <row r="242" spans="5:17" ht="19.899999999999999" customHeight="1" x14ac:dyDescent="0.3">
      <c r="E242" s="2"/>
      <c r="F242" s="2"/>
      <c r="G242" s="2"/>
      <c r="O242" s="2"/>
      <c r="P242" s="2"/>
      <c r="Q242" s="2"/>
    </row>
    <row r="243" spans="5:17" ht="19.899999999999999" customHeight="1" x14ac:dyDescent="0.3">
      <c r="E243" s="2"/>
      <c r="F243" s="2"/>
      <c r="G243" s="2"/>
      <c r="O243" s="2"/>
      <c r="P243" s="2"/>
      <c r="Q243" s="2"/>
    </row>
    <row r="244" spans="5:17" ht="19.899999999999999" customHeight="1" x14ac:dyDescent="0.3">
      <c r="E244" s="2"/>
      <c r="F244" s="2"/>
      <c r="G244" s="2"/>
      <c r="O244" s="2"/>
      <c r="P244" s="2"/>
      <c r="Q244" s="2"/>
    </row>
    <row r="245" spans="5:17" ht="19.899999999999999" customHeight="1" x14ac:dyDescent="0.3">
      <c r="E245" s="2"/>
      <c r="F245" s="2"/>
      <c r="G245" s="2"/>
      <c r="O245" s="2"/>
      <c r="P245" s="2"/>
      <c r="Q245" s="2"/>
    </row>
    <row r="246" spans="5:17" ht="19.899999999999999" customHeight="1" x14ac:dyDescent="0.3">
      <c r="E246" s="2"/>
      <c r="F246" s="2"/>
      <c r="G246" s="2"/>
      <c r="O246" s="2"/>
      <c r="P246" s="2"/>
      <c r="Q246" s="2"/>
    </row>
    <row r="247" spans="5:17" ht="19.899999999999999" customHeight="1" x14ac:dyDescent="0.3">
      <c r="E247" s="2"/>
      <c r="F247" s="2"/>
      <c r="G247" s="2"/>
      <c r="O247" s="2"/>
      <c r="P247" s="2"/>
      <c r="Q247" s="2"/>
    </row>
    <row r="248" spans="5:17" ht="19.899999999999999" customHeight="1" x14ac:dyDescent="0.3">
      <c r="E248" s="2"/>
      <c r="F248" s="2"/>
      <c r="G248" s="2"/>
      <c r="O248" s="2"/>
      <c r="P248" s="2"/>
      <c r="Q248" s="2"/>
    </row>
    <row r="249" spans="5:17" ht="19.899999999999999" customHeight="1" x14ac:dyDescent="0.3">
      <c r="E249" s="2"/>
      <c r="F249" s="2"/>
      <c r="G249" s="2"/>
      <c r="O249" s="2"/>
      <c r="P249" s="2"/>
      <c r="Q249" s="2"/>
    </row>
    <row r="250" spans="5:17" ht="19.899999999999999" customHeight="1" x14ac:dyDescent="0.3">
      <c r="E250" s="2"/>
      <c r="F250" s="2"/>
      <c r="G250" s="2"/>
      <c r="O250" s="2"/>
      <c r="P250" s="2"/>
      <c r="Q250" s="2"/>
    </row>
    <row r="251" spans="5:17" ht="19.899999999999999" customHeight="1" x14ac:dyDescent="0.3">
      <c r="E251" s="2"/>
      <c r="F251" s="2"/>
      <c r="G251" s="2"/>
      <c r="O251" s="2"/>
      <c r="P251" s="2"/>
      <c r="Q251" s="2"/>
    </row>
    <row r="252" spans="5:17" ht="19.899999999999999" customHeight="1" x14ac:dyDescent="0.3">
      <c r="E252" s="2"/>
      <c r="F252" s="2"/>
      <c r="G252" s="2"/>
      <c r="O252" s="2"/>
      <c r="P252" s="2"/>
      <c r="Q252" s="2"/>
    </row>
    <row r="253" spans="5:17" x14ac:dyDescent="0.3">
      <c r="E253" s="2"/>
      <c r="F253" s="2"/>
      <c r="G253" s="2"/>
      <c r="O253" s="2"/>
      <c r="P253" s="2"/>
      <c r="Q253" s="2"/>
    </row>
    <row r="254" spans="5:17" x14ac:dyDescent="0.3">
      <c r="E254" s="2"/>
      <c r="F254" s="2"/>
      <c r="G254" s="2"/>
      <c r="O254" s="2"/>
      <c r="P254" s="2"/>
      <c r="Q254" s="2"/>
    </row>
    <row r="255" spans="5:17" x14ac:dyDescent="0.3">
      <c r="E255" s="2"/>
      <c r="F255" s="2"/>
      <c r="G255" s="2"/>
      <c r="O255" s="2"/>
      <c r="P255" s="2"/>
      <c r="Q255" s="2"/>
    </row>
    <row r="256" spans="5:17" x14ac:dyDescent="0.3">
      <c r="E256" s="2"/>
      <c r="F256" s="2"/>
      <c r="G256" s="2"/>
      <c r="O256" s="2"/>
      <c r="P256" s="2"/>
      <c r="Q256" s="2"/>
    </row>
    <row r="257" spans="5:17" x14ac:dyDescent="0.3">
      <c r="E257" s="2"/>
      <c r="F257" s="2"/>
      <c r="G257" s="2"/>
      <c r="O257" s="2"/>
      <c r="P257" s="2"/>
      <c r="Q257" s="2"/>
    </row>
    <row r="258" spans="5:17" x14ac:dyDescent="0.3">
      <c r="E258" s="2"/>
      <c r="F258" s="2"/>
      <c r="G258" s="2"/>
      <c r="O258" s="2"/>
      <c r="P258" s="2"/>
      <c r="Q258" s="2"/>
    </row>
    <row r="259" spans="5:17" x14ac:dyDescent="0.3">
      <c r="E259" s="2"/>
      <c r="F259" s="2"/>
      <c r="G259" s="2"/>
      <c r="O259" s="2"/>
      <c r="P259" s="2"/>
      <c r="Q259" s="2"/>
    </row>
    <row r="260" spans="5:17" x14ac:dyDescent="0.3">
      <c r="E260" s="2"/>
      <c r="F260" s="2"/>
      <c r="G260" s="2"/>
      <c r="O260" s="2"/>
      <c r="P260" s="2"/>
      <c r="Q260" s="2"/>
    </row>
    <row r="261" spans="5:17" x14ac:dyDescent="0.3">
      <c r="E261" s="2"/>
      <c r="F261" s="2"/>
      <c r="G261" s="2"/>
      <c r="O261" s="2"/>
      <c r="P261" s="2"/>
      <c r="Q261" s="2"/>
    </row>
    <row r="262" spans="5:17" x14ac:dyDescent="0.3">
      <c r="E262" s="2"/>
      <c r="F262" s="2"/>
      <c r="G262" s="2"/>
      <c r="O262" s="2"/>
      <c r="P262" s="2"/>
      <c r="Q262" s="2"/>
    </row>
    <row r="263" spans="5:17" x14ac:dyDescent="0.3">
      <c r="E263" s="2"/>
      <c r="F263" s="2"/>
      <c r="G263" s="2"/>
      <c r="O263" s="2"/>
      <c r="P263" s="2"/>
      <c r="Q263" s="2"/>
    </row>
    <row r="264" spans="5:17" x14ac:dyDescent="0.3">
      <c r="E264" s="2"/>
      <c r="F264" s="2"/>
      <c r="G264" s="2"/>
      <c r="O264" s="2"/>
      <c r="P264" s="2"/>
      <c r="Q264" s="2"/>
    </row>
    <row r="265" spans="5:17" x14ac:dyDescent="0.3">
      <c r="E265" s="2"/>
      <c r="F265" s="2"/>
      <c r="G265" s="2"/>
      <c r="O265" s="2"/>
      <c r="P265" s="2"/>
      <c r="Q265" s="2"/>
    </row>
    <row r="266" spans="5:17" x14ac:dyDescent="0.3">
      <c r="E266" s="2"/>
      <c r="F266" s="2"/>
      <c r="G266" s="2"/>
      <c r="O266" s="2"/>
      <c r="P266" s="2"/>
      <c r="Q266" s="2"/>
    </row>
    <row r="267" spans="5:17" x14ac:dyDescent="0.3">
      <c r="E267" s="2"/>
      <c r="F267" s="2"/>
      <c r="G267" s="2"/>
      <c r="O267" s="2"/>
      <c r="P267" s="2"/>
      <c r="Q267" s="2"/>
    </row>
    <row r="268" spans="5:17" x14ac:dyDescent="0.3">
      <c r="E268" s="2"/>
      <c r="F268" s="2"/>
      <c r="G268" s="2"/>
      <c r="O268" s="2"/>
      <c r="P268" s="2"/>
      <c r="Q268" s="2"/>
    </row>
    <row r="269" spans="5:17" x14ac:dyDescent="0.3">
      <c r="E269" s="2"/>
      <c r="F269" s="2"/>
      <c r="G269" s="2"/>
      <c r="O269" s="2"/>
      <c r="P269" s="2"/>
      <c r="Q269" s="2"/>
    </row>
    <row r="270" spans="5:17" x14ac:dyDescent="0.3">
      <c r="E270" s="2"/>
      <c r="F270" s="2"/>
      <c r="G270" s="2"/>
      <c r="O270" s="2"/>
      <c r="P270" s="2"/>
      <c r="Q270" s="2"/>
    </row>
    <row r="271" spans="5:17" x14ac:dyDescent="0.3">
      <c r="E271" s="2"/>
      <c r="F271" s="2"/>
      <c r="G271" s="2"/>
      <c r="O271" s="2"/>
      <c r="P271" s="2"/>
      <c r="Q271" s="2"/>
    </row>
    <row r="272" spans="5:17" x14ac:dyDescent="0.3">
      <c r="E272" s="2"/>
      <c r="F272" s="2"/>
      <c r="G272" s="2"/>
      <c r="O272" s="2"/>
      <c r="P272" s="2"/>
      <c r="Q272" s="2"/>
    </row>
    <row r="273" spans="5:17" x14ac:dyDescent="0.3">
      <c r="E273" s="2"/>
      <c r="F273" s="2"/>
      <c r="G273" s="2"/>
      <c r="O273" s="2"/>
      <c r="P273" s="2"/>
      <c r="Q273" s="2"/>
    </row>
    <row r="274" spans="5:17" x14ac:dyDescent="0.3">
      <c r="E274" s="2"/>
      <c r="F274" s="2"/>
      <c r="G274" s="2"/>
      <c r="O274" s="2"/>
      <c r="P274" s="2"/>
      <c r="Q274" s="2"/>
    </row>
    <row r="275" spans="5:17" x14ac:dyDescent="0.3">
      <c r="E275" s="2"/>
      <c r="F275" s="2"/>
      <c r="G275" s="2"/>
      <c r="O275" s="2"/>
      <c r="P275" s="2"/>
      <c r="Q275" s="2"/>
    </row>
    <row r="276" spans="5:17" x14ac:dyDescent="0.3">
      <c r="E276" s="2"/>
      <c r="F276" s="2"/>
      <c r="G276" s="2"/>
      <c r="O276" s="2"/>
      <c r="P276" s="2"/>
      <c r="Q276" s="2"/>
    </row>
    <row r="277" spans="5:17" x14ac:dyDescent="0.3">
      <c r="E277" s="2"/>
      <c r="F277" s="2"/>
      <c r="G277" s="2"/>
      <c r="O277" s="2"/>
      <c r="P277" s="2"/>
      <c r="Q277" s="2"/>
    </row>
    <row r="278" spans="5:17" x14ac:dyDescent="0.3">
      <c r="E278" s="2"/>
      <c r="F278" s="2"/>
      <c r="G278" s="2"/>
      <c r="O278" s="2"/>
      <c r="P278" s="2"/>
      <c r="Q278" s="2"/>
    </row>
    <row r="279" spans="5:17" x14ac:dyDescent="0.3">
      <c r="E279" s="2"/>
      <c r="F279" s="2"/>
      <c r="G279" s="2"/>
      <c r="O279" s="2"/>
      <c r="P279" s="2"/>
      <c r="Q279" s="2"/>
    </row>
    <row r="280" spans="5:17" x14ac:dyDescent="0.3">
      <c r="E280" s="2"/>
      <c r="F280" s="2"/>
      <c r="G280" s="2"/>
      <c r="O280" s="2"/>
      <c r="P280" s="2"/>
      <c r="Q280" s="2"/>
    </row>
    <row r="281" spans="5:17" x14ac:dyDescent="0.3">
      <c r="E281" s="2"/>
      <c r="F281" s="2"/>
      <c r="G281" s="2"/>
      <c r="O281" s="2"/>
      <c r="P281" s="2"/>
      <c r="Q281" s="2"/>
    </row>
    <row r="282" spans="5:17" x14ac:dyDescent="0.3">
      <c r="E282" s="2"/>
      <c r="F282" s="2"/>
      <c r="G282" s="2"/>
      <c r="O282" s="2"/>
      <c r="P282" s="2"/>
      <c r="Q282" s="2"/>
    </row>
    <row r="283" spans="5:17" x14ac:dyDescent="0.3">
      <c r="E283" s="2"/>
      <c r="F283" s="2"/>
      <c r="G283" s="2"/>
      <c r="O283" s="2"/>
      <c r="P283" s="2"/>
      <c r="Q283" s="2"/>
    </row>
    <row r="284" spans="5:17" x14ac:dyDescent="0.3">
      <c r="E284" s="2"/>
      <c r="F284" s="2"/>
      <c r="G284" s="2"/>
      <c r="O284" s="2"/>
      <c r="P284" s="2"/>
      <c r="Q284" s="2"/>
    </row>
    <row r="285" spans="5:17" x14ac:dyDescent="0.3">
      <c r="E285" s="2"/>
      <c r="F285" s="2"/>
      <c r="G285" s="2"/>
      <c r="O285" s="2"/>
      <c r="P285" s="2"/>
      <c r="Q285" s="2"/>
    </row>
    <row r="286" spans="5:17" x14ac:dyDescent="0.3">
      <c r="E286" s="2"/>
      <c r="F286" s="2"/>
      <c r="G286" s="2"/>
      <c r="O286" s="2"/>
      <c r="P286" s="2"/>
      <c r="Q286" s="2"/>
    </row>
    <row r="287" spans="5:17" x14ac:dyDescent="0.3">
      <c r="E287" s="2"/>
      <c r="F287" s="2"/>
      <c r="G287" s="2"/>
      <c r="O287" s="2"/>
      <c r="P287" s="2"/>
      <c r="Q287" s="2"/>
    </row>
    <row r="288" spans="5:17" x14ac:dyDescent="0.3">
      <c r="E288" s="2"/>
      <c r="F288" s="2"/>
      <c r="G288" s="2"/>
      <c r="O288" s="2"/>
      <c r="P288" s="2"/>
      <c r="Q288" s="2"/>
    </row>
    <row r="289" spans="5:17" x14ac:dyDescent="0.3">
      <c r="E289" s="2"/>
      <c r="F289" s="2"/>
      <c r="G289" s="2"/>
      <c r="O289" s="2"/>
      <c r="P289" s="2"/>
      <c r="Q289" s="2"/>
    </row>
    <row r="290" spans="5:17" x14ac:dyDescent="0.3">
      <c r="E290" s="2"/>
      <c r="F290" s="2"/>
      <c r="G290" s="2"/>
      <c r="O290" s="2"/>
      <c r="P290" s="2"/>
      <c r="Q290" s="2"/>
    </row>
    <row r="291" spans="5:17" x14ac:dyDescent="0.3">
      <c r="E291" s="2"/>
      <c r="F291" s="2"/>
      <c r="G291" s="2"/>
      <c r="O291" s="2"/>
      <c r="P291" s="2"/>
      <c r="Q291" s="2"/>
    </row>
    <row r="292" spans="5:17" x14ac:dyDescent="0.3">
      <c r="E292" s="2"/>
      <c r="F292" s="2"/>
      <c r="G292" s="2"/>
      <c r="O292" s="2"/>
      <c r="P292" s="2"/>
      <c r="Q292" s="2"/>
    </row>
    <row r="293" spans="5:17" x14ac:dyDescent="0.3">
      <c r="E293" s="2"/>
      <c r="F293" s="2"/>
      <c r="G293" s="2"/>
      <c r="O293" s="2"/>
      <c r="P293" s="2"/>
      <c r="Q293" s="2"/>
    </row>
    <row r="294" spans="5:17" x14ac:dyDescent="0.3">
      <c r="E294" s="2"/>
      <c r="F294" s="2"/>
      <c r="G294" s="2"/>
      <c r="O294" s="2"/>
      <c r="P294" s="2"/>
      <c r="Q294" s="2"/>
    </row>
    <row r="295" spans="5:17" x14ac:dyDescent="0.3">
      <c r="E295" s="2"/>
      <c r="F295" s="2"/>
      <c r="G295" s="2"/>
      <c r="O295" s="2"/>
      <c r="P295" s="2"/>
      <c r="Q295" s="2"/>
    </row>
    <row r="296" spans="5:17" x14ac:dyDescent="0.3">
      <c r="E296" s="2"/>
      <c r="F296" s="2"/>
      <c r="G296" s="2"/>
      <c r="O296" s="2"/>
      <c r="P296" s="2"/>
      <c r="Q296" s="2"/>
    </row>
    <row r="297" spans="5:17" x14ac:dyDescent="0.3">
      <c r="E297" s="2"/>
      <c r="F297" s="2"/>
      <c r="G297" s="2"/>
      <c r="O297" s="2"/>
      <c r="P297" s="2"/>
      <c r="Q297" s="2"/>
    </row>
    <row r="298" spans="5:17" x14ac:dyDescent="0.3">
      <c r="E298" s="2"/>
      <c r="F298" s="2"/>
      <c r="G298" s="2"/>
      <c r="O298" s="2"/>
      <c r="P298" s="2"/>
      <c r="Q298" s="2"/>
    </row>
    <row r="299" spans="5:17" x14ac:dyDescent="0.3">
      <c r="E299" s="2"/>
      <c r="F299" s="2"/>
      <c r="G299" s="2"/>
      <c r="O299" s="2"/>
      <c r="P299" s="2"/>
      <c r="Q299" s="2"/>
    </row>
    <row r="300" spans="5:17" x14ac:dyDescent="0.3">
      <c r="E300" s="2"/>
      <c r="F300" s="2"/>
      <c r="G300" s="2"/>
      <c r="O300" s="2"/>
      <c r="P300" s="2"/>
      <c r="Q300" s="2"/>
    </row>
    <row r="301" spans="5:17" x14ac:dyDescent="0.3">
      <c r="E301" s="2"/>
      <c r="F301" s="2"/>
      <c r="G301" s="2"/>
      <c r="O301" s="2"/>
      <c r="P301" s="2"/>
      <c r="Q301" s="2"/>
    </row>
    <row r="302" spans="5:17" x14ac:dyDescent="0.3">
      <c r="E302" s="2"/>
      <c r="F302" s="2"/>
      <c r="G302" s="2"/>
      <c r="O302" s="2"/>
      <c r="P302" s="2"/>
      <c r="Q302" s="2"/>
    </row>
    <row r="303" spans="5:17" x14ac:dyDescent="0.3">
      <c r="E303" s="2"/>
      <c r="F303" s="2"/>
      <c r="G303" s="2"/>
      <c r="O303" s="2"/>
      <c r="P303" s="2"/>
      <c r="Q303" s="2"/>
    </row>
    <row r="304" spans="5:17" x14ac:dyDescent="0.3">
      <c r="E304" s="2"/>
      <c r="F304" s="2"/>
      <c r="G304" s="2"/>
      <c r="O304" s="2"/>
      <c r="P304" s="2"/>
      <c r="Q304" s="2"/>
    </row>
    <row r="305" spans="5:17" x14ac:dyDescent="0.3">
      <c r="E305" s="2"/>
      <c r="F305" s="2"/>
      <c r="G305" s="2"/>
      <c r="O305" s="2"/>
      <c r="P305" s="2"/>
      <c r="Q305" s="2"/>
    </row>
    <row r="306" spans="5:17" x14ac:dyDescent="0.3">
      <c r="E306" s="2"/>
      <c r="F306" s="2"/>
      <c r="G306" s="2"/>
      <c r="O306" s="2"/>
      <c r="P306" s="2"/>
      <c r="Q306" s="2"/>
    </row>
    <row r="307" spans="5:17" x14ac:dyDescent="0.3">
      <c r="E307" s="2"/>
      <c r="F307" s="2"/>
      <c r="G307" s="2"/>
      <c r="O307" s="2"/>
      <c r="P307" s="2"/>
      <c r="Q307" s="2"/>
    </row>
    <row r="308" spans="5:17" x14ac:dyDescent="0.3">
      <c r="E308" s="2"/>
      <c r="F308" s="2"/>
      <c r="G308" s="2"/>
      <c r="O308" s="2"/>
      <c r="P308" s="2"/>
      <c r="Q308" s="2"/>
    </row>
    <row r="309" spans="5:17" x14ac:dyDescent="0.3">
      <c r="E309" s="2"/>
      <c r="F309" s="2"/>
      <c r="G309" s="2"/>
      <c r="O309" s="2"/>
      <c r="P309" s="2"/>
      <c r="Q309" s="2"/>
    </row>
    <row r="310" spans="5:17" x14ac:dyDescent="0.3">
      <c r="E310" s="2"/>
      <c r="F310" s="2"/>
      <c r="G310" s="2"/>
      <c r="O310" s="2"/>
      <c r="P310" s="2"/>
      <c r="Q310" s="2"/>
    </row>
    <row r="311" spans="5:17" x14ac:dyDescent="0.3">
      <c r="E311" s="2"/>
      <c r="F311" s="2"/>
      <c r="G311" s="2"/>
      <c r="O311" s="2"/>
      <c r="P311" s="2"/>
      <c r="Q311" s="2"/>
    </row>
    <row r="312" spans="5:17" x14ac:dyDescent="0.3">
      <c r="E312" s="2"/>
      <c r="F312" s="2"/>
      <c r="G312" s="2"/>
      <c r="O312" s="2"/>
      <c r="P312" s="2"/>
      <c r="Q312" s="2"/>
    </row>
    <row r="313" spans="5:17" x14ac:dyDescent="0.3">
      <c r="E313" s="2"/>
      <c r="F313" s="2"/>
      <c r="G313" s="2"/>
      <c r="O313" s="2"/>
      <c r="P313" s="2"/>
      <c r="Q313" s="2"/>
    </row>
    <row r="314" spans="5:17" x14ac:dyDescent="0.3">
      <c r="E314" s="2"/>
      <c r="F314" s="2"/>
      <c r="G314" s="2"/>
      <c r="O314" s="2"/>
      <c r="P314" s="2"/>
      <c r="Q314" s="2"/>
    </row>
    <row r="315" spans="5:17" x14ac:dyDescent="0.3">
      <c r="E315" s="2"/>
      <c r="F315" s="2"/>
      <c r="G315" s="2"/>
      <c r="O315" s="2"/>
      <c r="P315" s="2"/>
      <c r="Q315" s="2"/>
    </row>
    <row r="316" spans="5:17" x14ac:dyDescent="0.3">
      <c r="E316" s="2"/>
      <c r="F316" s="2"/>
      <c r="G316" s="2"/>
      <c r="O316" s="2"/>
      <c r="P316" s="2"/>
      <c r="Q316" s="2"/>
    </row>
    <row r="317" spans="5:17" x14ac:dyDescent="0.3">
      <c r="E317" s="2"/>
      <c r="F317" s="2"/>
      <c r="G317" s="2"/>
      <c r="O317" s="2"/>
      <c r="P317" s="2"/>
      <c r="Q317" s="2"/>
    </row>
    <row r="318" spans="5:17" x14ac:dyDescent="0.3">
      <c r="E318" s="2"/>
      <c r="F318" s="2"/>
      <c r="G318" s="2"/>
      <c r="O318" s="2"/>
      <c r="P318" s="2"/>
      <c r="Q318" s="2"/>
    </row>
    <row r="319" spans="5:17" x14ac:dyDescent="0.3">
      <c r="E319" s="2"/>
      <c r="F319" s="2"/>
      <c r="G319" s="2"/>
      <c r="O319" s="2"/>
      <c r="P319" s="2"/>
      <c r="Q319" s="2"/>
    </row>
    <row r="320" spans="5:17" x14ac:dyDescent="0.3">
      <c r="E320" s="2"/>
      <c r="F320" s="2"/>
      <c r="G320" s="2"/>
      <c r="O320" s="2"/>
      <c r="P320" s="2"/>
      <c r="Q320" s="2"/>
    </row>
    <row r="321" spans="5:17" x14ac:dyDescent="0.3">
      <c r="E321" s="2"/>
      <c r="F321" s="2"/>
      <c r="G321" s="2"/>
      <c r="O321" s="2"/>
      <c r="P321" s="2"/>
      <c r="Q321" s="2"/>
    </row>
    <row r="322" spans="5:17" x14ac:dyDescent="0.3">
      <c r="E322" s="2"/>
      <c r="F322" s="2"/>
      <c r="G322" s="2"/>
      <c r="O322" s="2"/>
      <c r="P322" s="2"/>
      <c r="Q322" s="2"/>
    </row>
    <row r="323" spans="5:17" x14ac:dyDescent="0.3">
      <c r="E323" s="2"/>
      <c r="F323" s="2"/>
      <c r="G323" s="2"/>
      <c r="O323" s="2"/>
      <c r="P323" s="2"/>
      <c r="Q323" s="2"/>
    </row>
    <row r="324" spans="5:17" x14ac:dyDescent="0.3">
      <c r="E324" s="2"/>
      <c r="F324" s="2"/>
      <c r="G324" s="2"/>
      <c r="O324" s="2"/>
      <c r="P324" s="2"/>
      <c r="Q324" s="2"/>
    </row>
    <row r="325" spans="5:17" x14ac:dyDescent="0.3">
      <c r="E325" s="2"/>
      <c r="F325" s="2"/>
      <c r="G325" s="2"/>
      <c r="O325" s="2"/>
      <c r="P325" s="2"/>
      <c r="Q325" s="2"/>
    </row>
    <row r="326" spans="5:17" x14ac:dyDescent="0.3">
      <c r="E326" s="2"/>
      <c r="F326" s="2"/>
      <c r="G326" s="2"/>
      <c r="O326" s="2"/>
      <c r="P326" s="2"/>
      <c r="Q326" s="2"/>
    </row>
    <row r="327" spans="5:17" x14ac:dyDescent="0.3">
      <c r="E327" s="2"/>
      <c r="F327" s="2"/>
      <c r="G327" s="2"/>
      <c r="O327" s="2"/>
      <c r="P327" s="2"/>
      <c r="Q327" s="2"/>
    </row>
    <row r="328" spans="5:17" x14ac:dyDescent="0.3">
      <c r="E328" s="2"/>
      <c r="F328" s="2"/>
      <c r="G328" s="2"/>
      <c r="O328" s="2"/>
      <c r="P328" s="2"/>
      <c r="Q328" s="2"/>
    </row>
    <row r="329" spans="5:17" x14ac:dyDescent="0.3">
      <c r="E329" s="2"/>
      <c r="F329" s="2"/>
      <c r="G329" s="2"/>
      <c r="O329" s="2"/>
      <c r="P329" s="2"/>
      <c r="Q329" s="2"/>
    </row>
    <row r="330" spans="5:17" x14ac:dyDescent="0.3">
      <c r="E330" s="2"/>
      <c r="F330" s="2"/>
      <c r="G330" s="2"/>
      <c r="O330" s="2"/>
      <c r="P330" s="2"/>
      <c r="Q330" s="2"/>
    </row>
    <row r="331" spans="5:17" x14ac:dyDescent="0.3">
      <c r="E331" s="2"/>
      <c r="F331" s="2"/>
      <c r="G331" s="2"/>
      <c r="O331" s="2"/>
      <c r="P331" s="2"/>
      <c r="Q331" s="2"/>
    </row>
    <row r="332" spans="5:17" x14ac:dyDescent="0.3">
      <c r="E332" s="2"/>
      <c r="F332" s="2"/>
      <c r="G332" s="2"/>
      <c r="O332" s="2"/>
      <c r="P332" s="2"/>
      <c r="Q332" s="2"/>
    </row>
    <row r="333" spans="5:17" x14ac:dyDescent="0.3">
      <c r="E333" s="2"/>
      <c r="F333" s="2"/>
      <c r="G333" s="2"/>
      <c r="O333" s="2"/>
      <c r="P333" s="2"/>
      <c r="Q333" s="2"/>
    </row>
    <row r="334" spans="5:17" x14ac:dyDescent="0.3">
      <c r="E334" s="2"/>
      <c r="F334" s="2"/>
      <c r="G334" s="2"/>
      <c r="O334" s="2"/>
      <c r="P334" s="2"/>
      <c r="Q334" s="2"/>
    </row>
    <row r="335" spans="5:17" x14ac:dyDescent="0.3">
      <c r="E335" s="2"/>
      <c r="F335" s="2"/>
      <c r="G335" s="2"/>
      <c r="O335" s="2"/>
      <c r="P335" s="2"/>
      <c r="Q335" s="2"/>
    </row>
    <row r="336" spans="5:17" x14ac:dyDescent="0.3">
      <c r="E336" s="2"/>
      <c r="F336" s="2"/>
      <c r="G336" s="2"/>
      <c r="O336" s="2"/>
      <c r="P336" s="2"/>
      <c r="Q336" s="2"/>
    </row>
    <row r="337" spans="5:17" x14ac:dyDescent="0.3">
      <c r="E337" s="2"/>
      <c r="F337" s="2"/>
      <c r="G337" s="2"/>
      <c r="O337" s="2"/>
      <c r="P337" s="2"/>
      <c r="Q337" s="2"/>
    </row>
    <row r="338" spans="5:17" x14ac:dyDescent="0.3">
      <c r="E338" s="2"/>
      <c r="F338" s="2"/>
      <c r="G338" s="2"/>
      <c r="O338" s="2"/>
      <c r="P338" s="2"/>
      <c r="Q338" s="2"/>
    </row>
    <row r="339" spans="5:17" x14ac:dyDescent="0.3">
      <c r="E339" s="2"/>
      <c r="F339" s="2"/>
      <c r="G339" s="2"/>
      <c r="O339" s="2"/>
      <c r="P339" s="2"/>
      <c r="Q339" s="2"/>
    </row>
    <row r="340" spans="5:17" x14ac:dyDescent="0.3">
      <c r="E340" s="2"/>
      <c r="F340" s="2"/>
      <c r="G340" s="2"/>
      <c r="O340" s="2"/>
      <c r="P340" s="2"/>
      <c r="Q340" s="2"/>
    </row>
    <row r="341" spans="5:17" x14ac:dyDescent="0.3">
      <c r="E341" s="2"/>
      <c r="F341" s="2"/>
      <c r="G341" s="2"/>
      <c r="O341" s="2"/>
      <c r="P341" s="2"/>
      <c r="Q341" s="2"/>
    </row>
    <row r="342" spans="5:17" x14ac:dyDescent="0.3">
      <c r="E342" s="2"/>
      <c r="F342" s="2"/>
      <c r="G342" s="2"/>
      <c r="O342" s="2"/>
      <c r="P342" s="2"/>
      <c r="Q342" s="2"/>
    </row>
    <row r="343" spans="5:17" x14ac:dyDescent="0.3">
      <c r="E343" s="2"/>
      <c r="F343" s="2"/>
      <c r="G343" s="2"/>
      <c r="O343" s="2"/>
      <c r="P343" s="2"/>
      <c r="Q343" s="2"/>
    </row>
    <row r="344" spans="5:17" x14ac:dyDescent="0.3">
      <c r="E344" s="2"/>
      <c r="F344" s="2"/>
      <c r="G344" s="2"/>
      <c r="O344" s="2"/>
      <c r="P344" s="2"/>
      <c r="Q344" s="2"/>
    </row>
    <row r="345" spans="5:17" x14ac:dyDescent="0.3">
      <c r="E345" s="2"/>
      <c r="F345" s="2"/>
      <c r="G345" s="2"/>
      <c r="O345" s="2"/>
      <c r="P345" s="2"/>
      <c r="Q345" s="2"/>
    </row>
    <row r="346" spans="5:17" x14ac:dyDescent="0.3">
      <c r="E346" s="2"/>
      <c r="F346" s="2"/>
      <c r="G346" s="2"/>
      <c r="O346" s="2"/>
      <c r="P346" s="2"/>
      <c r="Q346" s="2"/>
    </row>
    <row r="347" spans="5:17" x14ac:dyDescent="0.3">
      <c r="E347" s="2"/>
      <c r="F347" s="2"/>
      <c r="G347" s="2"/>
      <c r="O347" s="2"/>
      <c r="P347" s="2"/>
      <c r="Q347" s="2"/>
    </row>
    <row r="348" spans="5:17" x14ac:dyDescent="0.3">
      <c r="E348" s="2"/>
      <c r="F348" s="2"/>
      <c r="G348" s="2"/>
      <c r="O348" s="2"/>
      <c r="P348" s="2"/>
      <c r="Q348" s="2"/>
    </row>
    <row r="349" spans="5:17" x14ac:dyDescent="0.3">
      <c r="E349" s="2"/>
      <c r="F349" s="2"/>
      <c r="G349" s="2"/>
      <c r="O349" s="2"/>
      <c r="P349" s="2"/>
      <c r="Q349" s="2"/>
    </row>
    <row r="350" spans="5:17" x14ac:dyDescent="0.3">
      <c r="E350" s="2"/>
      <c r="F350" s="2"/>
      <c r="G350" s="2"/>
      <c r="O350" s="2"/>
      <c r="P350" s="2"/>
      <c r="Q350" s="2"/>
    </row>
    <row r="351" spans="5:17" x14ac:dyDescent="0.3">
      <c r="E351" s="2"/>
      <c r="F351" s="2"/>
      <c r="G351" s="2"/>
      <c r="O351" s="2"/>
      <c r="P351" s="2"/>
      <c r="Q351" s="2"/>
    </row>
    <row r="352" spans="5:17" x14ac:dyDescent="0.3">
      <c r="E352" s="2"/>
      <c r="F352" s="2"/>
      <c r="G352" s="2"/>
      <c r="O352" s="2"/>
      <c r="P352" s="2"/>
      <c r="Q352" s="2"/>
    </row>
    <row r="353" spans="5:17" x14ac:dyDescent="0.3">
      <c r="E353" s="2"/>
      <c r="F353" s="2"/>
      <c r="G353" s="2"/>
      <c r="O353" s="2"/>
      <c r="P353" s="2"/>
      <c r="Q353" s="2"/>
    </row>
    <row r="354" spans="5:17" x14ac:dyDescent="0.3">
      <c r="E354" s="2"/>
      <c r="F354" s="2"/>
      <c r="G354" s="2"/>
      <c r="O354" s="2"/>
      <c r="P354" s="2"/>
      <c r="Q354" s="2"/>
    </row>
    <row r="355" spans="5:17" x14ac:dyDescent="0.3">
      <c r="E355" s="2"/>
      <c r="F355" s="2"/>
      <c r="G355" s="2"/>
      <c r="O355" s="2"/>
      <c r="P355" s="2"/>
      <c r="Q355" s="2"/>
    </row>
    <row r="356" spans="5:17" x14ac:dyDescent="0.3">
      <c r="E356" s="2"/>
      <c r="F356" s="2"/>
      <c r="G356" s="2"/>
      <c r="O356" s="2"/>
      <c r="P356" s="2"/>
      <c r="Q356" s="2"/>
    </row>
    <row r="357" spans="5:17" x14ac:dyDescent="0.3">
      <c r="E357" s="2"/>
      <c r="F357" s="2"/>
      <c r="G357" s="2"/>
      <c r="O357" s="2"/>
      <c r="P357" s="2"/>
      <c r="Q357" s="2"/>
    </row>
    <row r="358" spans="5:17" x14ac:dyDescent="0.3">
      <c r="E358" s="2"/>
      <c r="F358" s="2"/>
      <c r="G358" s="2"/>
      <c r="O358" s="2"/>
      <c r="P358" s="2"/>
      <c r="Q358" s="2"/>
    </row>
    <row r="359" spans="5:17" x14ac:dyDescent="0.3">
      <c r="E359" s="2"/>
      <c r="F359" s="2"/>
      <c r="G359" s="2"/>
      <c r="O359" s="2"/>
      <c r="P359" s="2"/>
      <c r="Q359" s="2"/>
    </row>
    <row r="360" spans="5:17" x14ac:dyDescent="0.3">
      <c r="E360" s="2"/>
      <c r="F360" s="2"/>
      <c r="G360" s="2"/>
      <c r="O360" s="2"/>
      <c r="P360" s="2"/>
      <c r="Q360" s="2"/>
    </row>
    <row r="361" spans="5:17" x14ac:dyDescent="0.3">
      <c r="E361" s="2"/>
      <c r="F361" s="2"/>
      <c r="G361" s="2"/>
      <c r="O361" s="2"/>
      <c r="P361" s="2"/>
      <c r="Q361" s="2"/>
    </row>
    <row r="362" spans="5:17" x14ac:dyDescent="0.3">
      <c r="E362" s="2"/>
      <c r="F362" s="2"/>
      <c r="G362" s="2"/>
      <c r="O362" s="2"/>
      <c r="P362" s="2"/>
      <c r="Q362" s="2"/>
    </row>
    <row r="363" spans="5:17" x14ac:dyDescent="0.3">
      <c r="E363" s="2"/>
      <c r="F363" s="2"/>
      <c r="G363" s="2"/>
      <c r="O363" s="2"/>
      <c r="P363" s="2"/>
      <c r="Q363" s="2"/>
    </row>
    <row r="364" spans="5:17" x14ac:dyDescent="0.3">
      <c r="E364" s="2"/>
      <c r="F364" s="2"/>
      <c r="G364" s="2"/>
      <c r="O364" s="2"/>
      <c r="P364" s="2"/>
      <c r="Q364" s="2"/>
    </row>
    <row r="365" spans="5:17" x14ac:dyDescent="0.3">
      <c r="E365" s="2"/>
      <c r="F365" s="2"/>
      <c r="G365" s="2"/>
      <c r="O365" s="2"/>
      <c r="P365" s="2"/>
      <c r="Q365" s="2"/>
    </row>
    <row r="366" spans="5:17" x14ac:dyDescent="0.3">
      <c r="E366" s="2"/>
      <c r="F366" s="2"/>
      <c r="G366" s="2"/>
      <c r="O366" s="2"/>
      <c r="P366" s="2"/>
      <c r="Q366" s="2"/>
    </row>
    <row r="367" spans="5:17" x14ac:dyDescent="0.3">
      <c r="E367" s="2"/>
      <c r="F367" s="2"/>
      <c r="G367" s="2"/>
      <c r="O367" s="2"/>
      <c r="P367" s="2"/>
      <c r="Q367" s="2"/>
    </row>
    <row r="368" spans="5:17" x14ac:dyDescent="0.3">
      <c r="E368" s="2"/>
      <c r="F368" s="2"/>
      <c r="G368" s="2"/>
      <c r="O368" s="2"/>
      <c r="P368" s="2"/>
      <c r="Q368" s="2"/>
    </row>
    <row r="369" spans="5:17" x14ac:dyDescent="0.3">
      <c r="E369" s="2"/>
      <c r="F369" s="2"/>
      <c r="G369" s="2"/>
      <c r="O369" s="2"/>
      <c r="P369" s="2"/>
      <c r="Q369" s="2"/>
    </row>
    <row r="370" spans="5:17" x14ac:dyDescent="0.3">
      <c r="E370" s="2"/>
      <c r="F370" s="2"/>
      <c r="G370" s="2"/>
      <c r="O370" s="2"/>
      <c r="P370" s="2"/>
      <c r="Q370" s="2"/>
    </row>
    <row r="371" spans="5:17" x14ac:dyDescent="0.3">
      <c r="E371" s="2"/>
      <c r="F371" s="2"/>
      <c r="G371" s="2"/>
      <c r="O371" s="2"/>
      <c r="P371" s="2"/>
      <c r="Q371" s="2"/>
    </row>
    <row r="372" spans="5:17" x14ac:dyDescent="0.3">
      <c r="E372" s="2"/>
      <c r="F372" s="2"/>
      <c r="G372" s="2"/>
      <c r="O372" s="2"/>
      <c r="P372" s="2"/>
      <c r="Q372" s="2"/>
    </row>
    <row r="373" spans="5:17" x14ac:dyDescent="0.3">
      <c r="E373" s="2"/>
      <c r="F373" s="2"/>
      <c r="G373" s="2"/>
      <c r="O373" s="2"/>
      <c r="P373" s="2"/>
      <c r="Q373" s="2"/>
    </row>
    <row r="374" spans="5:17" x14ac:dyDescent="0.3">
      <c r="E374" s="2"/>
      <c r="F374" s="2"/>
      <c r="G374" s="2"/>
      <c r="O374" s="2"/>
      <c r="P374" s="2"/>
      <c r="Q374" s="2"/>
    </row>
    <row r="375" spans="5:17" x14ac:dyDescent="0.3">
      <c r="E375" s="2"/>
      <c r="F375" s="2"/>
      <c r="G375" s="2"/>
      <c r="O375" s="2"/>
      <c r="P375" s="2"/>
      <c r="Q375" s="2"/>
    </row>
    <row r="376" spans="5:17" x14ac:dyDescent="0.3">
      <c r="E376" s="2"/>
      <c r="F376" s="2"/>
      <c r="G376" s="2"/>
      <c r="O376" s="2"/>
      <c r="P376" s="2"/>
      <c r="Q376" s="2"/>
    </row>
    <row r="377" spans="5:17" x14ac:dyDescent="0.3">
      <c r="E377" s="2"/>
      <c r="F377" s="2"/>
      <c r="G377" s="2"/>
      <c r="O377" s="2"/>
      <c r="P377" s="2"/>
      <c r="Q377" s="2"/>
    </row>
    <row r="378" spans="5:17" x14ac:dyDescent="0.3">
      <c r="E378" s="2"/>
      <c r="F378" s="2"/>
      <c r="G378" s="2"/>
      <c r="O378" s="2"/>
      <c r="P378" s="2"/>
      <c r="Q378" s="2"/>
    </row>
    <row r="379" spans="5:17" x14ac:dyDescent="0.3">
      <c r="E379" s="2"/>
      <c r="F379" s="2"/>
      <c r="G379" s="2"/>
      <c r="O379" s="2"/>
      <c r="P379" s="2"/>
      <c r="Q379" s="2"/>
    </row>
    <row r="380" spans="5:17" x14ac:dyDescent="0.3">
      <c r="E380" s="2"/>
      <c r="F380" s="2"/>
      <c r="G380" s="2"/>
      <c r="O380" s="2"/>
      <c r="P380" s="2"/>
      <c r="Q380" s="2"/>
    </row>
    <row r="381" spans="5:17" x14ac:dyDescent="0.3">
      <c r="E381" s="2"/>
      <c r="F381" s="2"/>
      <c r="G381" s="2"/>
      <c r="O381" s="2"/>
      <c r="P381" s="2"/>
      <c r="Q381" s="2"/>
    </row>
    <row r="382" spans="5:17" x14ac:dyDescent="0.3">
      <c r="E382" s="2"/>
      <c r="F382" s="2"/>
      <c r="G382" s="2"/>
      <c r="O382" s="2"/>
      <c r="P382" s="2"/>
      <c r="Q382" s="2"/>
    </row>
    <row r="383" spans="5:17" x14ac:dyDescent="0.3">
      <c r="E383" s="2"/>
      <c r="F383" s="2"/>
      <c r="G383" s="2"/>
      <c r="O383" s="2"/>
      <c r="P383" s="2"/>
      <c r="Q383" s="2"/>
    </row>
    <row r="384" spans="5:17" x14ac:dyDescent="0.3">
      <c r="E384" s="2"/>
      <c r="F384" s="2"/>
      <c r="G384" s="2"/>
      <c r="O384" s="2"/>
      <c r="P384" s="2"/>
      <c r="Q384" s="2"/>
    </row>
    <row r="385" spans="5:17" x14ac:dyDescent="0.3">
      <c r="E385" s="2"/>
      <c r="F385" s="2"/>
      <c r="G385" s="2"/>
      <c r="O385" s="2"/>
      <c r="P385" s="2"/>
      <c r="Q385" s="2"/>
    </row>
    <row r="386" spans="5:17" x14ac:dyDescent="0.3">
      <c r="E386" s="2"/>
      <c r="F386" s="2"/>
      <c r="G386" s="2"/>
      <c r="O386" s="2"/>
      <c r="P386" s="2"/>
      <c r="Q386" s="2"/>
    </row>
    <row r="387" spans="5:17" x14ac:dyDescent="0.3">
      <c r="E387" s="2"/>
      <c r="F387" s="2"/>
      <c r="G387" s="2"/>
      <c r="O387" s="2"/>
      <c r="P387" s="2"/>
      <c r="Q387" s="2"/>
    </row>
    <row r="388" spans="5:17" x14ac:dyDescent="0.3">
      <c r="E388" s="2"/>
      <c r="F388" s="2"/>
      <c r="G388" s="2"/>
      <c r="O388" s="2"/>
      <c r="P388" s="2"/>
      <c r="Q388" s="2"/>
    </row>
    <row r="389" spans="5:17" x14ac:dyDescent="0.3">
      <c r="E389" s="2"/>
      <c r="F389" s="2"/>
      <c r="G389" s="2"/>
      <c r="O389" s="2"/>
      <c r="P389" s="2"/>
      <c r="Q389" s="2"/>
    </row>
    <row r="390" spans="5:17" x14ac:dyDescent="0.3">
      <c r="E390" s="2"/>
      <c r="F390" s="2"/>
      <c r="G390" s="2"/>
      <c r="O390" s="2"/>
      <c r="P390" s="2"/>
      <c r="Q390" s="2"/>
    </row>
    <row r="391" spans="5:17" x14ac:dyDescent="0.3">
      <c r="E391" s="2"/>
      <c r="F391" s="2"/>
      <c r="G391" s="2"/>
      <c r="O391" s="2"/>
      <c r="P391" s="2"/>
      <c r="Q391" s="2"/>
    </row>
    <row r="392" spans="5:17" x14ac:dyDescent="0.3">
      <c r="E392" s="2"/>
      <c r="F392" s="2"/>
      <c r="G392" s="2"/>
      <c r="O392" s="2"/>
      <c r="P392" s="2"/>
      <c r="Q392" s="2"/>
    </row>
    <row r="393" spans="5:17" x14ac:dyDescent="0.3">
      <c r="E393" s="2"/>
      <c r="F393" s="2"/>
      <c r="G393" s="2"/>
      <c r="O393" s="2"/>
      <c r="P393" s="2"/>
      <c r="Q393" s="2"/>
    </row>
    <row r="394" spans="5:17" x14ac:dyDescent="0.3">
      <c r="E394" s="2"/>
      <c r="F394" s="2"/>
      <c r="G394" s="2"/>
      <c r="O394" s="2"/>
      <c r="P394" s="2"/>
      <c r="Q394" s="2"/>
    </row>
    <row r="395" spans="5:17" x14ac:dyDescent="0.3">
      <c r="E395" s="2"/>
      <c r="F395" s="2"/>
      <c r="G395" s="2"/>
      <c r="O395" s="2"/>
      <c r="P395" s="2"/>
      <c r="Q395" s="2"/>
    </row>
    <row r="396" spans="5:17" x14ac:dyDescent="0.3">
      <c r="E396" s="2"/>
      <c r="F396" s="2"/>
      <c r="G396" s="2"/>
      <c r="O396" s="2"/>
      <c r="P396" s="2"/>
      <c r="Q396" s="2"/>
    </row>
    <row r="397" spans="5:17" x14ac:dyDescent="0.3">
      <c r="E397" s="2"/>
      <c r="F397" s="2"/>
      <c r="G397" s="2"/>
      <c r="O397" s="2"/>
      <c r="P397" s="2"/>
      <c r="Q397" s="2"/>
    </row>
    <row r="398" spans="5:17" x14ac:dyDescent="0.3">
      <c r="E398" s="2"/>
      <c r="F398" s="2"/>
      <c r="G398" s="2"/>
      <c r="O398" s="2"/>
      <c r="P398" s="2"/>
      <c r="Q398" s="2"/>
    </row>
    <row r="399" spans="5:17" x14ac:dyDescent="0.3">
      <c r="E399" s="2"/>
      <c r="F399" s="2"/>
      <c r="G399" s="2"/>
      <c r="O399" s="2"/>
      <c r="P399" s="2"/>
      <c r="Q399" s="2"/>
    </row>
    <row r="400" spans="5:17" x14ac:dyDescent="0.3">
      <c r="E400" s="2"/>
      <c r="F400" s="2"/>
      <c r="G400" s="2"/>
      <c r="O400" s="2"/>
      <c r="P400" s="2"/>
      <c r="Q400" s="2"/>
    </row>
    <row r="401" spans="5:17" x14ac:dyDescent="0.3">
      <c r="E401" s="2"/>
      <c r="F401" s="2"/>
      <c r="G401" s="2"/>
      <c r="O401" s="2"/>
      <c r="P401" s="2"/>
      <c r="Q401" s="2"/>
    </row>
    <row r="402" spans="5:17" x14ac:dyDescent="0.3">
      <c r="E402" s="2"/>
      <c r="F402" s="2"/>
      <c r="G402" s="2"/>
      <c r="O402" s="2"/>
      <c r="P402" s="2"/>
      <c r="Q402" s="2"/>
    </row>
    <row r="403" spans="5:17" x14ac:dyDescent="0.3">
      <c r="E403" s="2"/>
      <c r="F403" s="2"/>
      <c r="G403" s="2"/>
      <c r="O403" s="2"/>
      <c r="P403" s="2"/>
      <c r="Q403" s="2"/>
    </row>
    <row r="404" spans="5:17" x14ac:dyDescent="0.3">
      <c r="E404" s="2"/>
      <c r="F404" s="2"/>
      <c r="G404" s="2"/>
      <c r="O404" s="2"/>
      <c r="P404" s="2"/>
      <c r="Q404" s="2"/>
    </row>
    <row r="405" spans="5:17" x14ac:dyDescent="0.3">
      <c r="E405" s="2"/>
      <c r="F405" s="2"/>
      <c r="G405" s="2"/>
      <c r="O405" s="2"/>
      <c r="P405" s="2"/>
      <c r="Q405" s="2"/>
    </row>
    <row r="406" spans="5:17" x14ac:dyDescent="0.3">
      <c r="E406" s="2"/>
      <c r="F406" s="2"/>
      <c r="G406" s="2"/>
      <c r="O406" s="2"/>
      <c r="P406" s="2"/>
      <c r="Q406" s="2"/>
    </row>
    <row r="407" spans="5:17" x14ac:dyDescent="0.3">
      <c r="E407" s="2"/>
      <c r="F407" s="2"/>
      <c r="G407" s="2"/>
      <c r="O407" s="2"/>
      <c r="P407" s="2"/>
      <c r="Q407" s="2"/>
    </row>
    <row r="408" spans="5:17" x14ac:dyDescent="0.3">
      <c r="E408" s="2"/>
      <c r="F408" s="2"/>
      <c r="G408" s="2"/>
      <c r="O408" s="2"/>
      <c r="P408" s="2"/>
      <c r="Q408" s="2"/>
    </row>
    <row r="409" spans="5:17" x14ac:dyDescent="0.3">
      <c r="E409" s="2"/>
      <c r="F409" s="2"/>
      <c r="G409" s="2"/>
      <c r="O409" s="2"/>
      <c r="P409" s="2"/>
      <c r="Q409" s="2"/>
    </row>
    <row r="410" spans="5:17" x14ac:dyDescent="0.3">
      <c r="E410" s="2"/>
      <c r="F410" s="2"/>
      <c r="G410" s="2"/>
      <c r="O410" s="2"/>
      <c r="P410" s="2"/>
      <c r="Q410" s="2"/>
    </row>
    <row r="411" spans="5:17" x14ac:dyDescent="0.3">
      <c r="E411" s="2"/>
      <c r="F411" s="2"/>
      <c r="G411" s="2"/>
      <c r="O411" s="2"/>
      <c r="P411" s="2"/>
      <c r="Q411" s="2"/>
    </row>
    <row r="412" spans="5:17" x14ac:dyDescent="0.3">
      <c r="E412" s="2"/>
      <c r="F412" s="2"/>
      <c r="G412" s="2"/>
      <c r="O412" s="2"/>
      <c r="P412" s="2"/>
      <c r="Q412" s="2"/>
    </row>
    <row r="413" spans="5:17" x14ac:dyDescent="0.3">
      <c r="E413" s="2"/>
      <c r="F413" s="2"/>
      <c r="G413" s="2"/>
      <c r="O413" s="2"/>
      <c r="P413" s="2"/>
      <c r="Q413" s="2"/>
    </row>
    <row r="414" spans="5:17" x14ac:dyDescent="0.3">
      <c r="E414" s="2"/>
      <c r="F414" s="2"/>
      <c r="G414" s="2"/>
      <c r="O414" s="2"/>
      <c r="P414" s="2"/>
      <c r="Q414" s="2"/>
    </row>
    <row r="415" spans="5:17" x14ac:dyDescent="0.3">
      <c r="E415" s="2"/>
      <c r="F415" s="2"/>
      <c r="G415" s="2"/>
      <c r="O415" s="2"/>
      <c r="P415" s="2"/>
      <c r="Q415" s="2"/>
    </row>
    <row r="416" spans="5:17" x14ac:dyDescent="0.3">
      <c r="E416" s="2"/>
      <c r="F416" s="2"/>
      <c r="G416" s="2"/>
      <c r="O416" s="2"/>
      <c r="P416" s="2"/>
      <c r="Q416" s="2"/>
    </row>
    <row r="417" spans="5:17" x14ac:dyDescent="0.3">
      <c r="E417" s="2"/>
      <c r="F417" s="2"/>
      <c r="G417" s="2"/>
      <c r="O417" s="2"/>
      <c r="P417" s="2"/>
      <c r="Q417" s="2"/>
    </row>
    <row r="418" spans="5:17" x14ac:dyDescent="0.3">
      <c r="E418" s="2"/>
      <c r="F418" s="2"/>
      <c r="G418" s="2"/>
      <c r="O418" s="2"/>
      <c r="P418" s="2"/>
      <c r="Q418" s="2"/>
    </row>
    <row r="419" spans="5:17" x14ac:dyDescent="0.3">
      <c r="E419" s="2"/>
      <c r="F419" s="2"/>
      <c r="G419" s="2"/>
      <c r="O419" s="2"/>
      <c r="P419" s="2"/>
      <c r="Q419" s="2"/>
    </row>
    <row r="420" spans="5:17" x14ac:dyDescent="0.3">
      <c r="E420" s="2"/>
      <c r="F420" s="2"/>
      <c r="G420" s="2"/>
      <c r="O420" s="2"/>
      <c r="P420" s="2"/>
      <c r="Q420" s="2"/>
    </row>
    <row r="421" spans="5:17" x14ac:dyDescent="0.3">
      <c r="E421" s="2"/>
      <c r="F421" s="2"/>
      <c r="G421" s="2"/>
      <c r="O421" s="2"/>
      <c r="P421" s="2"/>
      <c r="Q421" s="2"/>
    </row>
    <row r="422" spans="5:17" x14ac:dyDescent="0.3">
      <c r="E422" s="2"/>
      <c r="F422" s="2"/>
      <c r="G422" s="2"/>
      <c r="O422" s="2"/>
      <c r="P422" s="2"/>
      <c r="Q422" s="2"/>
    </row>
    <row r="423" spans="5:17" x14ac:dyDescent="0.3">
      <c r="E423" s="2"/>
      <c r="F423" s="2"/>
      <c r="G423" s="2"/>
      <c r="O423" s="2"/>
      <c r="P423" s="2"/>
      <c r="Q423" s="2"/>
    </row>
    <row r="424" spans="5:17" x14ac:dyDescent="0.3">
      <c r="E424" s="2"/>
      <c r="F424" s="2"/>
      <c r="G424" s="2"/>
      <c r="O424" s="2"/>
      <c r="P424" s="2"/>
      <c r="Q424" s="2"/>
    </row>
    <row r="425" spans="5:17" x14ac:dyDescent="0.3">
      <c r="E425" s="2"/>
      <c r="F425" s="2"/>
      <c r="G425" s="2"/>
      <c r="O425" s="2"/>
      <c r="P425" s="2"/>
      <c r="Q425" s="2"/>
    </row>
    <row r="426" spans="5:17" x14ac:dyDescent="0.3">
      <c r="E426" s="2"/>
      <c r="F426" s="2"/>
      <c r="G426" s="2"/>
      <c r="O426" s="2"/>
      <c r="P426" s="2"/>
      <c r="Q426" s="2"/>
    </row>
    <row r="427" spans="5:17" x14ac:dyDescent="0.3">
      <c r="E427" s="2"/>
      <c r="F427" s="2"/>
      <c r="G427" s="2"/>
      <c r="O427" s="2"/>
      <c r="P427" s="2"/>
      <c r="Q427" s="2"/>
    </row>
    <row r="428" spans="5:17" x14ac:dyDescent="0.3">
      <c r="E428" s="2"/>
      <c r="F428" s="2"/>
      <c r="G428" s="2"/>
      <c r="O428" s="2"/>
      <c r="P428" s="2"/>
      <c r="Q428" s="2"/>
    </row>
    <row r="429" spans="5:17" x14ac:dyDescent="0.3">
      <c r="E429" s="2"/>
      <c r="F429" s="2"/>
      <c r="G429" s="2"/>
      <c r="O429" s="2"/>
      <c r="P429" s="2"/>
      <c r="Q429" s="2"/>
    </row>
    <row r="430" spans="5:17" x14ac:dyDescent="0.3">
      <c r="E430" s="2"/>
      <c r="F430" s="2"/>
      <c r="G430" s="2"/>
      <c r="O430" s="2"/>
      <c r="P430" s="2"/>
      <c r="Q430" s="2"/>
    </row>
    <row r="431" spans="5:17" x14ac:dyDescent="0.3">
      <c r="E431" s="2"/>
      <c r="F431" s="2"/>
      <c r="G431" s="2"/>
      <c r="O431" s="2"/>
      <c r="P431" s="2"/>
      <c r="Q431" s="2"/>
    </row>
    <row r="432" spans="5:17" x14ac:dyDescent="0.3">
      <c r="E432" s="2"/>
      <c r="F432" s="2"/>
      <c r="G432" s="2"/>
      <c r="O432" s="2"/>
      <c r="P432" s="2"/>
      <c r="Q432" s="2"/>
    </row>
    <row r="433" spans="5:17" x14ac:dyDescent="0.3">
      <c r="E433" s="2"/>
      <c r="F433" s="2"/>
      <c r="G433" s="2"/>
      <c r="O433" s="2"/>
      <c r="P433" s="2"/>
      <c r="Q433" s="2"/>
    </row>
    <row r="434" spans="5:17" x14ac:dyDescent="0.3">
      <c r="E434" s="2"/>
      <c r="F434" s="2"/>
      <c r="G434" s="2"/>
      <c r="O434" s="2"/>
      <c r="P434" s="2"/>
      <c r="Q434" s="2"/>
    </row>
  </sheetData>
  <autoFilter ref="J10:O23">
    <sortState ref="J11:O23">
      <sortCondition descending="1" ref="K10:K23"/>
    </sortState>
  </autoFilter>
  <sortState ref="J10:S23">
    <sortCondition descending="1" ref="K10:K23"/>
  </sortState>
  <mergeCells count="49"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  <mergeCell ref="F33:G33"/>
    <mergeCell ref="U33:V33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B12:B13"/>
    <mergeCell ref="C12:C13"/>
    <mergeCell ref="D12:D13"/>
    <mergeCell ref="E12:E13"/>
    <mergeCell ref="F12:F13"/>
    <mergeCell ref="G12:G13"/>
    <mergeCell ref="H12:H13"/>
    <mergeCell ref="J9:T9"/>
  </mergeCells>
  <phoneticPr fontId="3" type="noConversion"/>
  <conditionalFormatting sqref="B11:H11 B14:H14 B17:H17 B20:H20 B23:H23 B26:H26">
    <cfRule type="expression" dxfId="71" priority="6">
      <formula>MONTH(B11)&lt;&gt;$A$2</formula>
    </cfRule>
  </conditionalFormatting>
  <conditionalFormatting sqref="B11:H28">
    <cfRule type="expression" dxfId="70" priority="5">
      <formula>B11="무지출"</formula>
    </cfRule>
  </conditionalFormatting>
  <conditionalFormatting sqref="U58:U78 U81:U84 U106:U165">
    <cfRule type="expression" dxfId="31" priority="4">
      <formula>$U58&lt;0</formula>
    </cfRule>
  </conditionalFormatting>
  <conditionalFormatting sqref="U86:U104">
    <cfRule type="expression" dxfId="30" priority="3">
      <formula>$U86&lt;0</formula>
    </cfRule>
  </conditionalFormatting>
  <conditionalFormatting sqref="U85">
    <cfRule type="expression" dxfId="29" priority="2">
      <formula>$U85&lt;0</formula>
    </cfRule>
  </conditionalFormatting>
  <conditionalFormatting sqref="U105">
    <cfRule type="expression" dxfId="28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4"/>
    <pageSetUpPr autoPageBreaks="0" fitToPage="1"/>
  </sheetPr>
  <dimension ref="A1:AH425"/>
  <sheetViews>
    <sheetView showGridLines="0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34" ht="16.5" customHeight="1" x14ac:dyDescent="0.3">
      <c r="A1" s="407">
        <f>메인!$R$3</f>
        <v>2025</v>
      </c>
      <c r="B1" s="541" t="s">
        <v>127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123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</row>
    <row r="2" spans="1:34" ht="16.5" customHeight="1" x14ac:dyDescent="0.3">
      <c r="A2" s="408">
        <f>메인!$J$11</f>
        <v>6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123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</row>
    <row r="3" spans="1:34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124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</row>
    <row r="4" spans="1:34" ht="17.45" customHeight="1" x14ac:dyDescent="0.3"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</row>
    <row r="5" spans="1:34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S5" s="38"/>
      <c r="T5" s="38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</row>
    <row r="6" spans="1:34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441"/>
      <c r="K6" s="394"/>
      <c r="L6" s="394"/>
      <c r="M6" s="394"/>
      <c r="N6" s="394"/>
      <c r="O6" s="394"/>
      <c r="P6" s="394"/>
      <c r="Q6" s="352"/>
      <c r="R6" s="443"/>
      <c r="S6" s="394"/>
      <c r="T6" s="394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</row>
    <row r="7" spans="1:34" ht="19.899999999999999" customHeight="1" x14ac:dyDescent="0.3">
      <c r="B7" s="62" t="s">
        <v>43</v>
      </c>
      <c r="C7" s="57">
        <f>$C$5-$C$6</f>
        <v>-2610100</v>
      </c>
      <c r="J7" s="442"/>
      <c r="K7" s="395"/>
      <c r="L7" s="395"/>
      <c r="M7" s="395"/>
      <c r="N7" s="395"/>
      <c r="O7" s="395"/>
      <c r="P7" s="395"/>
      <c r="Q7" s="353"/>
      <c r="R7" s="444"/>
      <c r="S7" s="395"/>
      <c r="T7" s="395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</row>
    <row r="8" spans="1:34" ht="19.899999999999999" customHeight="1" x14ac:dyDescent="0.3">
      <c r="E8" s="3"/>
      <c r="F8" s="3"/>
      <c r="G8" s="412" t="s">
        <v>257</v>
      </c>
      <c r="H8" s="413">
        <f ca="1">COUNTIF(B10:H28,"무지출")</f>
        <v>30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</row>
    <row r="9" spans="1:34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</row>
    <row r="10" spans="1:34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</row>
    <row r="11" spans="1:34" ht="19.899999999999999" customHeight="1" x14ac:dyDescent="0.3">
      <c r="B11" s="404">
        <f>DATE($A$1,$A$2,1)-WEEKDAY(DATE($A$1,$A$2,1))+1</f>
        <v>45809</v>
      </c>
      <c r="C11" s="405">
        <f>B11+1</f>
        <v>45810</v>
      </c>
      <c r="D11" s="405">
        <f t="shared" ref="D11:H11" si="0">C11+1</f>
        <v>45811</v>
      </c>
      <c r="E11" s="405">
        <f t="shared" si="0"/>
        <v>45812</v>
      </c>
      <c r="F11" s="405">
        <f t="shared" si="0"/>
        <v>45813</v>
      </c>
      <c r="G11" s="405">
        <f t="shared" si="0"/>
        <v>45814</v>
      </c>
      <c r="H11" s="406">
        <f t="shared" si="0"/>
        <v>45815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VLOOKUP(J11,예산!$B$41:$N$53,7,FALSE)</f>
        <v>0</v>
      </c>
      <c r="M11" s="428">
        <f t="shared" ref="M11:M23" si="1">L11-K11</f>
        <v>0</v>
      </c>
      <c r="N11" s="437">
        <f>VLOOKUP(J11,'5월'!$J$10:$K$23,2,FALSE)</f>
        <v>0</v>
      </c>
      <c r="O11" s="439">
        <f t="shared" ref="O11:O23" si="2">K11-N11</f>
        <v>0</v>
      </c>
      <c r="P11" s="3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</row>
    <row r="12" spans="1:34" ht="19.899999999999999" customHeight="1" x14ac:dyDescent="0.3">
      <c r="B12" s="532" t="str">
        <f t="shared" ref="B12:H12" ca="1" si="3">IF(MONTH(B11)&lt;&gt;$A$2,"",IF(AND(SUMIF($J$80:$J$164,B11,$R$80:$R$164)=0,B11&lt;TODAY()),"무지출",SUMIF($J$80:$J$164,B11,$R$80:$R$164)))</f>
        <v>무지출</v>
      </c>
      <c r="C12" s="533" t="str">
        <f t="shared" ca="1" si="3"/>
        <v>무지출</v>
      </c>
      <c r="D12" s="533" t="str">
        <f t="shared" ca="1" si="3"/>
        <v>무지출</v>
      </c>
      <c r="E12" s="533" t="str">
        <f t="shared" ca="1" si="3"/>
        <v>무지출</v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VLOOKUP(J12,예산!$B$41:$N$53,7,FALSE)</f>
        <v>0</v>
      </c>
      <c r="M12" s="428">
        <f t="shared" si="1"/>
        <v>-212000</v>
      </c>
      <c r="N12" s="437">
        <f>VLOOKUP(J12,'5월'!$J$10:$K$23,2,FALSE)</f>
        <v>212000</v>
      </c>
      <c r="O12" s="439">
        <f t="shared" si="2"/>
        <v>0</v>
      </c>
      <c r="P12" s="3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</row>
    <row r="13" spans="1:34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VLOOKUP(J13,예산!$B$41:$N$53,7,FALSE)</f>
        <v>0</v>
      </c>
      <c r="M13" s="428">
        <f t="shared" si="1"/>
        <v>0</v>
      </c>
      <c r="N13" s="437">
        <f>VLOOKUP(J13,'5월'!$J$10:$K$23,2,FALSE)</f>
        <v>0</v>
      </c>
      <c r="O13" s="439">
        <f t="shared" si="2"/>
        <v>0</v>
      </c>
      <c r="P13" s="3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</row>
    <row r="14" spans="1:34" ht="19.899999999999999" customHeight="1" x14ac:dyDescent="0.3">
      <c r="B14" s="404">
        <f>B11+7</f>
        <v>45816</v>
      </c>
      <c r="C14" s="405">
        <f t="shared" ref="C14:H14" si="5">C11+7</f>
        <v>45817</v>
      </c>
      <c r="D14" s="405">
        <f t="shared" si="5"/>
        <v>45818</v>
      </c>
      <c r="E14" s="405">
        <f t="shared" si="5"/>
        <v>45819</v>
      </c>
      <c r="F14" s="405">
        <f t="shared" si="5"/>
        <v>45820</v>
      </c>
      <c r="G14" s="405">
        <f t="shared" si="5"/>
        <v>45821</v>
      </c>
      <c r="H14" s="406">
        <f t="shared" si="5"/>
        <v>45822</v>
      </c>
      <c r="J14" s="369" t="str">
        <f>항목!H$3</f>
        <v>반려동물비</v>
      </c>
      <c r="K14" s="426">
        <f t="shared" si="4"/>
        <v>0</v>
      </c>
      <c r="L14" s="426">
        <f>VLOOKUP(J14,예산!$B$41:$N$53,7,FALSE)</f>
        <v>0</v>
      </c>
      <c r="M14" s="428">
        <f t="shared" si="1"/>
        <v>0</v>
      </c>
      <c r="N14" s="437">
        <f>VLOOKUP(J14,'5월'!$J$10:$K$23,2,FALSE)</f>
        <v>0</v>
      </c>
      <c r="O14" s="439">
        <f t="shared" si="2"/>
        <v>0</v>
      </c>
      <c r="P14" s="3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</row>
    <row r="15" spans="1:34" ht="19.899999999999999" customHeight="1" x14ac:dyDescent="0.3">
      <c r="B15" s="532" t="str">
        <f t="shared" ref="B15:H15" ca="1" si="6">IF(MONTH(B14)&lt;&gt;$A$2,"",IF(AND(SUMIF($J$80:$J$164,B14,$R$80:$R$164)=0,B14&lt;TODAY()),"무지출",SUMIF($J$80:$J$164,B14,$R$80:$R$164)))</f>
        <v>무지출</v>
      </c>
      <c r="C15" s="533" t="str">
        <f t="shared" ca="1" si="6"/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VLOOKUP(J15,예산!$B$41:$N$53,7,FALSE)</f>
        <v>0</v>
      </c>
      <c r="M15" s="428">
        <f t="shared" si="1"/>
        <v>0</v>
      </c>
      <c r="N15" s="437">
        <f>VLOOKUP(J15,'5월'!$J$10:$K$23,2,FALSE)</f>
        <v>0</v>
      </c>
      <c r="O15" s="439">
        <f t="shared" si="2"/>
        <v>0</v>
      </c>
      <c r="P15" s="3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</row>
    <row r="16" spans="1:34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VLOOKUP(J16,예산!$B$41:$N$53,7,FALSE)</f>
        <v>0</v>
      </c>
      <c r="M16" s="428">
        <f t="shared" si="1"/>
        <v>0</v>
      </c>
      <c r="N16" s="437">
        <f>VLOOKUP(J16,'5월'!$J$10:$K$23,2,FALSE)</f>
        <v>0</v>
      </c>
      <c r="O16" s="439">
        <f t="shared" si="2"/>
        <v>0</v>
      </c>
      <c r="P16" s="3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</row>
    <row r="17" spans="2:34" ht="19.899999999999999" customHeight="1" x14ac:dyDescent="0.3">
      <c r="B17" s="404">
        <f>B11+14</f>
        <v>45823</v>
      </c>
      <c r="C17" s="405">
        <f t="shared" ref="C17:H17" si="7">C11+14</f>
        <v>45824</v>
      </c>
      <c r="D17" s="405">
        <f t="shared" si="7"/>
        <v>45825</v>
      </c>
      <c r="E17" s="405">
        <f t="shared" si="7"/>
        <v>45826</v>
      </c>
      <c r="F17" s="405">
        <f t="shared" si="7"/>
        <v>45827</v>
      </c>
      <c r="G17" s="405">
        <f t="shared" si="7"/>
        <v>45828</v>
      </c>
      <c r="H17" s="406">
        <f t="shared" si="7"/>
        <v>45829</v>
      </c>
      <c r="J17" s="369" t="str">
        <f>항목!K$3</f>
        <v>문화생활비</v>
      </c>
      <c r="K17" s="426">
        <f t="shared" si="4"/>
        <v>63100</v>
      </c>
      <c r="L17" s="426">
        <f>VLOOKUP(J17,예산!$B$41:$N$53,7,FALSE)</f>
        <v>0</v>
      </c>
      <c r="M17" s="428">
        <f t="shared" si="1"/>
        <v>-63100</v>
      </c>
      <c r="N17" s="437">
        <f>VLOOKUP(J17,'5월'!$J$10:$K$23,2,FALSE)</f>
        <v>63100</v>
      </c>
      <c r="O17" s="439">
        <f t="shared" si="2"/>
        <v>0</v>
      </c>
      <c r="P17" s="3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</row>
    <row r="18" spans="2:34" ht="19.899999999999999" customHeight="1" x14ac:dyDescent="0.3">
      <c r="B18" s="532" t="str">
        <f t="shared" ref="B18:H18" ca="1" si="8">IF(MONTH(B17)&lt;&gt;$A$2,"",IF(AND(SUMIF($J$80:$J$164,B17,$R$80:$R$164)=0,B17&lt;TODAY()),"무지출",SUMIF($J$80:$J$164,B17,$R$80:$R$164)))</f>
        <v>무지출</v>
      </c>
      <c r="C18" s="533" t="str">
        <f t="shared" ca="1" si="8"/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VLOOKUP(J18,예산!$B$41:$N$53,7,FALSE)</f>
        <v>0</v>
      </c>
      <c r="M18" s="428">
        <f t="shared" si="1"/>
        <v>0</v>
      </c>
      <c r="N18" s="437">
        <f>VLOOKUP(J18,'5월'!$J$10:$K$23,2,FALSE)</f>
        <v>0</v>
      </c>
      <c r="O18" s="439">
        <f t="shared" si="2"/>
        <v>0</v>
      </c>
      <c r="P18" s="3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</row>
    <row r="19" spans="2:34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VLOOKUP(J19,예산!$B$41:$N$53,7,FALSE)</f>
        <v>0</v>
      </c>
      <c r="M19" s="428">
        <f t="shared" si="1"/>
        <v>0</v>
      </c>
      <c r="N19" s="437">
        <f>VLOOKUP(J19,'5월'!$J$10:$K$23,2,FALSE)</f>
        <v>0</v>
      </c>
      <c r="O19" s="439">
        <f t="shared" si="2"/>
        <v>0</v>
      </c>
      <c r="P19" s="3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</row>
    <row r="20" spans="2:34" ht="19.899999999999999" customHeight="1" x14ac:dyDescent="0.3">
      <c r="B20" s="404">
        <f>B11+21</f>
        <v>45830</v>
      </c>
      <c r="C20" s="405">
        <f t="shared" ref="C20:H20" si="9">C11+21</f>
        <v>45831</v>
      </c>
      <c r="D20" s="405">
        <f t="shared" si="9"/>
        <v>45832</v>
      </c>
      <c r="E20" s="405">
        <f t="shared" si="9"/>
        <v>45833</v>
      </c>
      <c r="F20" s="405">
        <f t="shared" si="9"/>
        <v>45834</v>
      </c>
      <c r="G20" s="405">
        <f t="shared" si="9"/>
        <v>45835</v>
      </c>
      <c r="H20" s="406">
        <f t="shared" si="9"/>
        <v>45836</v>
      </c>
      <c r="J20" s="369" t="str">
        <f>항목!N$3</f>
        <v>통신비</v>
      </c>
      <c r="K20" s="426">
        <f t="shared" si="4"/>
        <v>0</v>
      </c>
      <c r="L20" s="426">
        <f>VLOOKUP(J20,예산!$B$41:$N$53,7,FALSE)</f>
        <v>0</v>
      </c>
      <c r="M20" s="428">
        <f t="shared" si="1"/>
        <v>0</v>
      </c>
      <c r="N20" s="437">
        <f>VLOOKUP(J20,'5월'!$J$10:$K$23,2,FALSE)</f>
        <v>0</v>
      </c>
      <c r="O20" s="439">
        <f t="shared" si="2"/>
        <v>0</v>
      </c>
      <c r="P20" s="3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</row>
    <row r="21" spans="2:34" ht="19.899999999999999" customHeight="1" x14ac:dyDescent="0.3">
      <c r="B21" s="532" t="str">
        <f t="shared" ref="B21:H21" ca="1" si="10">IF(MONTH(B20)&lt;&gt;$A$2,"",IF(AND(SUMIF($J$80:$J$164,B20,$R$80:$R$164)=0,B20&lt;TODAY()),"무지출",SUMIF($J$80:$J$164,B20,$R$80:$R$164)))</f>
        <v>무지출</v>
      </c>
      <c r="C21" s="533" t="str">
        <f t="shared" ca="1" si="10"/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VLOOKUP(J21,예산!$B$41:$N$53,7,FALSE)</f>
        <v>0</v>
      </c>
      <c r="M21" s="428">
        <f t="shared" si="1"/>
        <v>0</v>
      </c>
      <c r="N21" s="437">
        <f>VLOOKUP(J21,'5월'!$J$10:$K$23,2,FALSE)</f>
        <v>0</v>
      </c>
      <c r="O21" s="439">
        <f t="shared" si="2"/>
        <v>0</v>
      </c>
      <c r="P21" s="3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</row>
    <row r="22" spans="2:34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VLOOKUP(J22,예산!$B$41:$N$53,7,FALSE)</f>
        <v>0</v>
      </c>
      <c r="M22" s="428">
        <f t="shared" si="1"/>
        <v>0</v>
      </c>
      <c r="N22" s="437">
        <f>VLOOKUP(J22,'5월'!$J$10:$K$23,2,FALSE)</f>
        <v>0</v>
      </c>
      <c r="O22" s="439">
        <f t="shared" si="2"/>
        <v>0</v>
      </c>
      <c r="P22" s="3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</row>
    <row r="23" spans="2:34" ht="19.899999999999999" customHeight="1" x14ac:dyDescent="0.3">
      <c r="B23" s="404">
        <f>B11+28</f>
        <v>45837</v>
      </c>
      <c r="C23" s="405">
        <f t="shared" ref="C23:H23" si="11">C11+28</f>
        <v>45838</v>
      </c>
      <c r="D23" s="405">
        <f t="shared" si="11"/>
        <v>45839</v>
      </c>
      <c r="E23" s="405">
        <f t="shared" si="11"/>
        <v>45840</v>
      </c>
      <c r="F23" s="405">
        <f t="shared" si="11"/>
        <v>45841</v>
      </c>
      <c r="G23" s="405">
        <f t="shared" si="11"/>
        <v>45842</v>
      </c>
      <c r="H23" s="406">
        <f t="shared" si="11"/>
        <v>45843</v>
      </c>
      <c r="J23" s="332" t="str">
        <f>항목!Q$3</f>
        <v>추가항목</v>
      </c>
      <c r="K23" s="426">
        <f t="shared" si="4"/>
        <v>0</v>
      </c>
      <c r="L23" s="427">
        <f>VLOOKUP(J23,예산!$B$41:$N$53,7,FALSE)</f>
        <v>0</v>
      </c>
      <c r="M23" s="429">
        <f t="shared" si="1"/>
        <v>0</v>
      </c>
      <c r="N23" s="438">
        <f>VLOOKUP(J23,'5월'!$J$10:$K$23,2,FALSE)</f>
        <v>0</v>
      </c>
      <c r="O23" s="440">
        <f t="shared" si="2"/>
        <v>0</v>
      </c>
      <c r="P23" s="3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</row>
    <row r="24" spans="2:34" ht="19.899999999999999" customHeight="1" x14ac:dyDescent="0.3">
      <c r="B24" s="532" t="str">
        <f t="shared" ref="B24:H24" ca="1" si="12">IF(MONTH(B23)&lt;&gt;$A$2,"",IF(AND(SUMIF($J$80:$J$164,B23,$R$80:$R$164)=0,B23&lt;TODAY()),"무지출",SUMIF($J$80:$J$164,B23,$R$80:$R$164)))</f>
        <v>무지출</v>
      </c>
      <c r="C24" s="533" t="str">
        <f t="shared" ca="1" si="12"/>
        <v>무지출</v>
      </c>
      <c r="D24" s="533" t="str">
        <f t="shared" ca="1" si="12"/>
        <v/>
      </c>
      <c r="E24" s="533" t="str">
        <f t="shared" ca="1" si="12"/>
        <v/>
      </c>
      <c r="F24" s="533" t="str">
        <f t="shared" ca="1" si="12"/>
        <v/>
      </c>
      <c r="G24" s="533" t="str">
        <f t="shared" ca="1" si="12"/>
        <v/>
      </c>
      <c r="H24" s="534" t="str">
        <f t="shared" ca="1" si="12"/>
        <v/>
      </c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</row>
    <row r="25" spans="2:34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</row>
    <row r="26" spans="2:34" ht="19.899999999999999" customHeight="1" x14ac:dyDescent="0.3">
      <c r="B26" s="404">
        <f>B11+35</f>
        <v>45844</v>
      </c>
      <c r="C26" s="405">
        <f t="shared" ref="C26:H26" si="13">C11+35</f>
        <v>45845</v>
      </c>
      <c r="D26" s="405">
        <f t="shared" si="13"/>
        <v>45846</v>
      </c>
      <c r="E26" s="405">
        <f t="shared" si="13"/>
        <v>45847</v>
      </c>
      <c r="F26" s="405">
        <f t="shared" si="13"/>
        <v>45848</v>
      </c>
      <c r="G26" s="405">
        <f t="shared" si="13"/>
        <v>45849</v>
      </c>
      <c r="H26" s="406">
        <f t="shared" si="13"/>
        <v>45850</v>
      </c>
      <c r="J26" s="446"/>
      <c r="K26" s="368"/>
      <c r="L26" s="368"/>
      <c r="M26" s="368"/>
      <c r="N26" s="368"/>
      <c r="O26" s="368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</row>
    <row r="27" spans="2:34" ht="19.899999999999999" customHeight="1" x14ac:dyDescent="0.3">
      <c r="B27" s="532" t="str">
        <f t="shared" ref="B27:H27" ca="1" si="14">IF(MONTH(B26)&lt;&gt;$A$2,"",IF(AND(SUMIF($J$80:$J$164,B26,$R$80:$R$164)=0,B26&lt;TODAY()),"무지출",SUMIF($J$80:$J$164,B26,$R$80:$R$164)))</f>
        <v/>
      </c>
      <c r="C27" s="533" t="str">
        <f t="shared" ca="1" si="14"/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</row>
    <row r="28" spans="2:34" ht="19.899999999999999" customHeight="1" x14ac:dyDescent="0.3">
      <c r="B28" s="532"/>
      <c r="C28" s="533"/>
      <c r="D28" s="533"/>
      <c r="E28" s="533"/>
      <c r="F28" s="533"/>
      <c r="G28" s="533"/>
      <c r="H28" s="534"/>
      <c r="J28" s="446"/>
      <c r="K28" s="368"/>
      <c r="L28" s="368"/>
      <c r="M28" s="368"/>
      <c r="N28" s="368"/>
      <c r="O28" s="368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</row>
    <row r="29" spans="2:34" ht="19.899999999999999" customHeight="1" x14ac:dyDescent="0.3"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</row>
    <row r="30" spans="2:34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34" ht="10.15" customHeight="1" x14ac:dyDescent="0.3"/>
    <row r="32" spans="2:34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34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34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34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34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34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34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34" ht="18.75" customHeight="1" x14ac:dyDescent="0.3">
      <c r="H167" s="2"/>
      <c r="T167" s="2"/>
    </row>
    <row r="168" spans="1:34" ht="18" customHeight="1" x14ac:dyDescent="0.3">
      <c r="G168" s="2"/>
      <c r="O168" s="2"/>
      <c r="P168" s="2"/>
      <c r="Q168" s="2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</row>
    <row r="169" spans="1:34" ht="18" customHeight="1" x14ac:dyDescent="0.3">
      <c r="G169" s="2"/>
      <c r="O169" s="2"/>
      <c r="P169" s="2"/>
      <c r="Q169" s="2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</row>
    <row r="170" spans="1:34" ht="18" customHeight="1" x14ac:dyDescent="0.3">
      <c r="G170" s="2"/>
      <c r="O170" s="2"/>
      <c r="P170" s="2"/>
      <c r="Q170" s="2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</row>
    <row r="171" spans="1:34" ht="18" customHeight="1" x14ac:dyDescent="0.3">
      <c r="G171" s="2"/>
      <c r="O171" s="2"/>
      <c r="P171" s="2"/>
      <c r="Q171" s="2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</row>
    <row r="172" spans="1:34" ht="18" customHeight="1" x14ac:dyDescent="0.3">
      <c r="G172" s="2"/>
      <c r="O172" s="2"/>
      <c r="P172" s="2"/>
      <c r="Q172" s="2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</row>
    <row r="173" spans="1:34" ht="18" customHeight="1" x14ac:dyDescent="0.3">
      <c r="G173" s="2"/>
      <c r="O173" s="2"/>
      <c r="P173" s="2"/>
      <c r="Q173" s="2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</row>
    <row r="174" spans="1:34" ht="18" customHeight="1" x14ac:dyDescent="0.3">
      <c r="G174" s="2"/>
      <c r="O174" s="2"/>
      <c r="P174" s="2"/>
      <c r="Q174" s="2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</row>
    <row r="175" spans="1:34" ht="18" customHeight="1" x14ac:dyDescent="0.3">
      <c r="G175" s="2"/>
      <c r="O175" s="2"/>
      <c r="P175" s="2"/>
      <c r="Q175" s="2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</row>
    <row r="176" spans="1:34" ht="18" customHeight="1" x14ac:dyDescent="0.3">
      <c r="G176" s="2"/>
      <c r="O176" s="2"/>
      <c r="P176" s="2"/>
      <c r="Q176" s="2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</row>
    <row r="177" spans="7:34" ht="18" customHeight="1" x14ac:dyDescent="0.3">
      <c r="G177" s="2"/>
      <c r="O177" s="2"/>
      <c r="P177" s="2"/>
      <c r="Q177" s="2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</row>
    <row r="178" spans="7:34" ht="18" customHeight="1" x14ac:dyDescent="0.3">
      <c r="G178" s="2"/>
      <c r="O178" s="2"/>
      <c r="P178" s="2"/>
      <c r="Q178" s="2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</row>
    <row r="179" spans="7:34" ht="18" customHeight="1" x14ac:dyDescent="0.3">
      <c r="G179" s="2"/>
      <c r="O179" s="2"/>
      <c r="P179" s="2"/>
      <c r="Q179" s="2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</row>
    <row r="180" spans="7:34" ht="18" customHeight="1" x14ac:dyDescent="0.3">
      <c r="G180" s="2"/>
      <c r="O180" s="2"/>
      <c r="P180" s="2"/>
      <c r="Q180" s="2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</row>
    <row r="181" spans="7:34" ht="18" customHeight="1" x14ac:dyDescent="0.3">
      <c r="G181" s="2"/>
      <c r="O181" s="2"/>
      <c r="P181" s="2"/>
      <c r="Q181" s="2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</row>
    <row r="182" spans="7:34" ht="18" customHeight="1" x14ac:dyDescent="0.3">
      <c r="G182" s="2"/>
      <c r="O182" s="2"/>
      <c r="P182" s="2"/>
      <c r="Q182" s="2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</row>
    <row r="183" spans="7:34" ht="18" customHeight="1" x14ac:dyDescent="0.3">
      <c r="G183" s="2"/>
      <c r="O183" s="2"/>
      <c r="P183" s="2"/>
      <c r="Q183" s="2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</row>
    <row r="184" spans="7:34" ht="18" customHeight="1" x14ac:dyDescent="0.3">
      <c r="G184" s="2"/>
      <c r="O184" s="2"/>
      <c r="P184" s="2"/>
      <c r="Q184" s="2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</row>
    <row r="185" spans="7:34" ht="18" customHeight="1" x14ac:dyDescent="0.3">
      <c r="G185" s="2"/>
      <c r="O185" s="2"/>
      <c r="P185" s="2"/>
      <c r="Q185" s="2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</row>
    <row r="186" spans="7:34" ht="18" customHeight="1" x14ac:dyDescent="0.3">
      <c r="G186" s="2"/>
      <c r="O186" s="2"/>
      <c r="P186" s="2"/>
      <c r="Q186" s="2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</row>
    <row r="187" spans="7:34" ht="18" customHeight="1" x14ac:dyDescent="0.3">
      <c r="G187" s="2"/>
      <c r="O187" s="2"/>
      <c r="P187" s="2"/>
      <c r="Q187" s="2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</row>
    <row r="188" spans="7:34" ht="18" customHeight="1" x14ac:dyDescent="0.3">
      <c r="G188" s="2"/>
      <c r="O188" s="2"/>
      <c r="P188" s="2"/>
      <c r="Q188" s="2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</row>
    <row r="189" spans="7:34" ht="18" customHeight="1" x14ac:dyDescent="0.3">
      <c r="G189" s="2"/>
      <c r="O189" s="2"/>
      <c r="P189" s="2"/>
      <c r="Q189" s="2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</row>
    <row r="190" spans="7:34" ht="18" customHeight="1" x14ac:dyDescent="0.3">
      <c r="G190" s="2"/>
      <c r="O190" s="2"/>
      <c r="P190" s="2"/>
      <c r="Q190" s="2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</row>
    <row r="191" spans="7:34" ht="18" customHeight="1" x14ac:dyDescent="0.3">
      <c r="G191" s="2"/>
      <c r="O191" s="2"/>
      <c r="P191" s="2"/>
      <c r="Q191" s="2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</row>
    <row r="192" spans="7:34" ht="18" customHeight="1" x14ac:dyDescent="0.3">
      <c r="G192" s="2"/>
      <c r="O192" s="2"/>
      <c r="P192" s="2"/>
      <c r="Q192" s="2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</row>
    <row r="193" spans="7:34" ht="18" customHeight="1" x14ac:dyDescent="0.3">
      <c r="G193" s="2"/>
      <c r="O193" s="2"/>
      <c r="P193" s="2"/>
      <c r="Q193" s="2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</row>
    <row r="194" spans="7:34" ht="18" customHeight="1" x14ac:dyDescent="0.3">
      <c r="G194" s="2"/>
      <c r="O194" s="2"/>
      <c r="P194" s="2"/>
      <c r="Q194" s="2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</row>
    <row r="195" spans="7:34" ht="18" customHeight="1" x14ac:dyDescent="0.3">
      <c r="G195" s="2"/>
      <c r="O195" s="2"/>
      <c r="P195" s="2"/>
      <c r="Q195" s="2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</row>
    <row r="196" spans="7:34" ht="18" customHeight="1" x14ac:dyDescent="0.3">
      <c r="G196" s="2"/>
      <c r="O196" s="2"/>
      <c r="P196" s="2"/>
      <c r="Q196" s="2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</row>
    <row r="197" spans="7:34" ht="18" customHeight="1" x14ac:dyDescent="0.3">
      <c r="G197" s="2"/>
      <c r="O197" s="2"/>
      <c r="P197" s="2"/>
      <c r="Q197" s="2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</row>
    <row r="198" spans="7:34" ht="18" customHeight="1" x14ac:dyDescent="0.3">
      <c r="G198" s="2"/>
      <c r="O198" s="2"/>
      <c r="P198" s="2"/>
      <c r="Q198" s="2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</row>
    <row r="199" spans="7:34" ht="18" customHeight="1" x14ac:dyDescent="0.3">
      <c r="G199" s="2"/>
      <c r="O199" s="2"/>
      <c r="P199" s="2"/>
      <c r="Q199" s="2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</row>
    <row r="200" spans="7:34" ht="18" customHeight="1" x14ac:dyDescent="0.3">
      <c r="G200" s="2"/>
      <c r="O200" s="2"/>
      <c r="P200" s="2"/>
      <c r="Q200" s="2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</row>
    <row r="201" spans="7:34" ht="18" customHeight="1" x14ac:dyDescent="0.3">
      <c r="G201" s="2"/>
      <c r="O201" s="2"/>
      <c r="P201" s="2"/>
      <c r="Q201" s="2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</row>
    <row r="202" spans="7:34" ht="18" customHeight="1" x14ac:dyDescent="0.3">
      <c r="G202" s="2"/>
      <c r="O202" s="2"/>
      <c r="P202" s="2"/>
      <c r="Q202" s="2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</row>
    <row r="203" spans="7:34" ht="18" customHeight="1" x14ac:dyDescent="0.3">
      <c r="G203" s="2"/>
      <c r="O203" s="2"/>
      <c r="P203" s="2"/>
      <c r="Q203" s="2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</row>
    <row r="204" spans="7:34" ht="18" customHeight="1" x14ac:dyDescent="0.3">
      <c r="G204" s="2"/>
      <c r="O204" s="2"/>
      <c r="P204" s="2"/>
      <c r="Q204" s="2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</row>
    <row r="205" spans="7:34" ht="18" customHeight="1" x14ac:dyDescent="0.3">
      <c r="G205" s="2"/>
      <c r="O205" s="2"/>
      <c r="P205" s="2"/>
      <c r="Q205" s="2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</row>
    <row r="206" spans="7:34" ht="18" customHeight="1" x14ac:dyDescent="0.3">
      <c r="G206" s="2"/>
      <c r="O206" s="2"/>
      <c r="P206" s="2"/>
      <c r="Q206" s="2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</row>
    <row r="207" spans="7:34" ht="18" customHeight="1" x14ac:dyDescent="0.3">
      <c r="G207" s="2"/>
      <c r="O207" s="2"/>
      <c r="P207" s="2"/>
      <c r="Q207" s="2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</row>
    <row r="208" spans="7:34" ht="18" customHeight="1" x14ac:dyDescent="0.3">
      <c r="G208" s="2"/>
      <c r="O208" s="2"/>
      <c r="P208" s="2"/>
      <c r="Q208" s="2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</row>
    <row r="209" spans="7:34" ht="18" customHeight="1" x14ac:dyDescent="0.3">
      <c r="G209" s="2"/>
      <c r="O209" s="2"/>
      <c r="P209" s="2"/>
      <c r="Q209" s="2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</row>
    <row r="210" spans="7:34" ht="18" customHeight="1" x14ac:dyDescent="0.3">
      <c r="G210" s="2"/>
      <c r="O210" s="2"/>
      <c r="P210" s="2"/>
      <c r="Q210" s="2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</row>
    <row r="211" spans="7:34" ht="18" customHeight="1" x14ac:dyDescent="0.3">
      <c r="G211" s="2"/>
      <c r="O211" s="2"/>
      <c r="P211" s="2"/>
      <c r="Q211" s="2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</row>
    <row r="212" spans="7:34" ht="18" customHeight="1" x14ac:dyDescent="0.3">
      <c r="G212" s="2"/>
      <c r="O212" s="2"/>
      <c r="P212" s="2"/>
      <c r="Q212" s="2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</row>
    <row r="213" spans="7:34" ht="18" customHeight="1" x14ac:dyDescent="0.3">
      <c r="G213" s="2"/>
      <c r="O213" s="2"/>
      <c r="P213" s="2"/>
      <c r="Q213" s="2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</row>
    <row r="214" spans="7:34" ht="18" customHeight="1" x14ac:dyDescent="0.3">
      <c r="G214" s="2"/>
      <c r="O214" s="2"/>
      <c r="P214" s="2"/>
      <c r="Q214" s="2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</row>
    <row r="215" spans="7:34" ht="18" customHeight="1" x14ac:dyDescent="0.3">
      <c r="G215" s="2"/>
      <c r="O215" s="2"/>
      <c r="P215" s="2"/>
      <c r="Q215" s="2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</row>
    <row r="216" spans="7:34" ht="18" customHeight="1" x14ac:dyDescent="0.3">
      <c r="G216" s="2"/>
      <c r="O216" s="2"/>
      <c r="P216" s="2"/>
      <c r="Q216" s="2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</row>
    <row r="217" spans="7:34" ht="18" customHeight="1" x14ac:dyDescent="0.3">
      <c r="G217" s="2"/>
      <c r="O217" s="2"/>
      <c r="P217" s="2"/>
      <c r="Q217" s="2"/>
    </row>
    <row r="218" spans="7:34" ht="18" customHeight="1" x14ac:dyDescent="0.3">
      <c r="G218" s="2"/>
      <c r="O218" s="2"/>
      <c r="P218" s="2"/>
      <c r="Q218" s="2"/>
    </row>
    <row r="219" spans="7:34" ht="18" customHeight="1" x14ac:dyDescent="0.3">
      <c r="G219" s="2"/>
      <c r="O219" s="2"/>
      <c r="P219" s="2"/>
      <c r="Q219" s="2"/>
    </row>
    <row r="220" spans="7:34" ht="18" customHeight="1" x14ac:dyDescent="0.3">
      <c r="G220" s="2"/>
      <c r="O220" s="2"/>
      <c r="P220" s="2"/>
      <c r="Q220" s="2"/>
    </row>
    <row r="221" spans="7:34" ht="18" customHeight="1" x14ac:dyDescent="0.3">
      <c r="G221" s="2"/>
      <c r="O221" s="2"/>
      <c r="P221" s="2"/>
      <c r="Q221" s="2"/>
    </row>
    <row r="222" spans="7:34" ht="18" customHeight="1" x14ac:dyDescent="0.3">
      <c r="G222" s="2"/>
      <c r="O222" s="2"/>
      <c r="P222" s="2"/>
      <c r="Q222" s="2"/>
    </row>
    <row r="223" spans="7:34" ht="18" customHeight="1" x14ac:dyDescent="0.3">
      <c r="G223" s="2"/>
      <c r="O223" s="2"/>
      <c r="P223" s="2"/>
      <c r="Q223" s="2"/>
    </row>
    <row r="224" spans="7:34" ht="18" customHeight="1" x14ac:dyDescent="0.3">
      <c r="G224" s="2"/>
      <c r="O224" s="2"/>
      <c r="P224" s="2"/>
      <c r="Q224" s="2"/>
    </row>
    <row r="225" spans="7:17" ht="18" customHeight="1" x14ac:dyDescent="0.3">
      <c r="G225" s="2"/>
      <c r="O225" s="2"/>
      <c r="P225" s="2"/>
      <c r="Q225" s="2"/>
    </row>
    <row r="226" spans="7:17" ht="18" customHeight="1" x14ac:dyDescent="0.3">
      <c r="G226" s="2"/>
      <c r="O226" s="2"/>
      <c r="P226" s="2"/>
      <c r="Q226" s="2"/>
    </row>
    <row r="227" spans="7:17" ht="18" customHeight="1" x14ac:dyDescent="0.3">
      <c r="G227" s="2"/>
      <c r="O227" s="2"/>
      <c r="P227" s="2"/>
      <c r="Q227" s="2"/>
    </row>
    <row r="228" spans="7:17" ht="18" customHeight="1" x14ac:dyDescent="0.3">
      <c r="G228" s="2"/>
      <c r="O228" s="2"/>
      <c r="P228" s="2"/>
      <c r="Q228" s="2"/>
    </row>
    <row r="229" spans="7:17" ht="18" customHeight="1" x14ac:dyDescent="0.3">
      <c r="G229" s="2"/>
      <c r="O229" s="2"/>
      <c r="P229" s="2"/>
      <c r="Q229" s="2"/>
    </row>
    <row r="230" spans="7:17" ht="18" customHeight="1" x14ac:dyDescent="0.3">
      <c r="G230" s="2"/>
      <c r="O230" s="2"/>
      <c r="P230" s="2"/>
      <c r="Q230" s="2"/>
    </row>
    <row r="231" spans="7:17" ht="18" customHeight="1" x14ac:dyDescent="0.3">
      <c r="G231" s="2"/>
      <c r="O231" s="2"/>
      <c r="P231" s="2"/>
      <c r="Q231" s="2"/>
    </row>
    <row r="232" spans="7:17" ht="18" customHeight="1" x14ac:dyDescent="0.3">
      <c r="G232" s="2"/>
      <c r="O232" s="2"/>
      <c r="P232" s="2"/>
      <c r="Q232" s="2"/>
    </row>
    <row r="233" spans="7:17" ht="18" customHeight="1" x14ac:dyDescent="0.3">
      <c r="G233" s="2"/>
      <c r="O233" s="2"/>
      <c r="P233" s="2"/>
      <c r="Q233" s="2"/>
    </row>
    <row r="234" spans="7:17" ht="18" customHeight="1" x14ac:dyDescent="0.3">
      <c r="G234" s="2"/>
      <c r="O234" s="2"/>
      <c r="P234" s="2"/>
      <c r="Q234" s="2"/>
    </row>
    <row r="235" spans="7:17" ht="18" customHeight="1" x14ac:dyDescent="0.3">
      <c r="G235" s="2"/>
      <c r="O235" s="2"/>
      <c r="P235" s="2"/>
      <c r="Q235" s="2"/>
    </row>
    <row r="236" spans="7:17" ht="18" customHeight="1" x14ac:dyDescent="0.3">
      <c r="G236" s="2"/>
      <c r="O236" s="2"/>
      <c r="P236" s="2"/>
      <c r="Q236" s="2"/>
    </row>
    <row r="237" spans="7:17" ht="18" customHeight="1" x14ac:dyDescent="0.3">
      <c r="G237" s="2"/>
      <c r="O237" s="2"/>
      <c r="P237" s="2"/>
      <c r="Q237" s="2"/>
    </row>
    <row r="238" spans="7:17" ht="18" customHeight="1" x14ac:dyDescent="0.3">
      <c r="G238" s="2"/>
      <c r="O238" s="2"/>
      <c r="P238" s="2"/>
      <c r="Q238" s="2"/>
    </row>
    <row r="239" spans="7:17" ht="18" customHeight="1" x14ac:dyDescent="0.3">
      <c r="G239" s="2"/>
      <c r="O239" s="2"/>
      <c r="P239" s="2"/>
      <c r="Q239" s="2"/>
    </row>
    <row r="240" spans="7:17" ht="18" customHeight="1" x14ac:dyDescent="0.3">
      <c r="G240" s="2"/>
      <c r="O240" s="2"/>
      <c r="P240" s="2"/>
      <c r="Q240" s="2"/>
    </row>
    <row r="241" spans="7:17" ht="18" customHeight="1" x14ac:dyDescent="0.3">
      <c r="G241" s="2"/>
      <c r="O241" s="2"/>
      <c r="P241" s="2"/>
      <c r="Q241" s="2"/>
    </row>
    <row r="242" spans="7:17" ht="18" customHeight="1" x14ac:dyDescent="0.3">
      <c r="G242" s="2"/>
      <c r="O242" s="2"/>
      <c r="P242" s="2"/>
      <c r="Q242" s="2"/>
    </row>
    <row r="243" spans="7:17" ht="18" customHeight="1" x14ac:dyDescent="0.3">
      <c r="G243" s="2"/>
      <c r="O243" s="2"/>
      <c r="P243" s="2"/>
      <c r="Q243" s="2"/>
    </row>
    <row r="244" spans="7:17" ht="18" customHeight="1" x14ac:dyDescent="0.3">
      <c r="G244" s="2"/>
      <c r="O244" s="2"/>
      <c r="P244" s="2"/>
      <c r="Q244" s="2"/>
    </row>
    <row r="245" spans="7:17" ht="18" customHeight="1" x14ac:dyDescent="0.3">
      <c r="G245" s="2"/>
      <c r="O245" s="2"/>
      <c r="P245" s="2"/>
      <c r="Q245" s="2"/>
    </row>
    <row r="246" spans="7:17" ht="18" customHeight="1" x14ac:dyDescent="0.3">
      <c r="G246" s="2"/>
      <c r="O246" s="2"/>
      <c r="P246" s="2"/>
      <c r="Q246" s="2"/>
    </row>
    <row r="247" spans="7:17" ht="18" customHeight="1" x14ac:dyDescent="0.3">
      <c r="G247" s="2"/>
      <c r="O247" s="2"/>
      <c r="P247" s="2"/>
      <c r="Q247" s="2"/>
    </row>
    <row r="248" spans="7:17" ht="18" customHeight="1" x14ac:dyDescent="0.3">
      <c r="G248" s="2"/>
      <c r="O248" s="2"/>
      <c r="P248" s="2"/>
      <c r="Q248" s="2"/>
    </row>
    <row r="249" spans="7:17" ht="18" customHeight="1" x14ac:dyDescent="0.3">
      <c r="G249" s="2"/>
      <c r="O249" s="2"/>
      <c r="P249" s="2"/>
      <c r="Q249" s="2"/>
    </row>
    <row r="250" spans="7:17" ht="18" customHeight="1" x14ac:dyDescent="0.3">
      <c r="G250" s="2"/>
      <c r="O250" s="2"/>
      <c r="P250" s="2"/>
      <c r="Q250" s="2"/>
    </row>
    <row r="251" spans="7:17" ht="18" customHeight="1" x14ac:dyDescent="0.3">
      <c r="G251" s="2"/>
      <c r="O251" s="2"/>
      <c r="P251" s="2"/>
      <c r="Q251" s="2"/>
    </row>
    <row r="252" spans="7:17" ht="18" customHeight="1" x14ac:dyDescent="0.3">
      <c r="G252" s="2"/>
      <c r="O252" s="2"/>
      <c r="P252" s="2"/>
      <c r="Q252" s="2"/>
    </row>
    <row r="253" spans="7:17" ht="18" customHeight="1" x14ac:dyDescent="0.3">
      <c r="G253" s="2"/>
      <c r="O253" s="2"/>
      <c r="P253" s="2"/>
      <c r="Q253" s="2"/>
    </row>
    <row r="254" spans="7:17" ht="18" customHeight="1" x14ac:dyDescent="0.3">
      <c r="G254" s="2"/>
      <c r="O254" s="2"/>
      <c r="P254" s="2"/>
      <c r="Q254" s="2"/>
    </row>
    <row r="255" spans="7:17" ht="18" customHeight="1" x14ac:dyDescent="0.3">
      <c r="G255" s="2"/>
      <c r="O255" s="2"/>
      <c r="P255" s="2"/>
      <c r="Q255" s="2"/>
    </row>
    <row r="256" spans="7:17" ht="18" customHeight="1" x14ac:dyDescent="0.3">
      <c r="G256" s="2"/>
      <c r="O256" s="2"/>
      <c r="P256" s="2"/>
      <c r="Q256" s="2"/>
    </row>
    <row r="257" spans="7:17" ht="18" customHeight="1" x14ac:dyDescent="0.3">
      <c r="G257" s="2"/>
      <c r="O257" s="2"/>
      <c r="P257" s="2"/>
      <c r="Q257" s="2"/>
    </row>
    <row r="258" spans="7:17" ht="18" customHeight="1" x14ac:dyDescent="0.3">
      <c r="G258" s="2"/>
      <c r="O258" s="2"/>
      <c r="P258" s="2"/>
      <c r="Q258" s="2"/>
    </row>
    <row r="259" spans="7:17" ht="18" customHeight="1" x14ac:dyDescent="0.3">
      <c r="G259" s="2"/>
      <c r="O259" s="2"/>
      <c r="P259" s="2"/>
      <c r="Q259" s="2"/>
    </row>
    <row r="260" spans="7:17" ht="18" customHeight="1" x14ac:dyDescent="0.3">
      <c r="G260" s="2"/>
      <c r="O260" s="2"/>
      <c r="P260" s="2"/>
      <c r="Q260" s="2"/>
    </row>
    <row r="261" spans="7:17" ht="18" customHeight="1" x14ac:dyDescent="0.3">
      <c r="G261" s="2"/>
      <c r="O261" s="2"/>
      <c r="P261" s="2"/>
      <c r="Q261" s="2"/>
    </row>
    <row r="262" spans="7:17" ht="18" customHeight="1" x14ac:dyDescent="0.3">
      <c r="G262" s="2"/>
      <c r="O262" s="2"/>
      <c r="P262" s="2"/>
      <c r="Q262" s="2"/>
    </row>
    <row r="263" spans="7:17" ht="18" customHeight="1" x14ac:dyDescent="0.3">
      <c r="G263" s="2"/>
      <c r="O263" s="2"/>
      <c r="P263" s="2"/>
      <c r="Q263" s="2"/>
    </row>
    <row r="264" spans="7:17" ht="18" customHeight="1" x14ac:dyDescent="0.3">
      <c r="G264" s="2"/>
      <c r="O264" s="2"/>
      <c r="P264" s="2"/>
      <c r="Q264" s="2"/>
    </row>
    <row r="265" spans="7:17" ht="18" customHeight="1" x14ac:dyDescent="0.3">
      <c r="G265" s="2"/>
      <c r="O265" s="2"/>
      <c r="P265" s="2"/>
      <c r="Q265" s="2"/>
    </row>
    <row r="266" spans="7:17" ht="18" customHeight="1" x14ac:dyDescent="0.3">
      <c r="G266" s="2"/>
      <c r="O266" s="2"/>
      <c r="P266" s="2"/>
      <c r="Q266" s="2"/>
    </row>
    <row r="267" spans="7:17" ht="18" customHeight="1" x14ac:dyDescent="0.3">
      <c r="G267" s="2"/>
      <c r="O267" s="2"/>
      <c r="P267" s="2"/>
      <c r="Q267" s="2"/>
    </row>
    <row r="268" spans="7:17" ht="18" customHeight="1" x14ac:dyDescent="0.3">
      <c r="G268" s="2"/>
      <c r="O268" s="2"/>
      <c r="P268" s="2"/>
      <c r="Q268" s="2"/>
    </row>
    <row r="269" spans="7:17" ht="18" customHeight="1" x14ac:dyDescent="0.3">
      <c r="G269" s="2"/>
      <c r="O269" s="2"/>
      <c r="P269" s="2"/>
      <c r="Q269" s="2"/>
    </row>
    <row r="270" spans="7:17" ht="18" customHeight="1" x14ac:dyDescent="0.3">
      <c r="G270" s="2"/>
      <c r="O270" s="2"/>
      <c r="P270" s="2"/>
      <c r="Q270" s="2"/>
    </row>
    <row r="271" spans="7:17" ht="18" customHeight="1" x14ac:dyDescent="0.3">
      <c r="G271" s="2"/>
      <c r="O271" s="2"/>
      <c r="P271" s="2"/>
      <c r="Q271" s="2"/>
    </row>
    <row r="272" spans="7:17" ht="18" customHeight="1" x14ac:dyDescent="0.3">
      <c r="G272" s="2"/>
      <c r="O272" s="2"/>
      <c r="P272" s="2"/>
      <c r="Q272" s="2"/>
    </row>
    <row r="273" spans="7:17" ht="18" customHeight="1" x14ac:dyDescent="0.3">
      <c r="G273" s="2"/>
      <c r="O273" s="2"/>
      <c r="P273" s="2"/>
      <c r="Q273" s="2"/>
    </row>
    <row r="274" spans="7:17" ht="18" customHeight="1" x14ac:dyDescent="0.3">
      <c r="G274" s="2"/>
      <c r="O274" s="2"/>
      <c r="P274" s="2"/>
      <c r="Q274" s="2"/>
    </row>
    <row r="275" spans="7:17" ht="18" customHeight="1" x14ac:dyDescent="0.3">
      <c r="G275" s="2"/>
      <c r="O275" s="2"/>
      <c r="P275" s="2"/>
      <c r="Q275" s="2"/>
    </row>
    <row r="276" spans="7:17" ht="18" customHeight="1" x14ac:dyDescent="0.3">
      <c r="G276" s="2"/>
      <c r="O276" s="2"/>
      <c r="P276" s="2"/>
      <c r="Q276" s="2"/>
    </row>
    <row r="277" spans="7:17" ht="18" customHeight="1" x14ac:dyDescent="0.3">
      <c r="G277" s="2"/>
      <c r="O277" s="2"/>
      <c r="P277" s="2"/>
      <c r="Q277" s="2"/>
    </row>
    <row r="278" spans="7:17" ht="18" customHeight="1" x14ac:dyDescent="0.3">
      <c r="G278" s="2"/>
      <c r="O278" s="2"/>
      <c r="P278" s="2"/>
      <c r="Q278" s="2"/>
    </row>
    <row r="279" spans="7:17" ht="18" customHeight="1" x14ac:dyDescent="0.3">
      <c r="G279" s="2"/>
      <c r="O279" s="2"/>
      <c r="P279" s="2"/>
      <c r="Q279" s="2"/>
    </row>
    <row r="280" spans="7:17" ht="18" customHeight="1" x14ac:dyDescent="0.3">
      <c r="G280" s="2"/>
      <c r="O280" s="2"/>
      <c r="P280" s="2"/>
      <c r="Q280" s="2"/>
    </row>
    <row r="281" spans="7:17" ht="18" customHeight="1" x14ac:dyDescent="0.3">
      <c r="G281" s="2"/>
      <c r="O281" s="2"/>
      <c r="P281" s="2"/>
      <c r="Q281" s="2"/>
    </row>
    <row r="282" spans="7:17" ht="18" customHeight="1" x14ac:dyDescent="0.3">
      <c r="G282" s="2"/>
      <c r="O282" s="2"/>
      <c r="P282" s="2"/>
      <c r="Q282" s="2"/>
    </row>
    <row r="283" spans="7:17" ht="18" customHeight="1" x14ac:dyDescent="0.3">
      <c r="G283" s="2"/>
      <c r="O283" s="2"/>
      <c r="P283" s="2"/>
      <c r="Q283" s="2"/>
    </row>
    <row r="284" spans="7:17" ht="18" customHeight="1" x14ac:dyDescent="0.3">
      <c r="G284" s="2"/>
      <c r="O284" s="2"/>
      <c r="P284" s="2"/>
      <c r="Q284" s="2"/>
    </row>
    <row r="285" spans="7:17" ht="18" customHeight="1" x14ac:dyDescent="0.3">
      <c r="G285" s="2"/>
      <c r="O285" s="2"/>
      <c r="P285" s="2"/>
      <c r="Q285" s="2"/>
    </row>
    <row r="286" spans="7:17" ht="18" customHeight="1" x14ac:dyDescent="0.3">
      <c r="G286" s="2"/>
      <c r="O286" s="2"/>
      <c r="P286" s="2"/>
      <c r="Q286" s="2"/>
    </row>
    <row r="287" spans="7:17" ht="18" customHeight="1" x14ac:dyDescent="0.3">
      <c r="G287" s="2"/>
      <c r="O287" s="2"/>
      <c r="P287" s="2"/>
      <c r="Q287" s="2"/>
    </row>
    <row r="288" spans="7:17" ht="18" customHeight="1" x14ac:dyDescent="0.3">
      <c r="G288" s="2"/>
      <c r="O288" s="2"/>
      <c r="P288" s="2"/>
      <c r="Q288" s="2"/>
    </row>
    <row r="289" spans="7:17" ht="18" customHeight="1" x14ac:dyDescent="0.3">
      <c r="G289" s="2"/>
      <c r="O289" s="2"/>
      <c r="P289" s="2"/>
      <c r="Q289" s="2"/>
    </row>
    <row r="290" spans="7:17" ht="18" customHeight="1" x14ac:dyDescent="0.3">
      <c r="G290" s="2"/>
      <c r="O290" s="2"/>
      <c r="P290" s="2"/>
      <c r="Q290" s="2"/>
    </row>
    <row r="291" spans="7:17" ht="18" customHeight="1" x14ac:dyDescent="0.3">
      <c r="G291" s="2"/>
      <c r="O291" s="2"/>
      <c r="P291" s="2"/>
      <c r="Q291" s="2"/>
    </row>
    <row r="292" spans="7:17" ht="18" customHeight="1" x14ac:dyDescent="0.3">
      <c r="G292" s="2"/>
      <c r="O292" s="2"/>
      <c r="P292" s="2"/>
      <c r="Q292" s="2"/>
    </row>
    <row r="293" spans="7:17" ht="18" customHeight="1" x14ac:dyDescent="0.3">
      <c r="G293" s="2"/>
      <c r="O293" s="2"/>
      <c r="P293" s="2"/>
      <c r="Q293" s="2"/>
    </row>
    <row r="294" spans="7:17" ht="18" customHeight="1" x14ac:dyDescent="0.3">
      <c r="G294" s="2"/>
      <c r="O294" s="2"/>
      <c r="P294" s="2"/>
      <c r="Q294" s="2"/>
    </row>
    <row r="295" spans="7:17" ht="18" customHeight="1" x14ac:dyDescent="0.3">
      <c r="G295" s="2"/>
      <c r="O295" s="2"/>
      <c r="P295" s="2"/>
      <c r="Q295" s="2"/>
    </row>
    <row r="296" spans="7:17" ht="18" customHeight="1" x14ac:dyDescent="0.3">
      <c r="G296" s="2"/>
      <c r="O296" s="2"/>
      <c r="P296" s="2"/>
      <c r="Q296" s="2"/>
    </row>
    <row r="297" spans="7:17" ht="18" customHeight="1" x14ac:dyDescent="0.3">
      <c r="G297" s="2"/>
      <c r="O297" s="2"/>
      <c r="P297" s="2"/>
      <c r="Q297" s="2"/>
    </row>
    <row r="298" spans="7:17" ht="18" customHeight="1" x14ac:dyDescent="0.3">
      <c r="G298" s="2"/>
      <c r="O298" s="2"/>
      <c r="P298" s="2"/>
      <c r="Q298" s="2"/>
    </row>
    <row r="299" spans="7:17" ht="18" customHeight="1" x14ac:dyDescent="0.3">
      <c r="G299" s="2"/>
      <c r="O299" s="2"/>
      <c r="P299" s="2"/>
      <c r="Q299" s="2"/>
    </row>
    <row r="300" spans="7:17" ht="18" customHeight="1" x14ac:dyDescent="0.3">
      <c r="G300" s="2"/>
      <c r="O300" s="2"/>
      <c r="P300" s="2"/>
      <c r="Q300" s="2"/>
    </row>
    <row r="301" spans="7:17" ht="18" customHeight="1" x14ac:dyDescent="0.3">
      <c r="G301" s="2"/>
      <c r="O301" s="2"/>
      <c r="P301" s="2"/>
      <c r="Q301" s="2"/>
    </row>
    <row r="302" spans="7:17" ht="18" customHeight="1" x14ac:dyDescent="0.3">
      <c r="G302" s="2"/>
      <c r="O302" s="2"/>
      <c r="P302" s="2"/>
      <c r="Q302" s="2"/>
    </row>
    <row r="303" spans="7:17" ht="18" customHeight="1" x14ac:dyDescent="0.3">
      <c r="G303" s="2"/>
      <c r="O303" s="2"/>
      <c r="P303" s="2"/>
      <c r="Q303" s="2"/>
    </row>
    <row r="304" spans="7:17" ht="18" customHeight="1" x14ac:dyDescent="0.3">
      <c r="G304" s="2"/>
      <c r="O304" s="2"/>
      <c r="P304" s="2"/>
      <c r="Q304" s="2"/>
    </row>
    <row r="305" spans="7:17" x14ac:dyDescent="0.3">
      <c r="G305" s="2"/>
      <c r="O305" s="2"/>
      <c r="P305" s="2"/>
      <c r="Q305" s="2"/>
    </row>
    <row r="306" spans="7:17" x14ac:dyDescent="0.3">
      <c r="G306" s="2"/>
      <c r="O306" s="2"/>
      <c r="P306" s="2"/>
      <c r="Q306" s="2"/>
    </row>
    <row r="307" spans="7:17" x14ac:dyDescent="0.3">
      <c r="G307" s="2"/>
      <c r="O307" s="2"/>
      <c r="P307" s="2"/>
      <c r="Q307" s="2"/>
    </row>
    <row r="308" spans="7:17" x14ac:dyDescent="0.3">
      <c r="G308" s="2"/>
      <c r="O308" s="2"/>
      <c r="P308" s="2"/>
      <c r="Q308" s="2"/>
    </row>
    <row r="309" spans="7:17" x14ac:dyDescent="0.3">
      <c r="G309" s="2"/>
      <c r="O309" s="2"/>
      <c r="P309" s="2"/>
      <c r="Q309" s="2"/>
    </row>
    <row r="310" spans="7:17" x14ac:dyDescent="0.3">
      <c r="G310" s="2"/>
      <c r="O310" s="2"/>
      <c r="P310" s="2"/>
      <c r="Q310" s="2"/>
    </row>
    <row r="311" spans="7:17" x14ac:dyDescent="0.3">
      <c r="G311" s="2"/>
      <c r="O311" s="2"/>
      <c r="P311" s="2"/>
      <c r="Q311" s="2"/>
    </row>
    <row r="312" spans="7:17" x14ac:dyDescent="0.3">
      <c r="G312" s="2"/>
      <c r="O312" s="2"/>
      <c r="P312" s="2"/>
      <c r="Q312" s="2"/>
    </row>
    <row r="313" spans="7:17" x14ac:dyDescent="0.3">
      <c r="G313" s="2"/>
      <c r="O313" s="2"/>
      <c r="P313" s="2"/>
      <c r="Q313" s="2"/>
    </row>
    <row r="314" spans="7:17" x14ac:dyDescent="0.3">
      <c r="G314" s="2"/>
      <c r="O314" s="2"/>
      <c r="P314" s="2"/>
      <c r="Q314" s="2"/>
    </row>
    <row r="315" spans="7:17" x14ac:dyDescent="0.3">
      <c r="G315" s="2"/>
      <c r="O315" s="2"/>
      <c r="P315" s="2"/>
      <c r="Q315" s="2"/>
    </row>
    <row r="316" spans="7:17" x14ac:dyDescent="0.3">
      <c r="G316" s="2"/>
      <c r="O316" s="2"/>
      <c r="P316" s="2"/>
      <c r="Q316" s="2"/>
    </row>
    <row r="317" spans="7:17" x14ac:dyDescent="0.3">
      <c r="G317" s="2"/>
      <c r="O317" s="2"/>
      <c r="P317" s="2"/>
      <c r="Q317" s="2"/>
    </row>
    <row r="318" spans="7:17" x14ac:dyDescent="0.3">
      <c r="G318" s="2"/>
      <c r="O318" s="2"/>
      <c r="P318" s="2"/>
      <c r="Q318" s="2"/>
    </row>
    <row r="319" spans="7:17" x14ac:dyDescent="0.3">
      <c r="G319" s="2"/>
      <c r="O319" s="2"/>
      <c r="P319" s="2"/>
      <c r="Q319" s="2"/>
    </row>
    <row r="320" spans="7:17" x14ac:dyDescent="0.3">
      <c r="G320" s="2"/>
      <c r="O320" s="2"/>
      <c r="P320" s="2"/>
      <c r="Q320" s="2"/>
    </row>
    <row r="321" spans="7:17" x14ac:dyDescent="0.3">
      <c r="G321" s="2"/>
      <c r="O321" s="2"/>
      <c r="P321" s="2"/>
      <c r="Q321" s="2"/>
    </row>
    <row r="322" spans="7:17" x14ac:dyDescent="0.3">
      <c r="G322" s="2"/>
      <c r="O322" s="2"/>
      <c r="P322" s="2"/>
      <c r="Q322" s="2"/>
    </row>
    <row r="323" spans="7:17" x14ac:dyDescent="0.3">
      <c r="G323" s="2"/>
      <c r="O323" s="2"/>
      <c r="P323" s="2"/>
      <c r="Q323" s="2"/>
    </row>
    <row r="324" spans="7:17" x14ac:dyDescent="0.3">
      <c r="G324" s="2"/>
      <c r="O324" s="2"/>
      <c r="P324" s="2"/>
      <c r="Q324" s="2"/>
    </row>
    <row r="325" spans="7:17" x14ac:dyDescent="0.3">
      <c r="G325" s="2"/>
      <c r="O325" s="2"/>
      <c r="P325" s="2"/>
      <c r="Q325" s="2"/>
    </row>
    <row r="326" spans="7:17" x14ac:dyDescent="0.3">
      <c r="G326" s="2"/>
      <c r="O326" s="2"/>
      <c r="P326" s="2"/>
      <c r="Q326" s="2"/>
    </row>
    <row r="327" spans="7:17" x14ac:dyDescent="0.3">
      <c r="G327" s="2"/>
      <c r="O327" s="2"/>
      <c r="P327" s="2"/>
      <c r="Q327" s="2"/>
    </row>
    <row r="328" spans="7:17" x14ac:dyDescent="0.3">
      <c r="G328" s="2"/>
      <c r="O328" s="2"/>
      <c r="P328" s="2"/>
      <c r="Q328" s="2"/>
    </row>
    <row r="329" spans="7:17" x14ac:dyDescent="0.3">
      <c r="G329" s="2"/>
      <c r="O329" s="2"/>
      <c r="P329" s="2"/>
      <c r="Q329" s="2"/>
    </row>
    <row r="330" spans="7:17" x14ac:dyDescent="0.3">
      <c r="G330" s="2"/>
      <c r="O330" s="2"/>
      <c r="P330" s="2"/>
      <c r="Q330" s="2"/>
    </row>
    <row r="331" spans="7:17" x14ac:dyDescent="0.3">
      <c r="G331" s="2"/>
      <c r="O331" s="2"/>
      <c r="P331" s="2"/>
      <c r="Q331" s="2"/>
    </row>
    <row r="332" spans="7:17" x14ac:dyDescent="0.3">
      <c r="G332" s="2"/>
      <c r="O332" s="2"/>
      <c r="P332" s="2"/>
      <c r="Q332" s="2"/>
    </row>
    <row r="333" spans="7:17" x14ac:dyDescent="0.3">
      <c r="G333" s="2"/>
      <c r="O333" s="2"/>
      <c r="P333" s="2"/>
      <c r="Q333" s="2"/>
    </row>
    <row r="334" spans="7:17" x14ac:dyDescent="0.3">
      <c r="G334" s="2"/>
      <c r="O334" s="2"/>
      <c r="P334" s="2"/>
      <c r="Q334" s="2"/>
    </row>
    <row r="335" spans="7:17" x14ac:dyDescent="0.3">
      <c r="G335" s="2"/>
      <c r="O335" s="2"/>
      <c r="P335" s="2"/>
      <c r="Q335" s="2"/>
    </row>
    <row r="336" spans="7:17" x14ac:dyDescent="0.3">
      <c r="G336" s="2"/>
      <c r="O336" s="2"/>
      <c r="P336" s="2"/>
      <c r="Q336" s="2"/>
    </row>
    <row r="337" spans="7:17" x14ac:dyDescent="0.3">
      <c r="G337" s="2"/>
      <c r="O337" s="2"/>
      <c r="P337" s="2"/>
      <c r="Q337" s="2"/>
    </row>
    <row r="338" spans="7:17" x14ac:dyDescent="0.3">
      <c r="G338" s="2"/>
      <c r="O338" s="2"/>
      <c r="P338" s="2"/>
      <c r="Q338" s="2"/>
    </row>
    <row r="339" spans="7:17" x14ac:dyDescent="0.3">
      <c r="G339" s="2"/>
      <c r="O339" s="2"/>
      <c r="P339" s="2"/>
      <c r="Q339" s="2"/>
    </row>
    <row r="340" spans="7:17" x14ac:dyDescent="0.3">
      <c r="G340" s="2"/>
      <c r="O340" s="2"/>
      <c r="P340" s="2"/>
      <c r="Q340" s="2"/>
    </row>
    <row r="341" spans="7:17" x14ac:dyDescent="0.3">
      <c r="G341" s="2"/>
      <c r="O341" s="2"/>
      <c r="P341" s="2"/>
      <c r="Q341" s="2"/>
    </row>
    <row r="342" spans="7:17" x14ac:dyDescent="0.3">
      <c r="G342" s="2"/>
      <c r="O342" s="2"/>
      <c r="P342" s="2"/>
      <c r="Q342" s="2"/>
    </row>
    <row r="343" spans="7:17" x14ac:dyDescent="0.3">
      <c r="G343" s="2"/>
      <c r="O343" s="2"/>
      <c r="P343" s="2"/>
      <c r="Q343" s="2"/>
    </row>
    <row r="344" spans="7:17" x14ac:dyDescent="0.3">
      <c r="G344" s="2"/>
      <c r="O344" s="2"/>
      <c r="P344" s="2"/>
      <c r="Q344" s="2"/>
    </row>
    <row r="345" spans="7:17" x14ac:dyDescent="0.3">
      <c r="G345" s="2"/>
      <c r="O345" s="2"/>
      <c r="P345" s="2"/>
      <c r="Q345" s="2"/>
    </row>
    <row r="346" spans="7:17" x14ac:dyDescent="0.3">
      <c r="G346" s="2"/>
      <c r="O346" s="2"/>
      <c r="P346" s="2"/>
      <c r="Q346" s="2"/>
    </row>
    <row r="347" spans="7:17" x14ac:dyDescent="0.3">
      <c r="G347" s="2"/>
      <c r="O347" s="2"/>
      <c r="P347" s="2"/>
      <c r="Q347" s="2"/>
    </row>
    <row r="348" spans="7:17" x14ac:dyDescent="0.3">
      <c r="G348" s="2"/>
      <c r="O348" s="2"/>
      <c r="P348" s="2"/>
      <c r="Q348" s="2"/>
    </row>
    <row r="349" spans="7:17" x14ac:dyDescent="0.3">
      <c r="G349" s="2"/>
      <c r="O349" s="2"/>
      <c r="P349" s="2"/>
      <c r="Q349" s="2"/>
    </row>
    <row r="350" spans="7:17" x14ac:dyDescent="0.3">
      <c r="G350" s="2"/>
      <c r="O350" s="2"/>
      <c r="P350" s="2"/>
      <c r="Q350" s="2"/>
    </row>
    <row r="351" spans="7:17" x14ac:dyDescent="0.3">
      <c r="G351" s="2"/>
      <c r="O351" s="2"/>
      <c r="P351" s="2"/>
      <c r="Q351" s="2"/>
    </row>
    <row r="352" spans="7:17" x14ac:dyDescent="0.3">
      <c r="G352" s="2"/>
      <c r="O352" s="2"/>
      <c r="P352" s="2"/>
      <c r="Q352" s="2"/>
    </row>
    <row r="353" spans="7:17" x14ac:dyDescent="0.3">
      <c r="G353" s="2"/>
      <c r="O353" s="2"/>
      <c r="P353" s="2"/>
      <c r="Q353" s="2"/>
    </row>
    <row r="354" spans="7:17" x14ac:dyDescent="0.3">
      <c r="G354" s="2"/>
      <c r="O354" s="2"/>
      <c r="P354" s="2"/>
      <c r="Q354" s="2"/>
    </row>
    <row r="355" spans="7:17" x14ac:dyDescent="0.3">
      <c r="G355" s="2"/>
      <c r="O355" s="2"/>
      <c r="P355" s="2"/>
      <c r="Q355" s="2"/>
    </row>
    <row r="356" spans="7:17" x14ac:dyDescent="0.3">
      <c r="G356" s="2"/>
      <c r="O356" s="2"/>
      <c r="P356" s="2"/>
      <c r="Q356" s="2"/>
    </row>
    <row r="357" spans="7:17" x14ac:dyDescent="0.3">
      <c r="G357" s="2"/>
      <c r="O357" s="2"/>
      <c r="P357" s="2"/>
      <c r="Q357" s="2"/>
    </row>
    <row r="358" spans="7:17" x14ac:dyDescent="0.3">
      <c r="G358" s="2"/>
      <c r="O358" s="2"/>
      <c r="P358" s="2"/>
      <c r="Q358" s="2"/>
    </row>
    <row r="359" spans="7:17" x14ac:dyDescent="0.3">
      <c r="G359" s="2"/>
      <c r="O359" s="2"/>
      <c r="P359" s="2"/>
      <c r="Q359" s="2"/>
    </row>
    <row r="360" spans="7:17" x14ac:dyDescent="0.3">
      <c r="G360" s="2"/>
      <c r="O360" s="2"/>
      <c r="P360" s="2"/>
      <c r="Q360" s="2"/>
    </row>
    <row r="361" spans="7:17" x14ac:dyDescent="0.3">
      <c r="G361" s="2"/>
      <c r="O361" s="2"/>
      <c r="P361" s="2"/>
      <c r="Q361" s="2"/>
    </row>
    <row r="362" spans="7:17" x14ac:dyDescent="0.3">
      <c r="G362" s="2"/>
      <c r="O362" s="2"/>
      <c r="P362" s="2"/>
      <c r="Q362" s="2"/>
    </row>
    <row r="363" spans="7:17" x14ac:dyDescent="0.3">
      <c r="G363" s="2"/>
      <c r="O363" s="2"/>
      <c r="P363" s="2"/>
      <c r="Q363" s="2"/>
    </row>
    <row r="364" spans="7:17" x14ac:dyDescent="0.3">
      <c r="G364" s="2"/>
      <c r="O364" s="2"/>
      <c r="P364" s="2"/>
      <c r="Q364" s="2"/>
    </row>
    <row r="365" spans="7:17" x14ac:dyDescent="0.3">
      <c r="G365" s="2"/>
      <c r="O365" s="2"/>
      <c r="P365" s="2"/>
      <c r="Q365" s="2"/>
    </row>
    <row r="366" spans="7:17" x14ac:dyDescent="0.3">
      <c r="G366" s="2"/>
      <c r="O366" s="2"/>
      <c r="P366" s="2"/>
      <c r="Q366" s="2"/>
    </row>
    <row r="367" spans="7:17" x14ac:dyDescent="0.3">
      <c r="G367" s="2"/>
      <c r="O367" s="2"/>
      <c r="P367" s="2"/>
      <c r="Q367" s="2"/>
    </row>
    <row r="368" spans="7:17" x14ac:dyDescent="0.3">
      <c r="G368" s="2"/>
      <c r="O368" s="2"/>
      <c r="P368" s="2"/>
      <c r="Q368" s="2"/>
    </row>
    <row r="369" spans="7:17" x14ac:dyDescent="0.3">
      <c r="G369" s="2"/>
      <c r="O369" s="2"/>
      <c r="P369" s="2"/>
      <c r="Q369" s="2"/>
    </row>
    <row r="370" spans="7:17" x14ac:dyDescent="0.3">
      <c r="G370" s="2"/>
      <c r="O370" s="2"/>
      <c r="P370" s="2"/>
      <c r="Q370" s="2"/>
    </row>
    <row r="371" spans="7:17" x14ac:dyDescent="0.3">
      <c r="G371" s="2"/>
      <c r="O371" s="2"/>
      <c r="P371" s="2"/>
      <c r="Q371" s="2"/>
    </row>
    <row r="372" spans="7:17" x14ac:dyDescent="0.3">
      <c r="G372" s="2"/>
      <c r="O372" s="2"/>
      <c r="P372" s="2"/>
      <c r="Q372" s="2"/>
    </row>
    <row r="373" spans="7:17" x14ac:dyDescent="0.3">
      <c r="G373" s="2"/>
      <c r="O373" s="2"/>
      <c r="P373" s="2"/>
      <c r="Q373" s="2"/>
    </row>
    <row r="374" spans="7:17" x14ac:dyDescent="0.3">
      <c r="G374" s="2"/>
      <c r="O374" s="2"/>
      <c r="P374" s="2"/>
      <c r="Q374" s="2"/>
    </row>
    <row r="375" spans="7:17" x14ac:dyDescent="0.3">
      <c r="G375" s="2"/>
      <c r="O375" s="2"/>
      <c r="P375" s="2"/>
      <c r="Q375" s="2"/>
    </row>
    <row r="376" spans="7:17" x14ac:dyDescent="0.3">
      <c r="G376" s="2"/>
      <c r="O376" s="2"/>
      <c r="P376" s="2"/>
      <c r="Q376" s="2"/>
    </row>
    <row r="377" spans="7:17" x14ac:dyDescent="0.3">
      <c r="G377" s="2"/>
      <c r="O377" s="2"/>
      <c r="P377" s="2"/>
      <c r="Q377" s="2"/>
    </row>
    <row r="378" spans="7:17" x14ac:dyDescent="0.3">
      <c r="G378" s="2"/>
      <c r="O378" s="2"/>
      <c r="P378" s="2"/>
      <c r="Q378" s="2"/>
    </row>
    <row r="379" spans="7:17" x14ac:dyDescent="0.3">
      <c r="G379" s="2"/>
      <c r="O379" s="2"/>
      <c r="P379" s="2"/>
      <c r="Q379" s="2"/>
    </row>
    <row r="380" spans="7:17" x14ac:dyDescent="0.3">
      <c r="G380" s="2"/>
      <c r="O380" s="2"/>
      <c r="P380" s="2"/>
      <c r="Q380" s="2"/>
    </row>
    <row r="381" spans="7:17" x14ac:dyDescent="0.3">
      <c r="G381" s="2"/>
      <c r="O381" s="2"/>
      <c r="P381" s="2"/>
      <c r="Q381" s="2"/>
    </row>
    <row r="382" spans="7:17" x14ac:dyDescent="0.3">
      <c r="G382" s="2"/>
      <c r="O382" s="2"/>
      <c r="P382" s="2"/>
      <c r="Q382" s="2"/>
    </row>
    <row r="383" spans="7:17" x14ac:dyDescent="0.3">
      <c r="G383" s="2"/>
      <c r="O383" s="2"/>
      <c r="P383" s="2"/>
      <c r="Q383" s="2"/>
    </row>
    <row r="384" spans="7:17" x14ac:dyDescent="0.3">
      <c r="G384" s="2"/>
      <c r="O384" s="2"/>
      <c r="P384" s="2"/>
      <c r="Q384" s="2"/>
    </row>
    <row r="385" spans="7:17" x14ac:dyDescent="0.3">
      <c r="G385" s="2"/>
      <c r="O385" s="2"/>
      <c r="P385" s="2"/>
      <c r="Q385" s="2"/>
    </row>
    <row r="386" spans="7:17" x14ac:dyDescent="0.3">
      <c r="G386" s="2"/>
      <c r="O386" s="2"/>
      <c r="P386" s="2"/>
      <c r="Q386" s="2"/>
    </row>
    <row r="387" spans="7:17" x14ac:dyDescent="0.3">
      <c r="G387" s="2"/>
      <c r="O387" s="2"/>
      <c r="P387" s="2"/>
      <c r="Q387" s="2"/>
    </row>
    <row r="388" spans="7:17" x14ac:dyDescent="0.3">
      <c r="G388" s="2"/>
      <c r="O388" s="2"/>
      <c r="P388" s="2"/>
      <c r="Q388" s="2"/>
    </row>
    <row r="389" spans="7:17" x14ac:dyDescent="0.3">
      <c r="G389" s="2"/>
      <c r="O389" s="2"/>
      <c r="P389" s="2"/>
      <c r="Q389" s="2"/>
    </row>
    <row r="390" spans="7:17" x14ac:dyDescent="0.3">
      <c r="G390" s="2"/>
      <c r="O390" s="2"/>
      <c r="P390" s="2"/>
      <c r="Q390" s="2"/>
    </row>
    <row r="391" spans="7:17" x14ac:dyDescent="0.3">
      <c r="G391" s="2"/>
      <c r="O391" s="2"/>
      <c r="P391" s="2"/>
      <c r="Q391" s="2"/>
    </row>
    <row r="392" spans="7:17" x14ac:dyDescent="0.3">
      <c r="G392" s="2"/>
      <c r="O392" s="2"/>
      <c r="P392" s="2"/>
      <c r="Q392" s="2"/>
    </row>
    <row r="393" spans="7:17" x14ac:dyDescent="0.3">
      <c r="G393" s="2"/>
      <c r="O393" s="2"/>
      <c r="P393" s="2"/>
      <c r="Q393" s="2"/>
    </row>
    <row r="394" spans="7:17" x14ac:dyDescent="0.3">
      <c r="G394" s="2"/>
      <c r="O394" s="2"/>
      <c r="P394" s="2"/>
      <c r="Q394" s="2"/>
    </row>
    <row r="395" spans="7:17" x14ac:dyDescent="0.3">
      <c r="G395" s="2"/>
      <c r="O395" s="2"/>
      <c r="P395" s="2"/>
      <c r="Q395" s="2"/>
    </row>
    <row r="396" spans="7:17" x14ac:dyDescent="0.3">
      <c r="G396" s="2"/>
      <c r="O396" s="2"/>
      <c r="P396" s="2"/>
      <c r="Q396" s="2"/>
    </row>
    <row r="397" spans="7:17" x14ac:dyDescent="0.3">
      <c r="G397" s="2"/>
      <c r="O397" s="2"/>
      <c r="P397" s="2"/>
      <c r="Q397" s="2"/>
    </row>
    <row r="398" spans="7:17" x14ac:dyDescent="0.3">
      <c r="G398" s="2"/>
      <c r="O398" s="2"/>
      <c r="P398" s="2"/>
      <c r="Q398" s="2"/>
    </row>
    <row r="399" spans="7:17" x14ac:dyDescent="0.3">
      <c r="G399" s="2"/>
      <c r="O399" s="2"/>
      <c r="P399" s="2"/>
      <c r="Q399" s="2"/>
    </row>
    <row r="400" spans="7:17" x14ac:dyDescent="0.3">
      <c r="G400" s="2"/>
      <c r="O400" s="2"/>
      <c r="P400" s="2"/>
      <c r="Q400" s="2"/>
    </row>
    <row r="401" spans="7:17" x14ac:dyDescent="0.3">
      <c r="G401" s="2"/>
      <c r="O401" s="2"/>
      <c r="P401" s="2"/>
      <c r="Q401" s="2"/>
    </row>
    <row r="402" spans="7:17" x14ac:dyDescent="0.3">
      <c r="G402" s="2"/>
      <c r="O402" s="2"/>
      <c r="P402" s="2"/>
      <c r="Q402" s="2"/>
    </row>
    <row r="403" spans="7:17" x14ac:dyDescent="0.3">
      <c r="G403" s="2"/>
      <c r="O403" s="2"/>
      <c r="P403" s="2"/>
      <c r="Q403" s="2"/>
    </row>
    <row r="404" spans="7:17" x14ac:dyDescent="0.3">
      <c r="G404" s="2"/>
      <c r="O404" s="2"/>
      <c r="P404" s="2"/>
      <c r="Q404" s="2"/>
    </row>
    <row r="405" spans="7:17" x14ac:dyDescent="0.3">
      <c r="G405" s="2"/>
      <c r="O405" s="2"/>
      <c r="P405" s="2"/>
      <c r="Q405" s="2"/>
    </row>
    <row r="406" spans="7:17" x14ac:dyDescent="0.3">
      <c r="G406" s="2"/>
      <c r="O406" s="2"/>
      <c r="P406" s="2"/>
      <c r="Q406" s="2"/>
    </row>
    <row r="407" spans="7:17" x14ac:dyDescent="0.3">
      <c r="G407" s="2"/>
      <c r="O407" s="2"/>
      <c r="P407" s="2"/>
      <c r="Q407" s="2"/>
    </row>
    <row r="408" spans="7:17" x14ac:dyDescent="0.3">
      <c r="G408" s="2"/>
      <c r="O408" s="2"/>
      <c r="P408" s="2"/>
      <c r="Q408" s="2"/>
    </row>
    <row r="409" spans="7:17" x14ac:dyDescent="0.3">
      <c r="G409" s="2"/>
      <c r="O409" s="2"/>
      <c r="P409" s="2"/>
      <c r="Q409" s="2"/>
    </row>
    <row r="410" spans="7:17" x14ac:dyDescent="0.3">
      <c r="G410" s="2"/>
      <c r="O410" s="2"/>
      <c r="P410" s="2"/>
      <c r="Q410" s="2"/>
    </row>
    <row r="411" spans="7:17" x14ac:dyDescent="0.3">
      <c r="G411" s="2"/>
      <c r="O411" s="2"/>
      <c r="P411" s="2"/>
      <c r="Q411" s="2"/>
    </row>
    <row r="412" spans="7:17" x14ac:dyDescent="0.3">
      <c r="G412" s="2"/>
      <c r="O412" s="2"/>
      <c r="P412" s="2"/>
      <c r="Q412" s="2"/>
    </row>
    <row r="413" spans="7:17" x14ac:dyDescent="0.3">
      <c r="G413" s="2"/>
      <c r="O413" s="2"/>
      <c r="P413" s="2"/>
      <c r="Q413" s="2"/>
    </row>
    <row r="414" spans="7:17" x14ac:dyDescent="0.3">
      <c r="G414" s="2"/>
      <c r="O414" s="2"/>
      <c r="P414" s="2"/>
      <c r="Q414" s="2"/>
    </row>
    <row r="415" spans="7:17" x14ac:dyDescent="0.3">
      <c r="G415" s="2"/>
      <c r="O415" s="2"/>
      <c r="P415" s="2"/>
      <c r="Q415" s="2"/>
    </row>
    <row r="416" spans="7:17" x14ac:dyDescent="0.3">
      <c r="G416" s="2"/>
      <c r="O416" s="2"/>
      <c r="P416" s="2"/>
      <c r="Q416" s="2"/>
    </row>
    <row r="417" spans="7:17" x14ac:dyDescent="0.3">
      <c r="G417" s="2"/>
      <c r="O417" s="2"/>
      <c r="P417" s="2"/>
      <c r="Q417" s="2"/>
    </row>
    <row r="418" spans="7:17" x14ac:dyDescent="0.3">
      <c r="G418" s="2"/>
      <c r="O418" s="2"/>
      <c r="P418" s="2"/>
      <c r="Q418" s="2"/>
    </row>
    <row r="419" spans="7:17" x14ac:dyDescent="0.3">
      <c r="G419" s="2"/>
      <c r="O419" s="2"/>
      <c r="P419" s="2"/>
      <c r="Q419" s="2"/>
    </row>
    <row r="420" spans="7:17" x14ac:dyDescent="0.3">
      <c r="G420" s="2"/>
      <c r="O420" s="2"/>
      <c r="P420" s="2"/>
      <c r="Q420" s="2"/>
    </row>
    <row r="421" spans="7:17" x14ac:dyDescent="0.3">
      <c r="G421" s="2"/>
      <c r="O421" s="2"/>
      <c r="P421" s="2"/>
      <c r="Q421" s="2"/>
    </row>
    <row r="422" spans="7:17" x14ac:dyDescent="0.3">
      <c r="G422" s="2"/>
      <c r="O422" s="2"/>
      <c r="P422" s="2"/>
      <c r="Q422" s="2"/>
    </row>
    <row r="423" spans="7:17" x14ac:dyDescent="0.3">
      <c r="G423" s="2"/>
      <c r="O423" s="2"/>
      <c r="P423" s="2"/>
      <c r="Q423" s="2"/>
    </row>
    <row r="424" spans="7:17" x14ac:dyDescent="0.3">
      <c r="G424" s="2"/>
      <c r="O424" s="2"/>
      <c r="P424" s="2"/>
      <c r="Q424" s="2"/>
    </row>
    <row r="425" spans="7:17" x14ac:dyDescent="0.3">
      <c r="G425" s="2"/>
      <c r="O425" s="2"/>
      <c r="P425" s="2"/>
      <c r="Q425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68" priority="6">
      <formula>MONTH(B11)&lt;&gt;$A$2</formula>
    </cfRule>
  </conditionalFormatting>
  <conditionalFormatting sqref="B11:H28">
    <cfRule type="expression" dxfId="67" priority="5">
      <formula>B11="무지출"</formula>
    </cfRule>
  </conditionalFormatting>
  <conditionalFormatting sqref="U58:U78 U81:U84 U106:U165">
    <cfRule type="expression" dxfId="27" priority="4">
      <formula>$U58&lt;0</formula>
    </cfRule>
  </conditionalFormatting>
  <conditionalFormatting sqref="U86:U104">
    <cfRule type="expression" dxfId="26" priority="3">
      <formula>$U86&lt;0</formula>
    </cfRule>
  </conditionalFormatting>
  <conditionalFormatting sqref="U85">
    <cfRule type="expression" dxfId="25" priority="2">
      <formula>$U85&lt;0</formula>
    </cfRule>
  </conditionalFormatting>
  <conditionalFormatting sqref="U105">
    <cfRule type="expression" dxfId="24" priority="1">
      <formula>$U105&lt;0</formula>
    </cfRule>
  </conditionalFormatting>
  <dataValidations count="5"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4"/>
    <pageSetUpPr autoPageBreaks="0" fitToPage="1"/>
  </sheetPr>
  <dimension ref="A1:AI434"/>
  <sheetViews>
    <sheetView showGridLines="0" zoomScale="90" zoomScaleNormal="90" zoomScaleSheetLayoutView="25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35" ht="16.5" customHeight="1" x14ac:dyDescent="0.3">
      <c r="A1" s="407">
        <f>메인!$R$3</f>
        <v>2025</v>
      </c>
      <c r="B1" s="541" t="s">
        <v>126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35" ht="16.5" customHeight="1" x14ac:dyDescent="0.3">
      <c r="A2" s="408">
        <f>메인!$K$11</f>
        <v>7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5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</row>
    <row r="4" spans="1:35" ht="17.45" customHeight="1" x14ac:dyDescent="0.3"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</row>
    <row r="5" spans="1:35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S5" s="38"/>
      <c r="T5" s="38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</row>
    <row r="6" spans="1:35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441"/>
      <c r="K6" s="394"/>
      <c r="L6" s="394"/>
      <c r="M6" s="394"/>
      <c r="N6" s="394"/>
      <c r="O6" s="394"/>
      <c r="P6" s="394"/>
      <c r="Q6" s="352"/>
      <c r="R6" s="443"/>
      <c r="S6" s="394"/>
      <c r="T6" s="394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spans="1:35" ht="19.899999999999999" customHeight="1" x14ac:dyDescent="0.3">
      <c r="B7" s="62" t="s">
        <v>43</v>
      </c>
      <c r="C7" s="57">
        <f>$C$5-$C$6</f>
        <v>-2610100</v>
      </c>
      <c r="J7" s="442"/>
      <c r="K7" s="395"/>
      <c r="L7" s="395"/>
      <c r="M7" s="395"/>
      <c r="N7" s="395"/>
      <c r="O7" s="395"/>
      <c r="P7" s="395"/>
      <c r="Q7" s="353"/>
      <c r="R7" s="443"/>
      <c r="S7" s="395"/>
      <c r="T7" s="395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</row>
    <row r="8" spans="1:35" ht="19.899999999999999" customHeight="1" x14ac:dyDescent="0.3">
      <c r="E8" s="3"/>
      <c r="F8" s="3"/>
      <c r="G8" s="412" t="s">
        <v>257</v>
      </c>
      <c r="H8" s="413">
        <f ca="1">COUNTIF(B10:H28,"무지출")</f>
        <v>31</v>
      </c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</row>
    <row r="10" spans="1:35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</row>
    <row r="11" spans="1:35" ht="19.899999999999999" customHeight="1" x14ac:dyDescent="0.3">
      <c r="B11" s="404">
        <f>DATE($A$1,$A$2,1)-WEEKDAY(DATE($A$1,$A$2,1))+1</f>
        <v>45837</v>
      </c>
      <c r="C11" s="405">
        <f>B11+1</f>
        <v>45838</v>
      </c>
      <c r="D11" s="405">
        <f t="shared" ref="D11:H11" si="0">C11+1</f>
        <v>45839</v>
      </c>
      <c r="E11" s="405">
        <f t="shared" si="0"/>
        <v>45840</v>
      </c>
      <c r="F11" s="405">
        <f t="shared" si="0"/>
        <v>45841</v>
      </c>
      <c r="G11" s="405">
        <f t="shared" si="0"/>
        <v>45842</v>
      </c>
      <c r="H11" s="406">
        <f t="shared" si="0"/>
        <v>45843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VLOOKUP(J11,예산!$B$41:$N$53,8,FALSE)</f>
        <v>0</v>
      </c>
      <c r="M11" s="428">
        <f t="shared" ref="M11:M23" si="1">L11-K11</f>
        <v>0</v>
      </c>
      <c r="N11" s="437">
        <f>VLOOKUP(J11,'6월'!$J$10:$K$23,2,FALSE)</f>
        <v>0</v>
      </c>
      <c r="O11" s="439">
        <f t="shared" ref="O11:O23" si="2">K11-N11</f>
        <v>0</v>
      </c>
      <c r="P11" s="3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</row>
    <row r="12" spans="1:35" ht="19.899999999999999" customHeight="1" x14ac:dyDescent="0.3">
      <c r="B12" s="532" t="str">
        <f t="shared" ref="B12:H12" ca="1" si="3">IF(MONTH(B11)&lt;&gt;$A$2,"",IF(AND(SUMIF($J$80:$J$173,B11,$R$80:$R$173)=0,B11&lt;TODAY()),"무지출",SUMIF($J$80:$J$173,B11,$R$80:$R$173)))</f>
        <v/>
      </c>
      <c r="C12" s="533" t="str">
        <f t="shared" ca="1" si="3"/>
        <v/>
      </c>
      <c r="D12" s="533" t="str">
        <f t="shared" ca="1" si="3"/>
        <v>무지출</v>
      </c>
      <c r="E12" s="533" t="str">
        <f t="shared" ca="1" si="3"/>
        <v>무지출</v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VLOOKUP(J12,예산!$B$41:$N$53,8,FALSE)</f>
        <v>0</v>
      </c>
      <c r="M12" s="428">
        <f t="shared" si="1"/>
        <v>-212000</v>
      </c>
      <c r="N12" s="437">
        <f>VLOOKUP(J12,'6월'!$J$10:$K$23,2,FALSE)</f>
        <v>212000</v>
      </c>
      <c r="O12" s="439">
        <f t="shared" si="2"/>
        <v>0</v>
      </c>
      <c r="P12" s="3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</row>
    <row r="13" spans="1:35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VLOOKUP(J13,예산!$B$41:$N$53,8,FALSE)</f>
        <v>0</v>
      </c>
      <c r="M13" s="428">
        <f t="shared" si="1"/>
        <v>0</v>
      </c>
      <c r="N13" s="437">
        <f>VLOOKUP(J13,'6월'!$J$10:$K$23,2,FALSE)</f>
        <v>0</v>
      </c>
      <c r="O13" s="439">
        <f t="shared" si="2"/>
        <v>0</v>
      </c>
      <c r="P13" s="3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</row>
    <row r="14" spans="1:35" ht="19.899999999999999" customHeight="1" x14ac:dyDescent="0.3">
      <c r="B14" s="404">
        <f>B11+7</f>
        <v>45844</v>
      </c>
      <c r="C14" s="405">
        <f t="shared" ref="C14:H14" si="5">C11+7</f>
        <v>45845</v>
      </c>
      <c r="D14" s="405">
        <f t="shared" si="5"/>
        <v>45846</v>
      </c>
      <c r="E14" s="405">
        <f t="shared" si="5"/>
        <v>45847</v>
      </c>
      <c r="F14" s="405">
        <f t="shared" si="5"/>
        <v>45848</v>
      </c>
      <c r="G14" s="405">
        <f t="shared" si="5"/>
        <v>45849</v>
      </c>
      <c r="H14" s="406">
        <f t="shared" si="5"/>
        <v>45850</v>
      </c>
      <c r="J14" s="369" t="str">
        <f>항목!H$3</f>
        <v>반려동물비</v>
      </c>
      <c r="K14" s="426">
        <f t="shared" si="4"/>
        <v>0</v>
      </c>
      <c r="L14" s="426">
        <f>VLOOKUP(J14,예산!$B$41:$N$53,8,FALSE)</f>
        <v>0</v>
      </c>
      <c r="M14" s="428">
        <f t="shared" si="1"/>
        <v>0</v>
      </c>
      <c r="N14" s="437">
        <f>VLOOKUP(J14,'6월'!$J$10:$K$23,2,FALSE)</f>
        <v>0</v>
      </c>
      <c r="O14" s="439">
        <f t="shared" si="2"/>
        <v>0</v>
      </c>
      <c r="P14" s="3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</row>
    <row r="15" spans="1:35" ht="19.899999999999999" customHeight="1" x14ac:dyDescent="0.3">
      <c r="B15" s="532" t="str">
        <f t="shared" ref="B15:H15" ca="1" si="6">IF(MONTH(B14)&lt;&gt;$A$2,"",IF(AND(SUMIF($J$80:$J$173,B14,$R$80:$R$173)=0,B14&lt;TODAY()),"무지출",SUMIF($J$80:$J$173,B14,$R$80:$R$173)))</f>
        <v>무지출</v>
      </c>
      <c r="C15" s="533" t="str">
        <f t="shared" ca="1" si="6"/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VLOOKUP(J15,예산!$B$41:$N$53,8,FALSE)</f>
        <v>0</v>
      </c>
      <c r="M15" s="428">
        <f t="shared" si="1"/>
        <v>0</v>
      </c>
      <c r="N15" s="437">
        <f>VLOOKUP(J15,'6월'!$J$10:$K$23,2,FALSE)</f>
        <v>0</v>
      </c>
      <c r="O15" s="439">
        <f t="shared" si="2"/>
        <v>0</v>
      </c>
      <c r="P15" s="3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spans="1:35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VLOOKUP(J16,예산!$B$41:$N$53,8,FALSE)</f>
        <v>0</v>
      </c>
      <c r="M16" s="428">
        <f t="shared" si="1"/>
        <v>0</v>
      </c>
      <c r="N16" s="437">
        <f>VLOOKUP(J16,'6월'!$J$10:$K$23,2,FALSE)</f>
        <v>0</v>
      </c>
      <c r="O16" s="439">
        <f t="shared" si="2"/>
        <v>0</v>
      </c>
      <c r="P16" s="3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</row>
    <row r="17" spans="2:35" ht="19.899999999999999" customHeight="1" x14ac:dyDescent="0.3">
      <c r="B17" s="404">
        <f>B11+14</f>
        <v>45851</v>
      </c>
      <c r="C17" s="405">
        <f t="shared" ref="C17:H17" si="7">C11+14</f>
        <v>45852</v>
      </c>
      <c r="D17" s="405">
        <f t="shared" si="7"/>
        <v>45853</v>
      </c>
      <c r="E17" s="405">
        <f t="shared" si="7"/>
        <v>45854</v>
      </c>
      <c r="F17" s="405">
        <f t="shared" si="7"/>
        <v>45855</v>
      </c>
      <c r="G17" s="405">
        <f t="shared" si="7"/>
        <v>45856</v>
      </c>
      <c r="H17" s="406">
        <f t="shared" si="7"/>
        <v>45857</v>
      </c>
      <c r="J17" s="369" t="str">
        <f>항목!K$3</f>
        <v>문화생활비</v>
      </c>
      <c r="K17" s="426">
        <f t="shared" si="4"/>
        <v>63100</v>
      </c>
      <c r="L17" s="426">
        <f>VLOOKUP(J17,예산!$B$41:$N$53,8,FALSE)</f>
        <v>0</v>
      </c>
      <c r="M17" s="428">
        <f t="shared" si="1"/>
        <v>-63100</v>
      </c>
      <c r="N17" s="437">
        <f>VLOOKUP(J17,'6월'!$J$10:$K$23,2,FALSE)</f>
        <v>63100</v>
      </c>
      <c r="O17" s="439">
        <f t="shared" si="2"/>
        <v>0</v>
      </c>
      <c r="P17" s="3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</row>
    <row r="18" spans="2:35" ht="19.899999999999999" customHeight="1" x14ac:dyDescent="0.3">
      <c r="B18" s="532" t="str">
        <f t="shared" ref="B18:H18" ca="1" si="8">IF(MONTH(B17)&lt;&gt;$A$2,"",IF(AND(SUMIF($J$80:$J$173,B17,$R$80:$R$173)=0,B17&lt;TODAY()),"무지출",SUMIF($J$80:$J$173,B17,$R$80:$R$173)))</f>
        <v>무지출</v>
      </c>
      <c r="C18" s="533" t="str">
        <f t="shared" ca="1" si="8"/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VLOOKUP(J18,예산!$B$41:$N$53,8,FALSE)</f>
        <v>0</v>
      </c>
      <c r="M18" s="428">
        <f t="shared" si="1"/>
        <v>0</v>
      </c>
      <c r="N18" s="437">
        <f>VLOOKUP(J18,'6월'!$J$10:$K$23,2,FALSE)</f>
        <v>0</v>
      </c>
      <c r="O18" s="439">
        <f t="shared" si="2"/>
        <v>0</v>
      </c>
      <c r="P18" s="3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</row>
    <row r="19" spans="2:35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VLOOKUP(J19,예산!$B$41:$N$53,8,FALSE)</f>
        <v>0</v>
      </c>
      <c r="M19" s="428">
        <f t="shared" si="1"/>
        <v>0</v>
      </c>
      <c r="N19" s="437">
        <f>VLOOKUP(J19,'6월'!$J$10:$K$23,2,FALSE)</f>
        <v>0</v>
      </c>
      <c r="O19" s="439">
        <f t="shared" si="2"/>
        <v>0</v>
      </c>
      <c r="P19" s="3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</row>
    <row r="20" spans="2:35" ht="19.899999999999999" customHeight="1" x14ac:dyDescent="0.3">
      <c r="B20" s="404">
        <f>B11+21</f>
        <v>45858</v>
      </c>
      <c r="C20" s="405">
        <f t="shared" ref="C20:H20" si="9">C11+21</f>
        <v>45859</v>
      </c>
      <c r="D20" s="405">
        <f t="shared" si="9"/>
        <v>45860</v>
      </c>
      <c r="E20" s="405">
        <f t="shared" si="9"/>
        <v>45861</v>
      </c>
      <c r="F20" s="405">
        <f t="shared" si="9"/>
        <v>45862</v>
      </c>
      <c r="G20" s="405">
        <f t="shared" si="9"/>
        <v>45863</v>
      </c>
      <c r="H20" s="406">
        <f t="shared" si="9"/>
        <v>45864</v>
      </c>
      <c r="J20" s="369" t="str">
        <f>항목!N$3</f>
        <v>통신비</v>
      </c>
      <c r="K20" s="426">
        <f t="shared" si="4"/>
        <v>0</v>
      </c>
      <c r="L20" s="426">
        <f>VLOOKUP(J20,예산!$B$41:$N$53,8,FALSE)</f>
        <v>0</v>
      </c>
      <c r="M20" s="428">
        <f t="shared" si="1"/>
        <v>0</v>
      </c>
      <c r="N20" s="437">
        <f>VLOOKUP(J20,'6월'!$J$10:$K$23,2,FALSE)</f>
        <v>0</v>
      </c>
      <c r="O20" s="439">
        <f t="shared" si="2"/>
        <v>0</v>
      </c>
      <c r="P20" s="3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</row>
    <row r="21" spans="2:35" ht="19.899999999999999" customHeight="1" x14ac:dyDescent="0.3">
      <c r="B21" s="532" t="str">
        <f t="shared" ref="B21:H21" ca="1" si="10">IF(MONTH(B20)&lt;&gt;$A$2,"",IF(AND(SUMIF($J$80:$J$173,B20,$R$80:$R$173)=0,B20&lt;TODAY()),"무지출",SUMIF($J$80:$J$173,B20,$R$80:$R$173)))</f>
        <v>무지출</v>
      </c>
      <c r="C21" s="533" t="str">
        <f t="shared" ca="1" si="10"/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VLOOKUP(J21,예산!$B$41:$N$53,8,FALSE)</f>
        <v>0</v>
      </c>
      <c r="M21" s="428">
        <f t="shared" si="1"/>
        <v>0</v>
      </c>
      <c r="N21" s="437">
        <f>VLOOKUP(J21,'6월'!$J$10:$K$23,2,FALSE)</f>
        <v>0</v>
      </c>
      <c r="O21" s="439">
        <f t="shared" si="2"/>
        <v>0</v>
      </c>
      <c r="P21" s="3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</row>
    <row r="22" spans="2:35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VLOOKUP(J22,예산!$B$41:$N$53,8,FALSE)</f>
        <v>0</v>
      </c>
      <c r="M22" s="428">
        <f t="shared" si="1"/>
        <v>0</v>
      </c>
      <c r="N22" s="437">
        <f>VLOOKUP(J22,'6월'!$J$10:$K$23,2,FALSE)</f>
        <v>0</v>
      </c>
      <c r="O22" s="439">
        <f t="shared" si="2"/>
        <v>0</v>
      </c>
      <c r="P22" s="3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</row>
    <row r="23" spans="2:35" ht="19.899999999999999" customHeight="1" x14ac:dyDescent="0.3">
      <c r="B23" s="404">
        <f>B11+28</f>
        <v>45865</v>
      </c>
      <c r="C23" s="405">
        <f t="shared" ref="C23:H23" si="11">C11+28</f>
        <v>45866</v>
      </c>
      <c r="D23" s="405">
        <f t="shared" si="11"/>
        <v>45867</v>
      </c>
      <c r="E23" s="405">
        <f t="shared" si="11"/>
        <v>45868</v>
      </c>
      <c r="F23" s="405">
        <f t="shared" si="11"/>
        <v>45869</v>
      </c>
      <c r="G23" s="405">
        <f t="shared" si="11"/>
        <v>45870</v>
      </c>
      <c r="H23" s="406">
        <f t="shared" si="11"/>
        <v>45871</v>
      </c>
      <c r="J23" s="332" t="str">
        <f>항목!Q$3</f>
        <v>추가항목</v>
      </c>
      <c r="K23" s="426">
        <f t="shared" si="4"/>
        <v>0</v>
      </c>
      <c r="L23" s="427">
        <f>VLOOKUP(J23,예산!$B$41:$N$53,8,FALSE)</f>
        <v>0</v>
      </c>
      <c r="M23" s="429">
        <f t="shared" si="1"/>
        <v>0</v>
      </c>
      <c r="N23" s="438">
        <f>VLOOKUP(J23,'6월'!$J$10:$K$23,2,FALSE)</f>
        <v>0</v>
      </c>
      <c r="O23" s="440">
        <f t="shared" si="2"/>
        <v>0</v>
      </c>
      <c r="P23" s="3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</row>
    <row r="24" spans="2:35" ht="19.899999999999999" customHeight="1" x14ac:dyDescent="0.3">
      <c r="B24" s="532" t="str">
        <f t="shared" ref="B24:H24" ca="1" si="12">IF(MONTH(B23)&lt;&gt;$A$2,"",IF(AND(SUMIF($J$80:$J$173,B23,$R$80:$R$173)=0,B23&lt;TODAY()),"무지출",SUMIF($J$80:$J$173,B23,$R$80:$R$173)))</f>
        <v>무지출</v>
      </c>
      <c r="C24" s="533" t="str">
        <f t="shared" ca="1" si="12"/>
        <v>무지출</v>
      </c>
      <c r="D24" s="533" t="str">
        <f t="shared" ca="1" si="12"/>
        <v>무지출</v>
      </c>
      <c r="E24" s="533" t="str">
        <f t="shared" ca="1" si="12"/>
        <v>무지출</v>
      </c>
      <c r="F24" s="533" t="str">
        <f t="shared" ca="1" si="12"/>
        <v>무지출</v>
      </c>
      <c r="G24" s="533" t="str">
        <f t="shared" ca="1" si="12"/>
        <v/>
      </c>
      <c r="H24" s="534" t="str">
        <f t="shared" ca="1" si="12"/>
        <v/>
      </c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</row>
    <row r="25" spans="2:35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</row>
    <row r="26" spans="2:35" ht="19.899999999999999" customHeight="1" x14ac:dyDescent="0.3">
      <c r="B26" s="404">
        <f>B11+35</f>
        <v>45872</v>
      </c>
      <c r="C26" s="405">
        <f t="shared" ref="C26:H26" si="13">C11+35</f>
        <v>45873</v>
      </c>
      <c r="D26" s="405">
        <f t="shared" si="13"/>
        <v>45874</v>
      </c>
      <c r="E26" s="405">
        <f t="shared" si="13"/>
        <v>45875</v>
      </c>
      <c r="F26" s="405">
        <f t="shared" si="13"/>
        <v>45876</v>
      </c>
      <c r="G26" s="405">
        <f t="shared" si="13"/>
        <v>45877</v>
      </c>
      <c r="H26" s="406">
        <f t="shared" si="13"/>
        <v>45878</v>
      </c>
      <c r="J26" s="446"/>
      <c r="K26" s="368"/>
      <c r="L26" s="368"/>
      <c r="M26" s="368"/>
      <c r="N26" s="368"/>
      <c r="O26" s="368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</row>
    <row r="27" spans="2:35" ht="19.899999999999999" customHeight="1" x14ac:dyDescent="0.3">
      <c r="B27" s="532" t="str">
        <f t="shared" ref="B27:H27" ca="1" si="14">IF(MONTH(B26)&lt;&gt;$A$2,"",IF(AND(SUMIF($J$80:$J$173,B26,$R$80:$R$173)=0,B26&lt;TODAY()),"무지출",SUMIF($J$80:$J$173,B26,$R$80:$R$173)))</f>
        <v/>
      </c>
      <c r="C27" s="533" t="str">
        <f t="shared" ca="1" si="14"/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</row>
    <row r="28" spans="2:35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</row>
    <row r="29" spans="2:35" ht="19.899999999999999" customHeight="1" x14ac:dyDescent="0.3"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</row>
    <row r="30" spans="2:35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35" ht="10.15" customHeight="1" x14ac:dyDescent="0.3"/>
    <row r="32" spans="2:35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G168" s="2"/>
      <c r="O168" s="2"/>
      <c r="P168" s="2"/>
      <c r="Q168" s="2"/>
    </row>
    <row r="169" spans="1:23" ht="18" customHeight="1" x14ac:dyDescent="0.3">
      <c r="G169" s="2"/>
      <c r="O169" s="2"/>
      <c r="P169" s="2"/>
      <c r="Q169" s="2"/>
    </row>
    <row r="170" spans="1:23" ht="18" customHeight="1" x14ac:dyDescent="0.3">
      <c r="G170" s="2"/>
      <c r="O170" s="2"/>
      <c r="P170" s="2"/>
      <c r="Q170" s="2"/>
    </row>
    <row r="171" spans="1:23" ht="18" customHeight="1" x14ac:dyDescent="0.3">
      <c r="G171" s="2"/>
      <c r="O171" s="2"/>
      <c r="P171" s="2"/>
      <c r="Q171" s="2"/>
    </row>
    <row r="172" spans="1:23" ht="18" customHeight="1" x14ac:dyDescent="0.3">
      <c r="G172" s="2"/>
      <c r="O172" s="2"/>
      <c r="P172" s="2"/>
      <c r="Q172" s="2"/>
    </row>
    <row r="173" spans="1:23" ht="18" customHeight="1" x14ac:dyDescent="0.3">
      <c r="G173" s="2"/>
      <c r="O173" s="2"/>
      <c r="P173" s="2"/>
      <c r="Q173" s="2"/>
    </row>
    <row r="174" spans="1:23" ht="18" customHeight="1" x14ac:dyDescent="0.3">
      <c r="G174" s="2"/>
      <c r="O174" s="2"/>
      <c r="P174" s="2"/>
      <c r="Q174" s="2"/>
    </row>
    <row r="175" spans="1:23" ht="18" customHeight="1" x14ac:dyDescent="0.3">
      <c r="G175" s="2"/>
      <c r="O175" s="2"/>
      <c r="P175" s="2"/>
      <c r="Q175" s="2"/>
    </row>
    <row r="176" spans="1:23" ht="18" customHeight="1" x14ac:dyDescent="0.3">
      <c r="G176" s="2"/>
      <c r="O176" s="2"/>
      <c r="P176" s="2"/>
      <c r="Q176" s="2"/>
    </row>
    <row r="177" spans="7:17" ht="18" customHeight="1" x14ac:dyDescent="0.3">
      <c r="G177" s="2"/>
      <c r="O177" s="2"/>
      <c r="P177" s="2"/>
      <c r="Q177" s="2"/>
    </row>
    <row r="178" spans="7:17" ht="18" customHeight="1" x14ac:dyDescent="0.3">
      <c r="G178" s="2"/>
      <c r="O178" s="2"/>
      <c r="P178" s="2"/>
      <c r="Q178" s="2"/>
    </row>
    <row r="179" spans="7:17" ht="18" customHeight="1" x14ac:dyDescent="0.3">
      <c r="G179" s="2"/>
      <c r="O179" s="2"/>
      <c r="P179" s="2"/>
      <c r="Q179" s="2"/>
    </row>
    <row r="180" spans="7:17" ht="18" customHeight="1" x14ac:dyDescent="0.3">
      <c r="G180" s="2"/>
      <c r="O180" s="2"/>
      <c r="P180" s="2"/>
      <c r="Q180" s="2"/>
    </row>
    <row r="181" spans="7:17" ht="18" customHeight="1" x14ac:dyDescent="0.3">
      <c r="G181" s="2"/>
      <c r="O181" s="2"/>
      <c r="P181" s="2"/>
      <c r="Q181" s="2"/>
    </row>
    <row r="182" spans="7:17" ht="18" customHeight="1" x14ac:dyDescent="0.3">
      <c r="G182" s="2"/>
      <c r="O182" s="2"/>
      <c r="P182" s="2"/>
      <c r="Q182" s="2"/>
    </row>
    <row r="183" spans="7:17" ht="18" customHeight="1" x14ac:dyDescent="0.3">
      <c r="G183" s="2"/>
      <c r="O183" s="2"/>
      <c r="P183" s="2"/>
      <c r="Q183" s="2"/>
    </row>
    <row r="184" spans="7:17" ht="18" customHeight="1" x14ac:dyDescent="0.3">
      <c r="G184" s="2"/>
      <c r="O184" s="2"/>
      <c r="P184" s="2"/>
      <c r="Q184" s="2"/>
    </row>
    <row r="185" spans="7:17" ht="18" customHeight="1" x14ac:dyDescent="0.3">
      <c r="G185" s="2"/>
      <c r="O185" s="2"/>
      <c r="P185" s="2"/>
      <c r="Q185" s="2"/>
    </row>
    <row r="186" spans="7:17" ht="18" customHeight="1" x14ac:dyDescent="0.3">
      <c r="G186" s="2"/>
      <c r="O186" s="2"/>
      <c r="P186" s="2"/>
      <c r="Q186" s="2"/>
    </row>
    <row r="187" spans="7:17" ht="18" customHeight="1" x14ac:dyDescent="0.3">
      <c r="G187" s="2"/>
      <c r="O187" s="2"/>
      <c r="P187" s="2"/>
      <c r="Q187" s="2"/>
    </row>
    <row r="188" spans="7:17" ht="18" customHeight="1" x14ac:dyDescent="0.3">
      <c r="G188" s="2"/>
      <c r="O188" s="2"/>
      <c r="P188" s="2"/>
      <c r="Q188" s="2"/>
    </row>
    <row r="189" spans="7:17" ht="18" customHeight="1" x14ac:dyDescent="0.3">
      <c r="G189" s="2"/>
      <c r="O189" s="2"/>
      <c r="P189" s="2"/>
      <c r="Q189" s="2"/>
    </row>
    <row r="190" spans="7:17" ht="18" customHeight="1" x14ac:dyDescent="0.3">
      <c r="G190" s="2"/>
      <c r="O190" s="2"/>
      <c r="P190" s="2"/>
      <c r="Q190" s="2"/>
    </row>
    <row r="191" spans="7:17" ht="18" customHeight="1" x14ac:dyDescent="0.3">
      <c r="G191" s="2"/>
      <c r="O191" s="2"/>
      <c r="P191" s="2"/>
      <c r="Q191" s="2"/>
    </row>
    <row r="192" spans="7:17" ht="18" customHeight="1" x14ac:dyDescent="0.3">
      <c r="G192" s="2"/>
      <c r="O192" s="2"/>
      <c r="P192" s="2"/>
      <c r="Q192" s="2"/>
    </row>
    <row r="193" spans="7:17" ht="18" customHeight="1" x14ac:dyDescent="0.3">
      <c r="G193" s="2"/>
      <c r="O193" s="2"/>
      <c r="P193" s="2"/>
      <c r="Q193" s="2"/>
    </row>
    <row r="194" spans="7:17" ht="18" customHeight="1" x14ac:dyDescent="0.3">
      <c r="G194" s="2"/>
      <c r="O194" s="2"/>
      <c r="P194" s="2"/>
      <c r="Q194" s="2"/>
    </row>
    <row r="195" spans="7:17" ht="18" customHeight="1" x14ac:dyDescent="0.3">
      <c r="G195" s="2"/>
      <c r="O195" s="2"/>
      <c r="P195" s="2"/>
      <c r="Q195" s="2"/>
    </row>
    <row r="196" spans="7:17" ht="18" customHeight="1" x14ac:dyDescent="0.3">
      <c r="G196" s="2"/>
      <c r="O196" s="2"/>
      <c r="P196" s="2"/>
      <c r="Q196" s="2"/>
    </row>
    <row r="197" spans="7:17" ht="18" customHeight="1" x14ac:dyDescent="0.3">
      <c r="G197" s="2"/>
      <c r="O197" s="2"/>
      <c r="P197" s="2"/>
      <c r="Q197" s="2"/>
    </row>
    <row r="198" spans="7:17" ht="18" customHeight="1" x14ac:dyDescent="0.3">
      <c r="G198" s="2"/>
      <c r="O198" s="2"/>
      <c r="P198" s="2"/>
      <c r="Q198" s="2"/>
    </row>
    <row r="199" spans="7:17" ht="18" customHeight="1" x14ac:dyDescent="0.3">
      <c r="G199" s="2"/>
      <c r="O199" s="2"/>
      <c r="P199" s="2"/>
      <c r="Q199" s="2"/>
    </row>
    <row r="200" spans="7:17" ht="18" customHeight="1" x14ac:dyDescent="0.3">
      <c r="G200" s="2"/>
      <c r="O200" s="2"/>
      <c r="P200" s="2"/>
      <c r="Q200" s="2"/>
    </row>
    <row r="201" spans="7:17" ht="18" customHeight="1" x14ac:dyDescent="0.3">
      <c r="G201" s="2"/>
      <c r="O201" s="2"/>
      <c r="P201" s="2"/>
      <c r="Q201" s="2"/>
    </row>
    <row r="202" spans="7:17" ht="18" customHeight="1" x14ac:dyDescent="0.3">
      <c r="G202" s="2"/>
      <c r="O202" s="2"/>
      <c r="P202" s="2"/>
      <c r="Q202" s="2"/>
    </row>
    <row r="203" spans="7:17" ht="18" customHeight="1" x14ac:dyDescent="0.3">
      <c r="G203" s="2"/>
      <c r="O203" s="2"/>
      <c r="P203" s="2"/>
      <c r="Q203" s="2"/>
    </row>
    <row r="204" spans="7:17" ht="18" customHeight="1" x14ac:dyDescent="0.3">
      <c r="G204" s="2"/>
      <c r="O204" s="2"/>
      <c r="P204" s="2"/>
      <c r="Q204" s="2"/>
    </row>
    <row r="205" spans="7:17" ht="18" customHeight="1" x14ac:dyDescent="0.3">
      <c r="G205" s="2"/>
      <c r="O205" s="2"/>
      <c r="P205" s="2"/>
      <c r="Q205" s="2"/>
    </row>
    <row r="206" spans="7:17" ht="18" customHeight="1" x14ac:dyDescent="0.3">
      <c r="G206" s="2"/>
      <c r="O206" s="2"/>
      <c r="P206" s="2"/>
      <c r="Q206" s="2"/>
    </row>
    <row r="207" spans="7:17" ht="18" customHeight="1" x14ac:dyDescent="0.3">
      <c r="G207" s="2"/>
      <c r="O207" s="2"/>
      <c r="P207" s="2"/>
      <c r="Q207" s="2"/>
    </row>
    <row r="208" spans="7:17" ht="18" customHeight="1" x14ac:dyDescent="0.3">
      <c r="G208" s="2"/>
      <c r="O208" s="2"/>
      <c r="P208" s="2"/>
      <c r="Q208" s="2"/>
    </row>
    <row r="209" spans="7:17" ht="18" customHeight="1" x14ac:dyDescent="0.3">
      <c r="G209" s="2"/>
      <c r="O209" s="2"/>
      <c r="P209" s="2"/>
      <c r="Q209" s="2"/>
    </row>
    <row r="210" spans="7:17" ht="18" customHeight="1" x14ac:dyDescent="0.3">
      <c r="G210" s="2"/>
      <c r="O210" s="2"/>
      <c r="P210" s="2"/>
      <c r="Q210" s="2"/>
    </row>
    <row r="211" spans="7:17" ht="18" customHeight="1" x14ac:dyDescent="0.3">
      <c r="G211" s="2"/>
      <c r="O211" s="2"/>
      <c r="P211" s="2"/>
      <c r="Q211" s="2"/>
    </row>
    <row r="212" spans="7:17" ht="18" customHeight="1" x14ac:dyDescent="0.3">
      <c r="G212" s="2"/>
      <c r="O212" s="2"/>
      <c r="P212" s="2"/>
      <c r="Q212" s="2"/>
    </row>
    <row r="213" spans="7:17" ht="18" customHeight="1" x14ac:dyDescent="0.3">
      <c r="G213" s="2"/>
      <c r="O213" s="2"/>
      <c r="P213" s="2"/>
      <c r="Q213" s="2"/>
    </row>
    <row r="214" spans="7:17" ht="18" customHeight="1" x14ac:dyDescent="0.3">
      <c r="G214" s="2"/>
      <c r="O214" s="2"/>
      <c r="P214" s="2"/>
      <c r="Q214" s="2"/>
    </row>
    <row r="215" spans="7:17" ht="18" customHeight="1" x14ac:dyDescent="0.3">
      <c r="G215" s="2"/>
      <c r="O215" s="2"/>
      <c r="P215" s="2"/>
      <c r="Q215" s="2"/>
    </row>
    <row r="216" spans="7:17" ht="18" customHeight="1" x14ac:dyDescent="0.3">
      <c r="G216" s="2"/>
      <c r="O216" s="2"/>
      <c r="P216" s="2"/>
      <c r="Q216" s="2"/>
    </row>
    <row r="217" spans="7:17" ht="18" customHeight="1" x14ac:dyDescent="0.3">
      <c r="G217" s="2"/>
      <c r="O217" s="2"/>
      <c r="P217" s="2"/>
      <c r="Q217" s="2"/>
    </row>
    <row r="218" spans="7:17" ht="18" customHeight="1" x14ac:dyDescent="0.3">
      <c r="G218" s="2"/>
      <c r="O218" s="2"/>
      <c r="P218" s="2"/>
      <c r="Q218" s="2"/>
    </row>
    <row r="219" spans="7:17" ht="18" customHeight="1" x14ac:dyDescent="0.3">
      <c r="G219" s="2"/>
      <c r="O219" s="2"/>
      <c r="P219" s="2"/>
      <c r="Q219" s="2"/>
    </row>
    <row r="220" spans="7:17" ht="18" customHeight="1" x14ac:dyDescent="0.3">
      <c r="G220" s="2"/>
      <c r="O220" s="2"/>
      <c r="P220" s="2"/>
      <c r="Q220" s="2"/>
    </row>
    <row r="221" spans="7:17" ht="18" customHeight="1" x14ac:dyDescent="0.3">
      <c r="G221" s="2"/>
      <c r="O221" s="2"/>
      <c r="P221" s="2"/>
      <c r="Q221" s="2"/>
    </row>
    <row r="222" spans="7:17" ht="18" customHeight="1" x14ac:dyDescent="0.3">
      <c r="G222" s="2"/>
      <c r="O222" s="2"/>
      <c r="P222" s="2"/>
      <c r="Q222" s="2"/>
    </row>
    <row r="223" spans="7:17" ht="18" customHeight="1" x14ac:dyDescent="0.3">
      <c r="G223" s="2"/>
      <c r="O223" s="2"/>
      <c r="P223" s="2"/>
      <c r="Q223" s="2"/>
    </row>
    <row r="224" spans="7:17" ht="18" customHeight="1" x14ac:dyDescent="0.3">
      <c r="G224" s="2"/>
      <c r="O224" s="2"/>
      <c r="P224" s="2"/>
      <c r="Q224" s="2"/>
    </row>
    <row r="225" spans="7:17" ht="18" customHeight="1" x14ac:dyDescent="0.3">
      <c r="G225" s="2"/>
      <c r="O225" s="2"/>
      <c r="P225" s="2"/>
      <c r="Q225" s="2"/>
    </row>
    <row r="226" spans="7:17" ht="18" customHeight="1" x14ac:dyDescent="0.3">
      <c r="G226" s="2"/>
      <c r="O226" s="2"/>
      <c r="P226" s="2"/>
      <c r="Q226" s="2"/>
    </row>
    <row r="227" spans="7:17" ht="18" customHeight="1" x14ac:dyDescent="0.3">
      <c r="G227" s="2"/>
      <c r="O227" s="2"/>
      <c r="P227" s="2"/>
      <c r="Q227" s="2"/>
    </row>
    <row r="228" spans="7:17" ht="18" customHeight="1" x14ac:dyDescent="0.3">
      <c r="G228" s="2"/>
      <c r="O228" s="2"/>
      <c r="P228" s="2"/>
      <c r="Q228" s="2"/>
    </row>
    <row r="229" spans="7:17" ht="18" customHeight="1" x14ac:dyDescent="0.3">
      <c r="G229" s="2"/>
      <c r="O229" s="2"/>
      <c r="P229" s="2"/>
      <c r="Q229" s="2"/>
    </row>
    <row r="230" spans="7:17" ht="18" customHeight="1" x14ac:dyDescent="0.3">
      <c r="G230" s="2"/>
      <c r="O230" s="2"/>
      <c r="P230" s="2"/>
      <c r="Q230" s="2"/>
    </row>
    <row r="231" spans="7:17" ht="18" customHeight="1" x14ac:dyDescent="0.3">
      <c r="G231" s="2"/>
      <c r="O231" s="2"/>
      <c r="P231" s="2"/>
      <c r="Q231" s="2"/>
    </row>
    <row r="232" spans="7:17" ht="18" customHeight="1" x14ac:dyDescent="0.3">
      <c r="G232" s="2"/>
      <c r="O232" s="2"/>
      <c r="P232" s="2"/>
      <c r="Q232" s="2"/>
    </row>
    <row r="233" spans="7:17" ht="18" customHeight="1" x14ac:dyDescent="0.3">
      <c r="G233" s="2"/>
      <c r="O233" s="2"/>
      <c r="P233" s="2"/>
      <c r="Q233" s="2"/>
    </row>
    <row r="234" spans="7:17" ht="18" customHeight="1" x14ac:dyDescent="0.3">
      <c r="G234" s="2"/>
      <c r="O234" s="2"/>
      <c r="P234" s="2"/>
      <c r="Q234" s="2"/>
    </row>
    <row r="235" spans="7:17" ht="18" customHeight="1" x14ac:dyDescent="0.3">
      <c r="G235" s="2"/>
      <c r="O235" s="2"/>
      <c r="P235" s="2"/>
      <c r="Q235" s="2"/>
    </row>
    <row r="236" spans="7:17" ht="18" customHeight="1" x14ac:dyDescent="0.3">
      <c r="G236" s="2"/>
      <c r="O236" s="2"/>
      <c r="P236" s="2"/>
      <c r="Q236" s="2"/>
    </row>
    <row r="237" spans="7:17" ht="18" customHeight="1" x14ac:dyDescent="0.3">
      <c r="G237" s="2"/>
      <c r="O237" s="2"/>
      <c r="P237" s="2"/>
      <c r="Q237" s="2"/>
    </row>
    <row r="238" spans="7:17" ht="18" customHeight="1" x14ac:dyDescent="0.3">
      <c r="G238" s="2"/>
      <c r="O238" s="2"/>
      <c r="P238" s="2"/>
      <c r="Q238" s="2"/>
    </row>
    <row r="239" spans="7:17" ht="18" customHeight="1" x14ac:dyDescent="0.3">
      <c r="G239" s="2"/>
      <c r="O239" s="2"/>
      <c r="P239" s="2"/>
      <c r="Q239" s="2"/>
    </row>
    <row r="240" spans="7:17" ht="18" customHeight="1" x14ac:dyDescent="0.3">
      <c r="G240" s="2"/>
      <c r="O240" s="2"/>
      <c r="P240" s="2"/>
      <c r="Q240" s="2"/>
    </row>
    <row r="241" spans="7:17" ht="18" customHeight="1" x14ac:dyDescent="0.3">
      <c r="G241" s="2"/>
      <c r="O241" s="2"/>
      <c r="P241" s="2"/>
      <c r="Q241" s="2"/>
    </row>
    <row r="242" spans="7:17" ht="18" customHeight="1" x14ac:dyDescent="0.3">
      <c r="G242" s="2"/>
      <c r="O242" s="2"/>
      <c r="P242" s="2"/>
      <c r="Q242" s="2"/>
    </row>
    <row r="243" spans="7:17" ht="18" customHeight="1" x14ac:dyDescent="0.3">
      <c r="G243" s="2"/>
      <c r="O243" s="2"/>
      <c r="P243" s="2"/>
      <c r="Q243" s="2"/>
    </row>
    <row r="244" spans="7:17" ht="18" customHeight="1" x14ac:dyDescent="0.3">
      <c r="G244" s="2"/>
      <c r="O244" s="2"/>
      <c r="P244" s="2"/>
      <c r="Q244" s="2"/>
    </row>
    <row r="245" spans="7:17" ht="18" customHeight="1" x14ac:dyDescent="0.3">
      <c r="G245" s="2"/>
      <c r="O245" s="2"/>
      <c r="P245" s="2"/>
      <c r="Q245" s="2"/>
    </row>
    <row r="246" spans="7:17" ht="18" customHeight="1" x14ac:dyDescent="0.3">
      <c r="G246" s="2"/>
      <c r="O246" s="2"/>
      <c r="P246" s="2"/>
      <c r="Q246" s="2"/>
    </row>
    <row r="247" spans="7:17" ht="18" customHeight="1" x14ac:dyDescent="0.3">
      <c r="G247" s="2"/>
      <c r="O247" s="2"/>
      <c r="P247" s="2"/>
      <c r="Q247" s="2"/>
    </row>
    <row r="248" spans="7:17" ht="18" customHeight="1" x14ac:dyDescent="0.3">
      <c r="G248" s="2"/>
      <c r="O248" s="2"/>
      <c r="P248" s="2"/>
      <c r="Q248" s="2"/>
    </row>
    <row r="249" spans="7:17" ht="18" customHeight="1" x14ac:dyDescent="0.3">
      <c r="G249" s="2"/>
      <c r="O249" s="2"/>
      <c r="P249" s="2"/>
      <c r="Q249" s="2"/>
    </row>
    <row r="250" spans="7:17" ht="18" customHeight="1" x14ac:dyDescent="0.3">
      <c r="G250" s="2"/>
      <c r="O250" s="2"/>
      <c r="P250" s="2"/>
      <c r="Q250" s="2"/>
    </row>
    <row r="251" spans="7:17" ht="18" customHeight="1" x14ac:dyDescent="0.3">
      <c r="G251" s="2"/>
      <c r="O251" s="2"/>
      <c r="P251" s="2"/>
      <c r="Q251" s="2"/>
    </row>
    <row r="252" spans="7:17" ht="18" customHeight="1" x14ac:dyDescent="0.3">
      <c r="G252" s="2"/>
      <c r="O252" s="2"/>
      <c r="P252" s="2"/>
      <c r="Q252" s="2"/>
    </row>
    <row r="253" spans="7:17" ht="18" customHeight="1" x14ac:dyDescent="0.3">
      <c r="G253" s="2"/>
      <c r="O253" s="2"/>
      <c r="P253" s="2"/>
      <c r="Q253" s="2"/>
    </row>
    <row r="254" spans="7:17" ht="18" customHeight="1" x14ac:dyDescent="0.3">
      <c r="G254" s="2"/>
      <c r="O254" s="2"/>
      <c r="P254" s="2"/>
      <c r="Q254" s="2"/>
    </row>
    <row r="255" spans="7:17" ht="18" customHeight="1" x14ac:dyDescent="0.3">
      <c r="G255" s="2"/>
      <c r="O255" s="2"/>
      <c r="P255" s="2"/>
      <c r="Q255" s="2"/>
    </row>
    <row r="256" spans="7:17" ht="18" customHeight="1" x14ac:dyDescent="0.3">
      <c r="G256" s="2"/>
      <c r="O256" s="2"/>
      <c r="P256" s="2"/>
      <c r="Q256" s="2"/>
    </row>
    <row r="257" spans="7:17" ht="18" customHeight="1" x14ac:dyDescent="0.3">
      <c r="G257" s="2"/>
      <c r="O257" s="2"/>
      <c r="P257" s="2"/>
      <c r="Q257" s="2"/>
    </row>
    <row r="258" spans="7:17" ht="18" customHeight="1" x14ac:dyDescent="0.3">
      <c r="G258" s="2"/>
      <c r="O258" s="2"/>
      <c r="P258" s="2"/>
      <c r="Q258" s="2"/>
    </row>
    <row r="259" spans="7:17" ht="18" customHeight="1" x14ac:dyDescent="0.3">
      <c r="G259" s="2"/>
      <c r="O259" s="2"/>
      <c r="P259" s="2"/>
      <c r="Q259" s="2"/>
    </row>
    <row r="260" spans="7:17" ht="18" customHeight="1" x14ac:dyDescent="0.3">
      <c r="G260" s="2"/>
      <c r="O260" s="2"/>
      <c r="P260" s="2"/>
      <c r="Q260" s="2"/>
    </row>
    <row r="261" spans="7:17" ht="18" customHeight="1" x14ac:dyDescent="0.3">
      <c r="G261" s="2"/>
      <c r="O261" s="2"/>
      <c r="P261" s="2"/>
      <c r="Q261" s="2"/>
    </row>
    <row r="262" spans="7:17" ht="18" customHeight="1" x14ac:dyDescent="0.3">
      <c r="G262" s="2"/>
      <c r="O262" s="2"/>
      <c r="P262" s="2"/>
      <c r="Q262" s="2"/>
    </row>
    <row r="263" spans="7:17" ht="18" customHeight="1" x14ac:dyDescent="0.3">
      <c r="G263" s="2"/>
      <c r="O263" s="2"/>
      <c r="P263" s="2"/>
      <c r="Q263" s="2"/>
    </row>
    <row r="264" spans="7:17" ht="18" customHeight="1" x14ac:dyDescent="0.3">
      <c r="G264" s="2"/>
      <c r="O264" s="2"/>
      <c r="P264" s="2"/>
      <c r="Q264" s="2"/>
    </row>
    <row r="265" spans="7:17" ht="18" customHeight="1" x14ac:dyDescent="0.3">
      <c r="G265" s="2"/>
      <c r="O265" s="2"/>
      <c r="P265" s="2"/>
      <c r="Q265" s="2"/>
    </row>
    <row r="266" spans="7:17" ht="18" customHeight="1" x14ac:dyDescent="0.3">
      <c r="G266" s="2"/>
      <c r="O266" s="2"/>
      <c r="P266" s="2"/>
      <c r="Q266" s="2"/>
    </row>
    <row r="267" spans="7:17" ht="18" customHeight="1" x14ac:dyDescent="0.3">
      <c r="G267" s="2"/>
      <c r="O267" s="2"/>
      <c r="P267" s="2"/>
      <c r="Q267" s="2"/>
    </row>
    <row r="268" spans="7:17" ht="18" customHeight="1" x14ac:dyDescent="0.3">
      <c r="G268" s="2"/>
      <c r="O268" s="2"/>
      <c r="P268" s="2"/>
      <c r="Q268" s="2"/>
    </row>
    <row r="269" spans="7:17" ht="18" customHeight="1" x14ac:dyDescent="0.3">
      <c r="G269" s="2"/>
      <c r="O269" s="2"/>
      <c r="P269" s="2"/>
      <c r="Q269" s="2"/>
    </row>
    <row r="270" spans="7:17" ht="18" customHeight="1" x14ac:dyDescent="0.3">
      <c r="G270" s="2"/>
      <c r="O270" s="2"/>
      <c r="P270" s="2"/>
      <c r="Q270" s="2"/>
    </row>
    <row r="271" spans="7:17" ht="18" customHeight="1" x14ac:dyDescent="0.3">
      <c r="G271" s="2"/>
      <c r="O271" s="2"/>
      <c r="P271" s="2"/>
      <c r="Q271" s="2"/>
    </row>
    <row r="272" spans="7:17" ht="18" customHeight="1" x14ac:dyDescent="0.3">
      <c r="G272" s="2"/>
      <c r="O272" s="2"/>
      <c r="P272" s="2"/>
      <c r="Q272" s="2"/>
    </row>
    <row r="273" spans="7:17" ht="18" customHeight="1" x14ac:dyDescent="0.3">
      <c r="G273" s="2"/>
      <c r="O273" s="2"/>
      <c r="P273" s="2"/>
      <c r="Q273" s="2"/>
    </row>
    <row r="274" spans="7:17" ht="18" customHeight="1" x14ac:dyDescent="0.3">
      <c r="G274" s="2"/>
      <c r="O274" s="2"/>
      <c r="P274" s="2"/>
      <c r="Q274" s="2"/>
    </row>
    <row r="275" spans="7:17" ht="18" customHeight="1" x14ac:dyDescent="0.3">
      <c r="G275" s="2"/>
      <c r="O275" s="2"/>
      <c r="P275" s="2"/>
      <c r="Q275" s="2"/>
    </row>
    <row r="276" spans="7:17" ht="18" customHeight="1" x14ac:dyDescent="0.3">
      <c r="G276" s="2"/>
      <c r="O276" s="2"/>
      <c r="P276" s="2"/>
      <c r="Q276" s="2"/>
    </row>
    <row r="277" spans="7:17" ht="18" customHeight="1" x14ac:dyDescent="0.3">
      <c r="G277" s="2"/>
      <c r="O277" s="2"/>
      <c r="P277" s="2"/>
      <c r="Q277" s="2"/>
    </row>
    <row r="278" spans="7:17" ht="18" customHeight="1" x14ac:dyDescent="0.3">
      <c r="G278" s="2"/>
      <c r="O278" s="2"/>
      <c r="P278" s="2"/>
      <c r="Q278" s="2"/>
    </row>
    <row r="279" spans="7:17" ht="18" customHeight="1" x14ac:dyDescent="0.3">
      <c r="G279" s="2"/>
      <c r="O279" s="2"/>
      <c r="P279" s="2"/>
      <c r="Q279" s="2"/>
    </row>
    <row r="280" spans="7:17" ht="18" customHeight="1" x14ac:dyDescent="0.3">
      <c r="G280" s="2"/>
      <c r="O280" s="2"/>
      <c r="P280" s="2"/>
      <c r="Q280" s="2"/>
    </row>
    <row r="281" spans="7:17" ht="18" customHeight="1" x14ac:dyDescent="0.3">
      <c r="G281" s="2"/>
      <c r="O281" s="2"/>
      <c r="P281" s="2"/>
      <c r="Q281" s="2"/>
    </row>
    <row r="282" spans="7:17" ht="18" customHeight="1" x14ac:dyDescent="0.3">
      <c r="G282" s="2"/>
      <c r="O282" s="2"/>
      <c r="P282" s="2"/>
      <c r="Q282" s="2"/>
    </row>
    <row r="283" spans="7:17" ht="18" customHeight="1" x14ac:dyDescent="0.3">
      <c r="G283" s="2"/>
      <c r="O283" s="2"/>
      <c r="P283" s="2"/>
      <c r="Q283" s="2"/>
    </row>
    <row r="284" spans="7:17" ht="18" customHeight="1" x14ac:dyDescent="0.3">
      <c r="G284" s="2"/>
      <c r="O284" s="2"/>
      <c r="P284" s="2"/>
      <c r="Q284" s="2"/>
    </row>
    <row r="285" spans="7:17" ht="18" customHeight="1" x14ac:dyDescent="0.3">
      <c r="G285" s="2"/>
      <c r="O285" s="2"/>
      <c r="P285" s="2"/>
      <c r="Q285" s="2"/>
    </row>
    <row r="286" spans="7:17" ht="18" customHeight="1" x14ac:dyDescent="0.3">
      <c r="G286" s="2"/>
      <c r="O286" s="2"/>
      <c r="P286" s="2"/>
      <c r="Q286" s="2"/>
    </row>
    <row r="287" spans="7:17" ht="18" customHeight="1" x14ac:dyDescent="0.3">
      <c r="G287" s="2"/>
      <c r="O287" s="2"/>
      <c r="P287" s="2"/>
      <c r="Q287" s="2"/>
    </row>
    <row r="288" spans="7:17" ht="18" customHeight="1" x14ac:dyDescent="0.3">
      <c r="G288" s="2"/>
      <c r="O288" s="2"/>
      <c r="P288" s="2"/>
      <c r="Q288" s="2"/>
    </row>
    <row r="289" spans="7:17" ht="18" customHeight="1" x14ac:dyDescent="0.3">
      <c r="G289" s="2"/>
      <c r="O289" s="2"/>
      <c r="P289" s="2"/>
      <c r="Q289" s="2"/>
    </row>
    <row r="290" spans="7:17" ht="18" customHeight="1" x14ac:dyDescent="0.3">
      <c r="G290" s="2"/>
      <c r="O290" s="2"/>
      <c r="P290" s="2"/>
      <c r="Q290" s="2"/>
    </row>
    <row r="291" spans="7:17" ht="18" customHeight="1" x14ac:dyDescent="0.3">
      <c r="G291" s="2"/>
      <c r="O291" s="2"/>
      <c r="P291" s="2"/>
      <c r="Q291" s="2"/>
    </row>
    <row r="292" spans="7:17" ht="18" customHeight="1" x14ac:dyDescent="0.3">
      <c r="G292" s="2"/>
      <c r="O292" s="2"/>
      <c r="P292" s="2"/>
      <c r="Q292" s="2"/>
    </row>
    <row r="293" spans="7:17" ht="18" customHeight="1" x14ac:dyDescent="0.3">
      <c r="G293" s="2"/>
      <c r="O293" s="2"/>
      <c r="P293" s="2"/>
      <c r="Q293" s="2"/>
    </row>
    <row r="294" spans="7:17" ht="18" customHeight="1" x14ac:dyDescent="0.3">
      <c r="G294" s="2"/>
      <c r="O294" s="2"/>
      <c r="P294" s="2"/>
      <c r="Q294" s="2"/>
    </row>
    <row r="295" spans="7:17" ht="18" customHeight="1" x14ac:dyDescent="0.3">
      <c r="G295" s="2"/>
      <c r="O295" s="2"/>
      <c r="P295" s="2"/>
      <c r="Q295" s="2"/>
    </row>
    <row r="296" spans="7:17" ht="18" customHeight="1" x14ac:dyDescent="0.3">
      <c r="G296" s="2"/>
      <c r="O296" s="2"/>
      <c r="P296" s="2"/>
      <c r="Q296" s="2"/>
    </row>
    <row r="297" spans="7:17" ht="18" customHeight="1" x14ac:dyDescent="0.3">
      <c r="G297" s="2"/>
      <c r="O297" s="2"/>
      <c r="P297" s="2"/>
      <c r="Q297" s="2"/>
    </row>
    <row r="298" spans="7:17" ht="18" customHeight="1" x14ac:dyDescent="0.3">
      <c r="G298" s="2"/>
      <c r="O298" s="2"/>
      <c r="P298" s="2"/>
      <c r="Q298" s="2"/>
    </row>
    <row r="299" spans="7:17" ht="18" customHeight="1" x14ac:dyDescent="0.3">
      <c r="G299" s="2"/>
      <c r="O299" s="2"/>
      <c r="P299" s="2"/>
      <c r="Q299" s="2"/>
    </row>
    <row r="300" spans="7:17" ht="18" customHeight="1" x14ac:dyDescent="0.3">
      <c r="G300" s="2"/>
      <c r="O300" s="2"/>
      <c r="P300" s="2"/>
      <c r="Q300" s="2"/>
    </row>
    <row r="301" spans="7:17" ht="18" customHeight="1" x14ac:dyDescent="0.3">
      <c r="G301" s="2"/>
      <c r="O301" s="2"/>
      <c r="P301" s="2"/>
      <c r="Q301" s="2"/>
    </row>
    <row r="302" spans="7:17" ht="18" customHeight="1" x14ac:dyDescent="0.3">
      <c r="G302" s="2"/>
      <c r="O302" s="2"/>
      <c r="P302" s="2"/>
      <c r="Q302" s="2"/>
    </row>
    <row r="303" spans="7:17" ht="18" customHeight="1" x14ac:dyDescent="0.3">
      <c r="G303" s="2"/>
      <c r="O303" s="2"/>
      <c r="P303" s="2"/>
      <c r="Q303" s="2"/>
    </row>
    <row r="304" spans="7:17" ht="18" customHeight="1" x14ac:dyDescent="0.3">
      <c r="G304" s="2"/>
      <c r="O304" s="2"/>
      <c r="P304" s="2"/>
      <c r="Q304" s="2"/>
    </row>
    <row r="305" spans="7:17" ht="18" customHeight="1" x14ac:dyDescent="0.3">
      <c r="G305" s="2"/>
      <c r="O305" s="2"/>
      <c r="P305" s="2"/>
      <c r="Q305" s="2"/>
    </row>
    <row r="306" spans="7:17" ht="18" customHeight="1" x14ac:dyDescent="0.3">
      <c r="G306" s="2"/>
      <c r="O306" s="2"/>
      <c r="P306" s="2"/>
      <c r="Q306" s="2"/>
    </row>
    <row r="307" spans="7:17" ht="18" customHeight="1" x14ac:dyDescent="0.3">
      <c r="G307" s="2"/>
      <c r="O307" s="2"/>
      <c r="P307" s="2"/>
      <c r="Q307" s="2"/>
    </row>
    <row r="308" spans="7:17" ht="18" customHeight="1" x14ac:dyDescent="0.3">
      <c r="G308" s="2"/>
      <c r="O308" s="2"/>
      <c r="P308" s="2"/>
      <c r="Q308" s="2"/>
    </row>
    <row r="309" spans="7:17" ht="18" customHeight="1" x14ac:dyDescent="0.3">
      <c r="G309" s="2"/>
      <c r="O309" s="2"/>
      <c r="P309" s="2"/>
      <c r="Q309" s="2"/>
    </row>
    <row r="310" spans="7:17" ht="18" customHeight="1" x14ac:dyDescent="0.3">
      <c r="G310" s="2"/>
      <c r="O310" s="2"/>
      <c r="P310" s="2"/>
      <c r="Q310" s="2"/>
    </row>
    <row r="311" spans="7:17" ht="18" customHeight="1" x14ac:dyDescent="0.3">
      <c r="G311" s="2"/>
      <c r="O311" s="2"/>
      <c r="P311" s="2"/>
      <c r="Q311" s="2"/>
    </row>
    <row r="312" spans="7:17" ht="18" customHeight="1" x14ac:dyDescent="0.3">
      <c r="G312" s="2"/>
      <c r="O312" s="2"/>
      <c r="P312" s="2"/>
      <c r="Q312" s="2"/>
    </row>
    <row r="313" spans="7:17" ht="18" customHeight="1" x14ac:dyDescent="0.3">
      <c r="G313" s="2"/>
      <c r="O313" s="2"/>
      <c r="P313" s="2"/>
      <c r="Q313" s="2"/>
    </row>
    <row r="314" spans="7:17" ht="18" customHeight="1" x14ac:dyDescent="0.3">
      <c r="G314" s="2"/>
      <c r="O314" s="2"/>
      <c r="P314" s="2"/>
      <c r="Q314" s="2"/>
    </row>
    <row r="315" spans="7:17" ht="18" customHeight="1" x14ac:dyDescent="0.3">
      <c r="G315" s="2"/>
      <c r="O315" s="2"/>
      <c r="P315" s="2"/>
      <c r="Q315" s="2"/>
    </row>
    <row r="316" spans="7:17" ht="18" customHeight="1" x14ac:dyDescent="0.3">
      <c r="G316" s="2"/>
      <c r="O316" s="2"/>
      <c r="P316" s="2"/>
      <c r="Q316" s="2"/>
    </row>
    <row r="317" spans="7:17" ht="18" customHeight="1" x14ac:dyDescent="0.3">
      <c r="G317" s="2"/>
      <c r="O317" s="2"/>
      <c r="P317" s="2"/>
      <c r="Q317" s="2"/>
    </row>
    <row r="318" spans="7:17" ht="18" customHeight="1" x14ac:dyDescent="0.3">
      <c r="G318" s="2"/>
      <c r="O318" s="2"/>
      <c r="P318" s="2"/>
      <c r="Q318" s="2"/>
    </row>
    <row r="319" spans="7:17" ht="18" customHeight="1" x14ac:dyDescent="0.3">
      <c r="G319" s="2"/>
      <c r="O319" s="2"/>
      <c r="P319" s="2"/>
      <c r="Q319" s="2"/>
    </row>
    <row r="320" spans="7:17" ht="18" customHeight="1" x14ac:dyDescent="0.3">
      <c r="G320" s="2"/>
      <c r="O320" s="2"/>
      <c r="P320" s="2"/>
      <c r="Q320" s="2"/>
    </row>
    <row r="321" spans="7:17" ht="18" customHeight="1" x14ac:dyDescent="0.3">
      <c r="G321" s="2"/>
      <c r="O321" s="2"/>
      <c r="P321" s="2"/>
      <c r="Q321" s="2"/>
    </row>
    <row r="322" spans="7:17" ht="18" customHeight="1" x14ac:dyDescent="0.3">
      <c r="G322" s="2"/>
      <c r="O322" s="2"/>
      <c r="P322" s="2"/>
      <c r="Q322" s="2"/>
    </row>
    <row r="323" spans="7:17" ht="18" customHeight="1" x14ac:dyDescent="0.3">
      <c r="G323" s="2"/>
      <c r="O323" s="2"/>
      <c r="P323" s="2"/>
      <c r="Q323" s="2"/>
    </row>
    <row r="324" spans="7:17" ht="18" customHeight="1" x14ac:dyDescent="0.3">
      <c r="G324" s="2"/>
      <c r="O324" s="2"/>
      <c r="P324" s="2"/>
      <c r="Q324" s="2"/>
    </row>
    <row r="325" spans="7:17" ht="18" customHeight="1" x14ac:dyDescent="0.3">
      <c r="G325" s="2"/>
      <c r="O325" s="2"/>
      <c r="P325" s="2"/>
      <c r="Q325" s="2"/>
    </row>
    <row r="326" spans="7:17" ht="18" customHeight="1" x14ac:dyDescent="0.3">
      <c r="G326" s="2"/>
      <c r="O326" s="2"/>
      <c r="P326" s="2"/>
      <c r="Q326" s="2"/>
    </row>
    <row r="327" spans="7:17" ht="18" customHeight="1" x14ac:dyDescent="0.3">
      <c r="G327" s="2"/>
      <c r="O327" s="2"/>
      <c r="P327" s="2"/>
      <c r="Q327" s="2"/>
    </row>
    <row r="328" spans="7:17" ht="18" customHeight="1" x14ac:dyDescent="0.3">
      <c r="G328" s="2"/>
      <c r="O328" s="2"/>
      <c r="P328" s="2"/>
      <c r="Q328" s="2"/>
    </row>
    <row r="329" spans="7:17" ht="18" customHeight="1" x14ac:dyDescent="0.3">
      <c r="G329" s="2"/>
      <c r="O329" s="2"/>
      <c r="P329" s="2"/>
      <c r="Q329" s="2"/>
    </row>
    <row r="330" spans="7:17" ht="18" customHeight="1" x14ac:dyDescent="0.3">
      <c r="G330" s="2"/>
      <c r="O330" s="2"/>
      <c r="P330" s="2"/>
      <c r="Q330" s="2"/>
    </row>
    <row r="331" spans="7:17" x14ac:dyDescent="0.3">
      <c r="G331" s="2"/>
      <c r="O331" s="2"/>
      <c r="P331" s="2"/>
      <c r="Q331" s="2"/>
    </row>
    <row r="332" spans="7:17" x14ac:dyDescent="0.3">
      <c r="G332" s="2"/>
      <c r="O332" s="2"/>
      <c r="P332" s="2"/>
      <c r="Q332" s="2"/>
    </row>
    <row r="333" spans="7:17" x14ac:dyDescent="0.3">
      <c r="G333" s="2"/>
      <c r="O333" s="2"/>
      <c r="P333" s="2"/>
      <c r="Q333" s="2"/>
    </row>
    <row r="334" spans="7:17" x14ac:dyDescent="0.3">
      <c r="G334" s="2"/>
      <c r="O334" s="2"/>
      <c r="P334" s="2"/>
      <c r="Q334" s="2"/>
    </row>
    <row r="335" spans="7:17" x14ac:dyDescent="0.3">
      <c r="G335" s="2"/>
      <c r="O335" s="2"/>
      <c r="P335" s="2"/>
      <c r="Q335" s="2"/>
    </row>
    <row r="336" spans="7:17" x14ac:dyDescent="0.3">
      <c r="G336" s="2"/>
      <c r="O336" s="2"/>
      <c r="P336" s="2"/>
      <c r="Q336" s="2"/>
    </row>
    <row r="337" spans="7:17" x14ac:dyDescent="0.3">
      <c r="G337" s="2"/>
      <c r="O337" s="2"/>
      <c r="P337" s="2"/>
      <c r="Q337" s="2"/>
    </row>
    <row r="338" spans="7:17" x14ac:dyDescent="0.3">
      <c r="G338" s="2"/>
      <c r="O338" s="2"/>
      <c r="P338" s="2"/>
      <c r="Q338" s="2"/>
    </row>
    <row r="339" spans="7:17" x14ac:dyDescent="0.3">
      <c r="G339" s="2"/>
      <c r="O339" s="2"/>
      <c r="P339" s="2"/>
      <c r="Q339" s="2"/>
    </row>
    <row r="340" spans="7:17" x14ac:dyDescent="0.3">
      <c r="G340" s="2"/>
      <c r="O340" s="2"/>
      <c r="P340" s="2"/>
      <c r="Q340" s="2"/>
    </row>
    <row r="341" spans="7:17" x14ac:dyDescent="0.3">
      <c r="G341" s="2"/>
      <c r="O341" s="2"/>
      <c r="P341" s="2"/>
      <c r="Q341" s="2"/>
    </row>
    <row r="342" spans="7:17" x14ac:dyDescent="0.3">
      <c r="G342" s="2"/>
      <c r="O342" s="2"/>
      <c r="P342" s="2"/>
      <c r="Q342" s="2"/>
    </row>
    <row r="343" spans="7:17" x14ac:dyDescent="0.3">
      <c r="G343" s="2"/>
      <c r="O343" s="2"/>
      <c r="P343" s="2"/>
      <c r="Q343" s="2"/>
    </row>
    <row r="344" spans="7:17" x14ac:dyDescent="0.3">
      <c r="G344" s="2"/>
      <c r="O344" s="2"/>
      <c r="P344" s="2"/>
      <c r="Q344" s="2"/>
    </row>
    <row r="345" spans="7:17" x14ac:dyDescent="0.3">
      <c r="G345" s="2"/>
      <c r="O345" s="2"/>
      <c r="P345" s="2"/>
      <c r="Q345" s="2"/>
    </row>
    <row r="346" spans="7:17" x14ac:dyDescent="0.3">
      <c r="G346" s="2"/>
      <c r="O346" s="2"/>
      <c r="P346" s="2"/>
      <c r="Q346" s="2"/>
    </row>
    <row r="347" spans="7:17" x14ac:dyDescent="0.3">
      <c r="G347" s="2"/>
      <c r="O347" s="2"/>
      <c r="P347" s="2"/>
      <c r="Q347" s="2"/>
    </row>
    <row r="348" spans="7:17" x14ac:dyDescent="0.3">
      <c r="G348" s="2"/>
      <c r="O348" s="2"/>
      <c r="P348" s="2"/>
      <c r="Q348" s="2"/>
    </row>
    <row r="349" spans="7:17" x14ac:dyDescent="0.3">
      <c r="G349" s="2"/>
      <c r="O349" s="2"/>
      <c r="P349" s="2"/>
      <c r="Q349" s="2"/>
    </row>
    <row r="350" spans="7:17" x14ac:dyDescent="0.3">
      <c r="G350" s="2"/>
      <c r="O350" s="2"/>
      <c r="P350" s="2"/>
      <c r="Q350" s="2"/>
    </row>
    <row r="351" spans="7:17" x14ac:dyDescent="0.3">
      <c r="G351" s="2"/>
      <c r="O351" s="2"/>
      <c r="P351" s="2"/>
      <c r="Q351" s="2"/>
    </row>
    <row r="352" spans="7:17" x14ac:dyDescent="0.3">
      <c r="G352" s="2"/>
      <c r="O352" s="2"/>
      <c r="P352" s="2"/>
      <c r="Q352" s="2"/>
    </row>
    <row r="353" spans="7:17" x14ac:dyDescent="0.3">
      <c r="G353" s="2"/>
      <c r="O353" s="2"/>
      <c r="P353" s="2"/>
      <c r="Q353" s="2"/>
    </row>
    <row r="354" spans="7:17" x14ac:dyDescent="0.3">
      <c r="G354" s="2"/>
      <c r="O354" s="2"/>
      <c r="P354" s="2"/>
      <c r="Q354" s="2"/>
    </row>
    <row r="355" spans="7:17" x14ac:dyDescent="0.3">
      <c r="G355" s="2"/>
      <c r="O355" s="2"/>
      <c r="P355" s="2"/>
      <c r="Q355" s="2"/>
    </row>
    <row r="356" spans="7:17" x14ac:dyDescent="0.3">
      <c r="G356" s="2"/>
      <c r="O356" s="2"/>
      <c r="P356" s="2"/>
      <c r="Q356" s="2"/>
    </row>
    <row r="357" spans="7:17" x14ac:dyDescent="0.3">
      <c r="G357" s="2"/>
      <c r="O357" s="2"/>
      <c r="P357" s="2"/>
      <c r="Q357" s="2"/>
    </row>
    <row r="358" spans="7:17" x14ac:dyDescent="0.3">
      <c r="G358" s="2"/>
      <c r="O358" s="2"/>
      <c r="P358" s="2"/>
      <c r="Q358" s="2"/>
    </row>
    <row r="359" spans="7:17" x14ac:dyDescent="0.3">
      <c r="G359" s="2"/>
      <c r="O359" s="2"/>
      <c r="P359" s="2"/>
      <c r="Q359" s="2"/>
    </row>
    <row r="360" spans="7:17" x14ac:dyDescent="0.3">
      <c r="G360" s="2"/>
      <c r="O360" s="2"/>
      <c r="P360" s="2"/>
      <c r="Q360" s="2"/>
    </row>
    <row r="361" spans="7:17" x14ac:dyDescent="0.3">
      <c r="G361" s="2"/>
      <c r="O361" s="2"/>
      <c r="P361" s="2"/>
      <c r="Q361" s="2"/>
    </row>
    <row r="362" spans="7:17" x14ac:dyDescent="0.3">
      <c r="G362" s="2"/>
      <c r="O362" s="2"/>
      <c r="P362" s="2"/>
      <c r="Q362" s="2"/>
    </row>
    <row r="363" spans="7:17" x14ac:dyDescent="0.3">
      <c r="G363" s="2"/>
      <c r="O363" s="2"/>
      <c r="P363" s="2"/>
      <c r="Q363" s="2"/>
    </row>
    <row r="364" spans="7:17" x14ac:dyDescent="0.3">
      <c r="G364" s="2"/>
      <c r="O364" s="2"/>
      <c r="P364" s="2"/>
      <c r="Q364" s="2"/>
    </row>
    <row r="365" spans="7:17" x14ac:dyDescent="0.3">
      <c r="G365" s="2"/>
      <c r="O365" s="2"/>
      <c r="P365" s="2"/>
      <c r="Q365" s="2"/>
    </row>
    <row r="366" spans="7:17" x14ac:dyDescent="0.3">
      <c r="G366" s="2"/>
      <c r="O366" s="2"/>
      <c r="P366" s="2"/>
      <c r="Q366" s="2"/>
    </row>
    <row r="367" spans="7:17" x14ac:dyDescent="0.3">
      <c r="G367" s="2"/>
      <c r="O367" s="2"/>
      <c r="P367" s="2"/>
      <c r="Q367" s="2"/>
    </row>
    <row r="368" spans="7:17" x14ac:dyDescent="0.3">
      <c r="G368" s="2"/>
      <c r="O368" s="2"/>
      <c r="P368" s="2"/>
      <c r="Q368" s="2"/>
    </row>
    <row r="369" spans="7:17" x14ac:dyDescent="0.3">
      <c r="G369" s="2"/>
      <c r="O369" s="2"/>
      <c r="P369" s="2"/>
      <c r="Q369" s="2"/>
    </row>
    <row r="370" spans="7:17" x14ac:dyDescent="0.3">
      <c r="G370" s="2"/>
      <c r="O370" s="2"/>
      <c r="P370" s="2"/>
      <c r="Q370" s="2"/>
    </row>
    <row r="371" spans="7:17" x14ac:dyDescent="0.3">
      <c r="G371" s="2"/>
      <c r="O371" s="2"/>
      <c r="P371" s="2"/>
      <c r="Q371" s="2"/>
    </row>
    <row r="372" spans="7:17" x14ac:dyDescent="0.3">
      <c r="G372" s="2"/>
      <c r="O372" s="2"/>
      <c r="P372" s="2"/>
      <c r="Q372" s="2"/>
    </row>
    <row r="373" spans="7:17" x14ac:dyDescent="0.3">
      <c r="G373" s="2"/>
      <c r="O373" s="2"/>
      <c r="P373" s="2"/>
      <c r="Q373" s="2"/>
    </row>
    <row r="374" spans="7:17" x14ac:dyDescent="0.3">
      <c r="G374" s="2"/>
      <c r="O374" s="2"/>
      <c r="P374" s="2"/>
      <c r="Q374" s="2"/>
    </row>
    <row r="375" spans="7:17" x14ac:dyDescent="0.3">
      <c r="G375" s="2"/>
      <c r="O375" s="2"/>
      <c r="P375" s="2"/>
      <c r="Q375" s="2"/>
    </row>
    <row r="376" spans="7:17" x14ac:dyDescent="0.3">
      <c r="G376" s="2"/>
      <c r="O376" s="2"/>
      <c r="P376" s="2"/>
      <c r="Q376" s="2"/>
    </row>
    <row r="377" spans="7:17" x14ac:dyDescent="0.3">
      <c r="G377" s="2"/>
      <c r="O377" s="2"/>
      <c r="P377" s="2"/>
      <c r="Q377" s="2"/>
    </row>
    <row r="378" spans="7:17" x14ac:dyDescent="0.3">
      <c r="G378" s="2"/>
      <c r="O378" s="2"/>
      <c r="P378" s="2"/>
      <c r="Q378" s="2"/>
    </row>
    <row r="379" spans="7:17" x14ac:dyDescent="0.3">
      <c r="G379" s="2"/>
      <c r="O379" s="2"/>
      <c r="P379" s="2"/>
      <c r="Q379" s="2"/>
    </row>
    <row r="380" spans="7:17" x14ac:dyDescent="0.3">
      <c r="G380" s="2"/>
      <c r="O380" s="2"/>
      <c r="P380" s="2"/>
      <c r="Q380" s="2"/>
    </row>
    <row r="381" spans="7:17" x14ac:dyDescent="0.3">
      <c r="G381" s="2"/>
      <c r="O381" s="2"/>
      <c r="P381" s="2"/>
      <c r="Q381" s="2"/>
    </row>
    <row r="382" spans="7:17" x14ac:dyDescent="0.3">
      <c r="G382" s="2"/>
      <c r="O382" s="2"/>
      <c r="P382" s="2"/>
      <c r="Q382" s="2"/>
    </row>
    <row r="383" spans="7:17" x14ac:dyDescent="0.3">
      <c r="G383" s="2"/>
      <c r="O383" s="2"/>
      <c r="P383" s="2"/>
      <c r="Q383" s="2"/>
    </row>
    <row r="384" spans="7:17" x14ac:dyDescent="0.3">
      <c r="G384" s="2"/>
      <c r="O384" s="2"/>
      <c r="P384" s="2"/>
      <c r="Q384" s="2"/>
    </row>
    <row r="385" spans="7:17" x14ac:dyDescent="0.3">
      <c r="G385" s="2"/>
      <c r="O385" s="2"/>
      <c r="P385" s="2"/>
      <c r="Q385" s="2"/>
    </row>
    <row r="386" spans="7:17" x14ac:dyDescent="0.3">
      <c r="G386" s="2"/>
      <c r="O386" s="2"/>
      <c r="P386" s="2"/>
      <c r="Q386" s="2"/>
    </row>
    <row r="387" spans="7:17" x14ac:dyDescent="0.3">
      <c r="G387" s="2"/>
      <c r="O387" s="2"/>
      <c r="P387" s="2"/>
      <c r="Q387" s="2"/>
    </row>
    <row r="388" spans="7:17" x14ac:dyDescent="0.3">
      <c r="G388" s="2"/>
      <c r="O388" s="2"/>
      <c r="P388" s="2"/>
      <c r="Q388" s="2"/>
    </row>
    <row r="389" spans="7:17" x14ac:dyDescent="0.3">
      <c r="G389" s="2"/>
      <c r="O389" s="2"/>
      <c r="P389" s="2"/>
      <c r="Q389" s="2"/>
    </row>
    <row r="390" spans="7:17" x14ac:dyDescent="0.3">
      <c r="G390" s="2"/>
      <c r="O390" s="2"/>
      <c r="P390" s="2"/>
      <c r="Q390" s="2"/>
    </row>
    <row r="391" spans="7:17" x14ac:dyDescent="0.3">
      <c r="G391" s="2"/>
      <c r="O391" s="2"/>
      <c r="P391" s="2"/>
      <c r="Q391" s="2"/>
    </row>
    <row r="392" spans="7:17" x14ac:dyDescent="0.3">
      <c r="G392" s="2"/>
      <c r="O392" s="2"/>
      <c r="P392" s="2"/>
      <c r="Q392" s="2"/>
    </row>
    <row r="393" spans="7:17" x14ac:dyDescent="0.3">
      <c r="G393" s="2"/>
      <c r="O393" s="2"/>
      <c r="P393" s="2"/>
      <c r="Q393" s="2"/>
    </row>
    <row r="394" spans="7:17" x14ac:dyDescent="0.3">
      <c r="G394" s="2"/>
      <c r="O394" s="2"/>
      <c r="P394" s="2"/>
      <c r="Q394" s="2"/>
    </row>
    <row r="395" spans="7:17" x14ac:dyDescent="0.3">
      <c r="G395" s="2"/>
      <c r="O395" s="2"/>
      <c r="P395" s="2"/>
      <c r="Q395" s="2"/>
    </row>
    <row r="396" spans="7:17" x14ac:dyDescent="0.3">
      <c r="G396" s="2"/>
      <c r="O396" s="2"/>
      <c r="P396" s="2"/>
      <c r="Q396" s="2"/>
    </row>
    <row r="397" spans="7:17" x14ac:dyDescent="0.3">
      <c r="G397" s="2"/>
      <c r="O397" s="2"/>
      <c r="P397" s="2"/>
      <c r="Q397" s="2"/>
    </row>
    <row r="398" spans="7:17" x14ac:dyDescent="0.3">
      <c r="G398" s="2"/>
      <c r="O398" s="2"/>
      <c r="P398" s="2"/>
      <c r="Q398" s="2"/>
    </row>
    <row r="399" spans="7:17" x14ac:dyDescent="0.3">
      <c r="G399" s="2"/>
      <c r="O399" s="2"/>
      <c r="P399" s="2"/>
      <c r="Q399" s="2"/>
    </row>
    <row r="400" spans="7:17" x14ac:dyDescent="0.3">
      <c r="G400" s="2"/>
      <c r="O400" s="2"/>
      <c r="P400" s="2"/>
      <c r="Q400" s="2"/>
    </row>
    <row r="401" spans="7:17" x14ac:dyDescent="0.3">
      <c r="G401" s="2"/>
      <c r="O401" s="2"/>
      <c r="P401" s="2"/>
      <c r="Q401" s="2"/>
    </row>
    <row r="402" spans="7:17" x14ac:dyDescent="0.3">
      <c r="G402" s="2"/>
      <c r="O402" s="2"/>
      <c r="P402" s="2"/>
      <c r="Q402" s="2"/>
    </row>
    <row r="403" spans="7:17" x14ac:dyDescent="0.3">
      <c r="G403" s="2"/>
      <c r="O403" s="2"/>
      <c r="P403" s="2"/>
      <c r="Q403" s="2"/>
    </row>
    <row r="404" spans="7:17" x14ac:dyDescent="0.3">
      <c r="G404" s="2"/>
      <c r="O404" s="2"/>
      <c r="P404" s="2"/>
      <c r="Q404" s="2"/>
    </row>
    <row r="405" spans="7:17" x14ac:dyDescent="0.3">
      <c r="G405" s="2"/>
      <c r="O405" s="2"/>
      <c r="P405" s="2"/>
      <c r="Q405" s="2"/>
    </row>
    <row r="406" spans="7:17" x14ac:dyDescent="0.3">
      <c r="G406" s="2"/>
      <c r="O406" s="2"/>
      <c r="P406" s="2"/>
      <c r="Q406" s="2"/>
    </row>
    <row r="407" spans="7:17" x14ac:dyDescent="0.3">
      <c r="G407" s="2"/>
      <c r="O407" s="2"/>
      <c r="P407" s="2"/>
      <c r="Q407" s="2"/>
    </row>
    <row r="408" spans="7:17" x14ac:dyDescent="0.3">
      <c r="G408" s="2"/>
      <c r="O408" s="2"/>
      <c r="P408" s="2"/>
      <c r="Q408" s="2"/>
    </row>
    <row r="409" spans="7:17" x14ac:dyDescent="0.3">
      <c r="G409" s="2"/>
      <c r="O409" s="2"/>
      <c r="P409" s="2"/>
      <c r="Q409" s="2"/>
    </row>
    <row r="410" spans="7:17" x14ac:dyDescent="0.3">
      <c r="G410" s="2"/>
      <c r="O410" s="2"/>
      <c r="P410" s="2"/>
      <c r="Q410" s="2"/>
    </row>
    <row r="411" spans="7:17" x14ac:dyDescent="0.3">
      <c r="G411" s="2"/>
      <c r="O411" s="2"/>
      <c r="P411" s="2"/>
      <c r="Q411" s="2"/>
    </row>
    <row r="412" spans="7:17" x14ac:dyDescent="0.3">
      <c r="G412" s="2"/>
      <c r="O412" s="2"/>
      <c r="P412" s="2"/>
      <c r="Q412" s="2"/>
    </row>
    <row r="413" spans="7:17" x14ac:dyDescent="0.3">
      <c r="G413" s="2"/>
      <c r="O413" s="2"/>
      <c r="P413" s="2"/>
      <c r="Q413" s="2"/>
    </row>
    <row r="414" spans="7:17" x14ac:dyDescent="0.3">
      <c r="G414" s="2"/>
      <c r="O414" s="2"/>
      <c r="P414" s="2"/>
      <c r="Q414" s="2"/>
    </row>
    <row r="415" spans="7:17" x14ac:dyDescent="0.3">
      <c r="G415" s="2"/>
      <c r="O415" s="2"/>
      <c r="P415" s="2"/>
      <c r="Q415" s="2"/>
    </row>
    <row r="416" spans="7:17" x14ac:dyDescent="0.3">
      <c r="G416" s="2"/>
      <c r="O416" s="2"/>
      <c r="P416" s="2"/>
      <c r="Q416" s="2"/>
    </row>
    <row r="417" spans="7:17" x14ac:dyDescent="0.3">
      <c r="G417" s="2"/>
      <c r="O417" s="2"/>
      <c r="P417" s="2"/>
      <c r="Q417" s="2"/>
    </row>
    <row r="418" spans="7:17" x14ac:dyDescent="0.3">
      <c r="G418" s="2"/>
      <c r="O418" s="2"/>
      <c r="P418" s="2"/>
      <c r="Q418" s="2"/>
    </row>
    <row r="419" spans="7:17" x14ac:dyDescent="0.3">
      <c r="G419" s="2"/>
      <c r="O419" s="2"/>
      <c r="P419" s="2"/>
      <c r="Q419" s="2"/>
    </row>
    <row r="420" spans="7:17" x14ac:dyDescent="0.3">
      <c r="G420" s="2"/>
      <c r="O420" s="2"/>
      <c r="P420" s="2"/>
      <c r="Q420" s="2"/>
    </row>
    <row r="421" spans="7:17" x14ac:dyDescent="0.3">
      <c r="G421" s="2"/>
      <c r="O421" s="2"/>
      <c r="P421" s="2"/>
      <c r="Q421" s="2"/>
    </row>
    <row r="422" spans="7:17" x14ac:dyDescent="0.3">
      <c r="G422" s="2"/>
      <c r="O422" s="2"/>
      <c r="P422" s="2"/>
      <c r="Q422" s="2"/>
    </row>
    <row r="423" spans="7:17" x14ac:dyDescent="0.3">
      <c r="G423" s="2"/>
      <c r="O423" s="2"/>
      <c r="P423" s="2"/>
      <c r="Q423" s="2"/>
    </row>
    <row r="424" spans="7:17" x14ac:dyDescent="0.3">
      <c r="G424" s="2"/>
      <c r="O424" s="2"/>
      <c r="P424" s="2"/>
      <c r="Q424" s="2"/>
    </row>
    <row r="425" spans="7:17" x14ac:dyDescent="0.3">
      <c r="G425" s="2"/>
      <c r="O425" s="2"/>
      <c r="P425" s="2"/>
      <c r="Q425" s="2"/>
    </row>
    <row r="426" spans="7:17" x14ac:dyDescent="0.3">
      <c r="G426" s="2"/>
      <c r="O426" s="2"/>
      <c r="P426" s="2"/>
      <c r="Q426" s="2"/>
    </row>
    <row r="427" spans="7:17" x14ac:dyDescent="0.3">
      <c r="G427" s="2"/>
      <c r="O427" s="2"/>
      <c r="P427" s="2"/>
      <c r="Q427" s="2"/>
    </row>
    <row r="428" spans="7:17" x14ac:dyDescent="0.3">
      <c r="G428" s="2"/>
      <c r="O428" s="2"/>
      <c r="P428" s="2"/>
      <c r="Q428" s="2"/>
    </row>
    <row r="429" spans="7:17" x14ac:dyDescent="0.3">
      <c r="G429" s="2"/>
      <c r="O429" s="2"/>
      <c r="P429" s="2"/>
      <c r="Q429" s="2"/>
    </row>
    <row r="430" spans="7:17" x14ac:dyDescent="0.3">
      <c r="G430" s="2"/>
      <c r="O430" s="2"/>
      <c r="P430" s="2"/>
      <c r="Q430" s="2"/>
    </row>
    <row r="431" spans="7:17" x14ac:dyDescent="0.3">
      <c r="G431" s="2"/>
      <c r="O431" s="2"/>
      <c r="P431" s="2"/>
      <c r="Q431" s="2"/>
    </row>
    <row r="432" spans="7:17" x14ac:dyDescent="0.3">
      <c r="G432" s="2"/>
      <c r="O432" s="2"/>
      <c r="P432" s="2"/>
      <c r="Q432" s="2"/>
    </row>
    <row r="433" spans="7:17" x14ac:dyDescent="0.3">
      <c r="G433" s="2"/>
      <c r="O433" s="2"/>
      <c r="P433" s="2"/>
      <c r="Q433" s="2"/>
    </row>
    <row r="434" spans="7:17" x14ac:dyDescent="0.3">
      <c r="G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</mergeCells>
  <phoneticPr fontId="3" type="noConversion"/>
  <conditionalFormatting sqref="B11:H11 B14:H14 B17:H17 B20:H20 B23:H23 B26:H26">
    <cfRule type="expression" dxfId="65" priority="6">
      <formula>MONTH(B11)&lt;&gt;$A$2</formula>
    </cfRule>
  </conditionalFormatting>
  <conditionalFormatting sqref="B11:H28">
    <cfRule type="expression" dxfId="64" priority="5">
      <formula>B11="무지출"</formula>
    </cfRule>
  </conditionalFormatting>
  <conditionalFormatting sqref="U58:U78 U81:U84 U106:U165">
    <cfRule type="expression" dxfId="23" priority="4">
      <formula>$U58&lt;0</formula>
    </cfRule>
  </conditionalFormatting>
  <conditionalFormatting sqref="U86:U104">
    <cfRule type="expression" dxfId="22" priority="3">
      <formula>$U86&lt;0</formula>
    </cfRule>
  </conditionalFormatting>
  <conditionalFormatting sqref="U85">
    <cfRule type="expression" dxfId="21" priority="2">
      <formula>$U85&lt;0</formula>
    </cfRule>
  </conditionalFormatting>
  <conditionalFormatting sqref="U105">
    <cfRule type="expression" dxfId="20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4"/>
    <pageSetUpPr autoPageBreaks="0" fitToPage="1"/>
  </sheetPr>
  <dimension ref="A1:Y434"/>
  <sheetViews>
    <sheetView showGridLines="0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21" ht="16.5" customHeight="1" x14ac:dyDescent="0.3">
      <c r="A1" s="407">
        <f>메인!$R$3</f>
        <v>2025</v>
      </c>
      <c r="B1" s="541" t="s">
        <v>125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1" ht="16.5" customHeight="1" x14ac:dyDescent="0.3">
      <c r="A2" s="408">
        <f>메인!$L$11</f>
        <v>8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1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1" ht="19.899999999999999" customHeight="1" x14ac:dyDescent="0.3">
      <c r="B5" s="56" t="s">
        <v>64</v>
      </c>
      <c r="C5" s="59">
        <f>SUM($C$32+$C$56)</f>
        <v>15000</v>
      </c>
      <c r="F5" s="363"/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S5" s="38"/>
      <c r="T5" s="38"/>
    </row>
    <row r="6" spans="1:21" ht="19.899999999999999" customHeight="1" x14ac:dyDescent="0.3">
      <c r="B6" s="56" t="s">
        <v>65</v>
      </c>
      <c r="C6" s="75">
        <f>SUM($K$32+$L$56)</f>
        <v>2625100</v>
      </c>
      <c r="F6" s="363"/>
      <c r="G6" s="363"/>
      <c r="H6" s="97"/>
      <c r="J6" s="441"/>
      <c r="K6" s="394"/>
      <c r="L6" s="394"/>
      <c r="M6" s="394"/>
      <c r="N6" s="394"/>
      <c r="O6" s="394"/>
      <c r="P6" s="394"/>
      <c r="Q6" s="394"/>
      <c r="R6" s="443"/>
      <c r="S6" s="394"/>
      <c r="T6" s="394"/>
    </row>
    <row r="7" spans="1:21" ht="19.899999999999999" customHeight="1" x14ac:dyDescent="0.3">
      <c r="B7" s="62" t="s">
        <v>43</v>
      </c>
      <c r="C7" s="57">
        <f>$C$5-$C$6</f>
        <v>-2610100</v>
      </c>
      <c r="D7" s="87"/>
      <c r="J7" s="442"/>
      <c r="K7" s="395"/>
      <c r="L7" s="395"/>
      <c r="M7" s="395"/>
      <c r="N7" s="395"/>
      <c r="O7" s="395"/>
      <c r="P7" s="395"/>
      <c r="Q7" s="395"/>
      <c r="R7" s="444"/>
      <c r="S7" s="395"/>
      <c r="T7" s="395"/>
    </row>
    <row r="8" spans="1:21" ht="19.899999999999999" customHeight="1" x14ac:dyDescent="0.3">
      <c r="E8" s="3"/>
      <c r="F8" s="3"/>
      <c r="G8" s="412" t="s">
        <v>257</v>
      </c>
      <c r="H8" s="413">
        <f ca="1">COUNTIF(B10:H28,"무지출")</f>
        <v>31</v>
      </c>
    </row>
    <row r="9" spans="1:21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</row>
    <row r="10" spans="1:21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</row>
    <row r="11" spans="1:21" ht="19.899999999999999" customHeight="1" x14ac:dyDescent="0.3">
      <c r="B11" s="404">
        <f>DATE($A$1,$A$2,1)-WEEKDAY(DATE($A$1,$A$2,1))+1</f>
        <v>45865</v>
      </c>
      <c r="C11" s="405">
        <f>B11+1</f>
        <v>45866</v>
      </c>
      <c r="D11" s="405">
        <f t="shared" ref="D11:H11" si="0">C11+1</f>
        <v>45867</v>
      </c>
      <c r="E11" s="405">
        <f t="shared" si="0"/>
        <v>45868</v>
      </c>
      <c r="F11" s="405">
        <f t="shared" si="0"/>
        <v>45869</v>
      </c>
      <c r="G11" s="405">
        <f t="shared" si="0"/>
        <v>45870</v>
      </c>
      <c r="H11" s="406">
        <f t="shared" si="0"/>
        <v>45871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VLOOKUP(J11,예산!$B$41:$N$53,9,FALSE)</f>
        <v>0</v>
      </c>
      <c r="M11" s="428">
        <f t="shared" ref="M11:M23" si="1">L11-K11</f>
        <v>0</v>
      </c>
      <c r="N11" s="437">
        <f>VLOOKUP(J11,'7월'!$J$10:$K$23,2,FALSE)</f>
        <v>0</v>
      </c>
      <c r="O11" s="439">
        <f t="shared" ref="O11:O23" si="2">K11-N11</f>
        <v>0</v>
      </c>
      <c r="P11" s="3"/>
    </row>
    <row r="12" spans="1:21" ht="19.899999999999999" customHeight="1" x14ac:dyDescent="0.3">
      <c r="B12" s="532" t="str">
        <f t="shared" ref="B12:C12" ca="1" si="3">IF(MONTH(B11)&lt;&gt;$A$2,"",IF(AND(SUMIF($J$81:$J$175,B11,$R$81:$R$175)=0,B11&lt;TODAY()),"무지출",SUMIF($J$81:$J$175,B11,$R$81:$R$175)))</f>
        <v/>
      </c>
      <c r="C12" s="533" t="str">
        <f t="shared" ca="1" si="3"/>
        <v/>
      </c>
      <c r="D12" s="533" t="str">
        <f ca="1">IF(MONTH(D11)&lt;&gt;$A$2,"",IF(AND(SUMIF($J$81:$J$175,D11,$R$81:$R$175)=0,D11&lt;TODAY()),"무지출",SUMIF($J$81:$J$175,D11,$R$81:$R$175)))</f>
        <v/>
      </c>
      <c r="E12" s="533" t="str">
        <f t="shared" ref="E12:H12" ca="1" si="4">IF(MONTH(E11)&lt;&gt;$A$2,"",IF(AND(SUMIF($J$81:$J$175,E11,$R$81:$R$175)=0,E11&lt;TODAY()),"무지출",SUMIF($J$81:$J$175,E11,$R$81:$R$175)))</f>
        <v/>
      </c>
      <c r="F12" s="533" t="str">
        <f t="shared" ca="1" si="4"/>
        <v/>
      </c>
      <c r="G12" s="533" t="str">
        <f t="shared" ca="1" si="4"/>
        <v>무지출</v>
      </c>
      <c r="H12" s="534" t="str">
        <f t="shared" ca="1" si="4"/>
        <v>무지출</v>
      </c>
      <c r="J12" s="369" t="str">
        <f>항목!F$3</f>
        <v>주거비</v>
      </c>
      <c r="K12" s="426">
        <f t="shared" ref="K12:K23" si="5">SUMIF($N$58:$N$165,J12,$T$58:$T$165)</f>
        <v>212000</v>
      </c>
      <c r="L12" s="426">
        <f>VLOOKUP(J12,예산!$B$41:$N$53,9,FALSE)</f>
        <v>0</v>
      </c>
      <c r="M12" s="428">
        <f t="shared" si="1"/>
        <v>-212000</v>
      </c>
      <c r="N12" s="437">
        <f>VLOOKUP(J12,'7월'!$J$10:$K$23,2,FALSE)</f>
        <v>212000</v>
      </c>
      <c r="O12" s="439">
        <f t="shared" si="2"/>
        <v>0</v>
      </c>
      <c r="P12" s="3"/>
    </row>
    <row r="13" spans="1:21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5"/>
        <v>0</v>
      </c>
      <c r="L13" s="426">
        <f>VLOOKUP(J13,예산!$B$41:$N$53,9,FALSE)</f>
        <v>0</v>
      </c>
      <c r="M13" s="428">
        <f t="shared" si="1"/>
        <v>0</v>
      </c>
      <c r="N13" s="437">
        <f>VLOOKUP(J13,'7월'!$J$10:$K$23,2,FALSE)</f>
        <v>0</v>
      </c>
      <c r="O13" s="439">
        <f t="shared" si="2"/>
        <v>0</v>
      </c>
      <c r="P13" s="3"/>
    </row>
    <row r="14" spans="1:21" ht="19.899999999999999" customHeight="1" x14ac:dyDescent="0.3">
      <c r="B14" s="404">
        <f>B11+7</f>
        <v>45872</v>
      </c>
      <c r="C14" s="405">
        <f t="shared" ref="C14:H14" si="6">C11+7</f>
        <v>45873</v>
      </c>
      <c r="D14" s="405">
        <f t="shared" si="6"/>
        <v>45874</v>
      </c>
      <c r="E14" s="405">
        <f t="shared" si="6"/>
        <v>45875</v>
      </c>
      <c r="F14" s="405">
        <f t="shared" si="6"/>
        <v>45876</v>
      </c>
      <c r="G14" s="405">
        <f t="shared" si="6"/>
        <v>45877</v>
      </c>
      <c r="H14" s="406">
        <f t="shared" si="6"/>
        <v>45878</v>
      </c>
      <c r="J14" s="369" t="str">
        <f>항목!H$3</f>
        <v>반려동물비</v>
      </c>
      <c r="K14" s="426">
        <f t="shared" si="5"/>
        <v>0</v>
      </c>
      <c r="L14" s="426">
        <f>VLOOKUP(J14,예산!$B$41:$N$53,9,FALSE)</f>
        <v>0</v>
      </c>
      <c r="M14" s="428">
        <f t="shared" si="1"/>
        <v>0</v>
      </c>
      <c r="N14" s="437">
        <f>VLOOKUP(J14,'7월'!$J$10:$K$23,2,FALSE)</f>
        <v>0</v>
      </c>
      <c r="O14" s="439">
        <f t="shared" si="2"/>
        <v>0</v>
      </c>
      <c r="P14" s="3"/>
    </row>
    <row r="15" spans="1:21" ht="19.899999999999999" customHeight="1" x14ac:dyDescent="0.3">
      <c r="B15" s="532" t="str">
        <f ca="1">IF(MONTH(B14)&lt;&gt;$A$2,"",IF(AND(SUMIF($J$81:$J$186,B14,$R$81:$R$186)=0,B14&lt;TODAY()),"무지출",SUMIF($J$81:$J$186,B14,$R$81:$R$186)))</f>
        <v>무지출</v>
      </c>
      <c r="C15" s="533" t="str">
        <f t="shared" ref="C15:H15" ca="1" si="7">IF(MONTH(C14)&lt;&gt;$A$2,"",IF(AND(SUMIF($J$81:$J$186,C14,$R$81:$R$186)=0,C14&lt;TODAY()),"무지출",SUMIF($J$81:$J$186,C14,$R$81:$R$186)))</f>
        <v>무지출</v>
      </c>
      <c r="D15" s="533" t="str">
        <f t="shared" ca="1" si="7"/>
        <v>무지출</v>
      </c>
      <c r="E15" s="533" t="str">
        <f t="shared" ca="1" si="7"/>
        <v>무지출</v>
      </c>
      <c r="F15" s="533" t="str">
        <f t="shared" ca="1" si="7"/>
        <v>무지출</v>
      </c>
      <c r="G15" s="533" t="str">
        <f t="shared" ca="1" si="7"/>
        <v>무지출</v>
      </c>
      <c r="H15" s="534" t="str">
        <f t="shared" ca="1" si="7"/>
        <v>무지출</v>
      </c>
      <c r="J15" s="369" t="str">
        <f>항목!I$3</f>
        <v>의류미용비</v>
      </c>
      <c r="K15" s="426">
        <f t="shared" si="5"/>
        <v>0</v>
      </c>
      <c r="L15" s="426">
        <f>VLOOKUP(J15,예산!$B$41:$N$53,9,FALSE)</f>
        <v>0</v>
      </c>
      <c r="M15" s="428">
        <f t="shared" si="1"/>
        <v>0</v>
      </c>
      <c r="N15" s="437">
        <f>VLOOKUP(J15,'7월'!$J$10:$K$23,2,FALSE)</f>
        <v>0</v>
      </c>
      <c r="O15" s="439">
        <f t="shared" si="2"/>
        <v>0</v>
      </c>
      <c r="P15" s="3"/>
    </row>
    <row r="16" spans="1:21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5"/>
        <v>0</v>
      </c>
      <c r="L16" s="426">
        <f>VLOOKUP(J16,예산!$B$41:$N$53,9,FALSE)</f>
        <v>0</v>
      </c>
      <c r="M16" s="428">
        <f t="shared" si="1"/>
        <v>0</v>
      </c>
      <c r="N16" s="437">
        <f>VLOOKUP(J16,'7월'!$J$10:$K$23,2,FALSE)</f>
        <v>0</v>
      </c>
      <c r="O16" s="439">
        <f t="shared" si="2"/>
        <v>0</v>
      </c>
      <c r="P16" s="3"/>
    </row>
    <row r="17" spans="2:23" ht="19.899999999999999" customHeight="1" x14ac:dyDescent="0.3">
      <c r="B17" s="404">
        <f>B11+14</f>
        <v>45879</v>
      </c>
      <c r="C17" s="405">
        <f t="shared" ref="C17:H17" si="8">C11+14</f>
        <v>45880</v>
      </c>
      <c r="D17" s="405">
        <f t="shared" si="8"/>
        <v>45881</v>
      </c>
      <c r="E17" s="405">
        <f t="shared" si="8"/>
        <v>45882</v>
      </c>
      <c r="F17" s="405">
        <f t="shared" si="8"/>
        <v>45883</v>
      </c>
      <c r="G17" s="405">
        <f t="shared" si="8"/>
        <v>45884</v>
      </c>
      <c r="H17" s="406">
        <f t="shared" si="8"/>
        <v>45885</v>
      </c>
      <c r="J17" s="369" t="str">
        <f>항목!K$3</f>
        <v>문화생활비</v>
      </c>
      <c r="K17" s="426">
        <f t="shared" si="5"/>
        <v>63100</v>
      </c>
      <c r="L17" s="426">
        <f>VLOOKUP(J17,예산!$B$41:$N$53,9,FALSE)</f>
        <v>0</v>
      </c>
      <c r="M17" s="428">
        <f t="shared" si="1"/>
        <v>-63100</v>
      </c>
      <c r="N17" s="437">
        <f>VLOOKUP(J17,'7월'!$J$10:$K$23,2,FALSE)</f>
        <v>63100</v>
      </c>
      <c r="O17" s="439">
        <f t="shared" si="2"/>
        <v>0</v>
      </c>
      <c r="P17" s="3"/>
    </row>
    <row r="18" spans="2:23" ht="19.899999999999999" customHeight="1" x14ac:dyDescent="0.3">
      <c r="B18" s="532" t="str">
        <f ca="1">IF(MONTH(B17)&lt;&gt;$A$2,"",IF(AND(SUMIF($J$81:$J$186,B17,$R$81:$R$186)=0,B17&lt;TODAY()),"무지출",SUMIF($J$81:$J$186,B17,$R$81:$R$186)))</f>
        <v>무지출</v>
      </c>
      <c r="C18" s="533" t="str">
        <f t="shared" ref="C18:H18" ca="1" si="9">IF(MONTH(C17)&lt;&gt;$A$2,"",IF(AND(SUMIF($J$81:$J$186,C17,$R$81:$R$186)=0,C17&lt;TODAY()),"무지출",SUMIF($J$81:$J$186,C17,$R$81:$R$186)))</f>
        <v>무지출</v>
      </c>
      <c r="D18" s="533" t="str">
        <f t="shared" ca="1" si="9"/>
        <v>무지출</v>
      </c>
      <c r="E18" s="533" t="str">
        <f t="shared" ca="1" si="9"/>
        <v>무지출</v>
      </c>
      <c r="F18" s="533" t="str">
        <f t="shared" ca="1" si="9"/>
        <v>무지출</v>
      </c>
      <c r="G18" s="533" t="str">
        <f t="shared" ca="1" si="9"/>
        <v>무지출</v>
      </c>
      <c r="H18" s="534" t="str">
        <f t="shared" ca="1" si="9"/>
        <v>무지출</v>
      </c>
      <c r="J18" s="369" t="str">
        <f>항목!L$3</f>
        <v>의료비</v>
      </c>
      <c r="K18" s="426">
        <f t="shared" si="5"/>
        <v>0</v>
      </c>
      <c r="L18" s="426">
        <f>VLOOKUP(J18,예산!$B$41:$N$53,9,FALSE)</f>
        <v>0</v>
      </c>
      <c r="M18" s="428">
        <f t="shared" si="1"/>
        <v>0</v>
      </c>
      <c r="N18" s="437">
        <f>VLOOKUP(J18,'7월'!$J$10:$K$23,2,FALSE)</f>
        <v>0</v>
      </c>
      <c r="O18" s="439">
        <f t="shared" si="2"/>
        <v>0</v>
      </c>
      <c r="P18" s="3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5"/>
        <v>0</v>
      </c>
      <c r="L19" s="426">
        <f>VLOOKUP(J19,예산!$B$41:$N$53,9,FALSE)</f>
        <v>0</v>
      </c>
      <c r="M19" s="428">
        <f t="shared" si="1"/>
        <v>0</v>
      </c>
      <c r="N19" s="437">
        <f>VLOOKUP(J19,'7월'!$J$10:$K$23,2,FALSE)</f>
        <v>0</v>
      </c>
      <c r="O19" s="439">
        <f t="shared" si="2"/>
        <v>0</v>
      </c>
      <c r="P19" s="3"/>
    </row>
    <row r="20" spans="2:23" ht="19.899999999999999" customHeight="1" x14ac:dyDescent="0.3">
      <c r="B20" s="404">
        <f>B11+21</f>
        <v>45886</v>
      </c>
      <c r="C20" s="405">
        <f t="shared" ref="C20:H20" si="10">C11+21</f>
        <v>45887</v>
      </c>
      <c r="D20" s="405">
        <f t="shared" si="10"/>
        <v>45888</v>
      </c>
      <c r="E20" s="405">
        <f t="shared" si="10"/>
        <v>45889</v>
      </c>
      <c r="F20" s="405">
        <f t="shared" si="10"/>
        <v>45890</v>
      </c>
      <c r="G20" s="405">
        <f t="shared" si="10"/>
        <v>45891</v>
      </c>
      <c r="H20" s="406">
        <f t="shared" si="10"/>
        <v>45892</v>
      </c>
      <c r="J20" s="369" t="str">
        <f>항목!N$3</f>
        <v>통신비</v>
      </c>
      <c r="K20" s="426">
        <f t="shared" si="5"/>
        <v>0</v>
      </c>
      <c r="L20" s="426">
        <f>VLOOKUP(J20,예산!$B$41:$N$53,9,FALSE)</f>
        <v>0</v>
      </c>
      <c r="M20" s="428">
        <f t="shared" si="1"/>
        <v>0</v>
      </c>
      <c r="N20" s="437">
        <f>VLOOKUP(J20,'7월'!$J$10:$K$23,2,FALSE)</f>
        <v>0</v>
      </c>
      <c r="O20" s="439">
        <f t="shared" si="2"/>
        <v>0</v>
      </c>
      <c r="P20" s="3"/>
    </row>
    <row r="21" spans="2:23" ht="19.899999999999999" customHeight="1" x14ac:dyDescent="0.3">
      <c r="B21" s="532" t="str">
        <f ca="1">IF(MONTH(B20)&lt;&gt;$A$2,"",IF(AND(SUMIF($J$81:$J$186,B20,$R$81:$R$186)=0,B20&lt;TODAY()),"무지출",SUMIF($J$81:$J$186,B20,$R$81:$R$186)))</f>
        <v>무지출</v>
      </c>
      <c r="C21" s="533" t="str">
        <f t="shared" ref="C21:H21" ca="1" si="11">IF(MONTH(C20)&lt;&gt;$A$2,"",IF(AND(SUMIF($J$81:$J$186,C20,$R$81:$R$186)=0,C20&lt;TODAY()),"무지출",SUMIF($J$81:$J$186,C20,$R$81:$R$186)))</f>
        <v>무지출</v>
      </c>
      <c r="D21" s="533" t="str">
        <f t="shared" ca="1" si="11"/>
        <v>무지출</v>
      </c>
      <c r="E21" s="533" t="str">
        <f t="shared" ca="1" si="11"/>
        <v>무지출</v>
      </c>
      <c r="F21" s="533" t="str">
        <f t="shared" ca="1" si="11"/>
        <v>무지출</v>
      </c>
      <c r="G21" s="533" t="str">
        <f t="shared" ca="1" si="11"/>
        <v>무지출</v>
      </c>
      <c r="H21" s="534" t="str">
        <f t="shared" ca="1" si="11"/>
        <v>무지출</v>
      </c>
      <c r="J21" s="369" t="str">
        <f>항목!O$3</f>
        <v>경조사회비</v>
      </c>
      <c r="K21" s="426">
        <f t="shared" si="5"/>
        <v>0</v>
      </c>
      <c r="L21" s="426">
        <f>VLOOKUP(J21,예산!$B$41:$N$53,9,FALSE)</f>
        <v>0</v>
      </c>
      <c r="M21" s="428">
        <f t="shared" si="1"/>
        <v>0</v>
      </c>
      <c r="N21" s="437">
        <f>VLOOKUP(J21,'7월'!$J$10:$K$23,2,FALSE)</f>
        <v>0</v>
      </c>
      <c r="O21" s="439">
        <f t="shared" si="2"/>
        <v>0</v>
      </c>
      <c r="P21" s="3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5"/>
        <v>0</v>
      </c>
      <c r="L22" s="426">
        <f>VLOOKUP(J22,예산!$B$41:$N$53,9,FALSE)</f>
        <v>0</v>
      </c>
      <c r="M22" s="428">
        <f t="shared" si="1"/>
        <v>0</v>
      </c>
      <c r="N22" s="437">
        <f>VLOOKUP(J22,'7월'!$J$10:$K$23,2,FALSE)</f>
        <v>0</v>
      </c>
      <c r="O22" s="439">
        <f t="shared" si="2"/>
        <v>0</v>
      </c>
      <c r="P22" s="3"/>
    </row>
    <row r="23" spans="2:23" ht="19.899999999999999" customHeight="1" x14ac:dyDescent="0.3">
      <c r="B23" s="404">
        <f>B11+28</f>
        <v>45893</v>
      </c>
      <c r="C23" s="405">
        <f t="shared" ref="C23:H23" si="12">C11+28</f>
        <v>45894</v>
      </c>
      <c r="D23" s="405">
        <f t="shared" si="12"/>
        <v>45895</v>
      </c>
      <c r="E23" s="405">
        <f t="shared" si="12"/>
        <v>45896</v>
      </c>
      <c r="F23" s="405">
        <f t="shared" si="12"/>
        <v>45897</v>
      </c>
      <c r="G23" s="405">
        <f t="shared" si="12"/>
        <v>45898</v>
      </c>
      <c r="H23" s="406">
        <f t="shared" si="12"/>
        <v>45899</v>
      </c>
      <c r="J23" s="332" t="str">
        <f>항목!Q$3</f>
        <v>추가항목</v>
      </c>
      <c r="K23" s="426">
        <f t="shared" si="5"/>
        <v>0</v>
      </c>
      <c r="L23" s="427">
        <f>VLOOKUP(J23,예산!$B$41:$N$53,9,FALSE)</f>
        <v>0</v>
      </c>
      <c r="M23" s="429">
        <f t="shared" si="1"/>
        <v>0</v>
      </c>
      <c r="N23" s="438">
        <f>VLOOKUP(J23,'7월'!$J$10:$K$23,2,FALSE)</f>
        <v>0</v>
      </c>
      <c r="O23" s="440">
        <f t="shared" si="2"/>
        <v>0</v>
      </c>
      <c r="P23" s="3"/>
    </row>
    <row r="24" spans="2:23" ht="19.899999999999999" customHeight="1" x14ac:dyDescent="0.3">
      <c r="B24" s="532" t="str">
        <f ca="1">IF(MONTH(B23)&lt;&gt;$A$2,"",IF(AND(SUMIF($J$81:$J$186,B23,$R$81:$R$186)=0,B23&lt;TODAY()),"무지출",SUMIF($J$81:$J$186,B23,$R$81:$R$186)))</f>
        <v>무지출</v>
      </c>
      <c r="C24" s="533" t="str">
        <f t="shared" ref="C24:H24" ca="1" si="13">IF(MONTH(C23)&lt;&gt;$A$2,"",IF(AND(SUMIF($J$81:$J$186,C23,$R$81:$R$186)=0,C23&lt;TODAY()),"무지출",SUMIF($J$81:$J$186,C23,$R$81:$R$186)))</f>
        <v>무지출</v>
      </c>
      <c r="D24" s="533" t="str">
        <f t="shared" ca="1" si="13"/>
        <v>무지출</v>
      </c>
      <c r="E24" s="533" t="str">
        <f t="shared" ca="1" si="13"/>
        <v>무지출</v>
      </c>
      <c r="F24" s="533" t="str">
        <f t="shared" ca="1" si="13"/>
        <v>무지출</v>
      </c>
      <c r="G24" s="533" t="str">
        <f t="shared" ca="1" si="13"/>
        <v>무지출</v>
      </c>
      <c r="H24" s="534" t="str">
        <f t="shared" ca="1" si="13"/>
        <v>무지출</v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</row>
    <row r="26" spans="2:23" ht="19.899999999999999" customHeight="1" x14ac:dyDescent="0.3">
      <c r="B26" s="404">
        <f>B11+35</f>
        <v>45900</v>
      </c>
      <c r="C26" s="405">
        <f t="shared" ref="C26:H26" si="14">C11+35</f>
        <v>45901</v>
      </c>
      <c r="D26" s="405">
        <f t="shared" si="14"/>
        <v>45902</v>
      </c>
      <c r="E26" s="405">
        <f t="shared" si="14"/>
        <v>45903</v>
      </c>
      <c r="F26" s="405">
        <f t="shared" si="14"/>
        <v>45904</v>
      </c>
      <c r="G26" s="405">
        <f t="shared" si="14"/>
        <v>45905</v>
      </c>
      <c r="H26" s="406">
        <f t="shared" si="14"/>
        <v>45906</v>
      </c>
      <c r="J26" s="446"/>
      <c r="K26" s="368"/>
      <c r="L26" s="368"/>
      <c r="M26" s="368"/>
      <c r="N26" s="368"/>
      <c r="O26" s="368"/>
    </row>
    <row r="27" spans="2:23" ht="19.899999999999999" customHeight="1" x14ac:dyDescent="0.3">
      <c r="B27" s="532" t="str">
        <f ca="1">IF(MONTH(B26)&lt;&gt;$A$2,"",IF(AND(SUMIF($J$81:$J$186,B26,$R$81:$R$186)=0,B26&lt;TODAY()),"무지출",SUMIF($J$81:$J$186,B26,$R$81:$R$186)))</f>
        <v>무지출</v>
      </c>
      <c r="C27" s="533" t="str">
        <f t="shared" ref="C27:H27" ca="1" si="15">IF(MONTH(C26)&lt;&gt;$A$2,"",IF(AND(SUMIF($J$81:$J$186,C26,$R$81:$R$186)=0,C26&lt;TODAY()),"무지출",SUMIF($J$81:$J$186,C26,$R$81:$R$186)))</f>
        <v/>
      </c>
      <c r="D27" s="533" t="str">
        <f t="shared" ca="1" si="15"/>
        <v/>
      </c>
      <c r="E27" s="533" t="str">
        <f t="shared" ca="1" si="15"/>
        <v/>
      </c>
      <c r="F27" s="533" t="str">
        <f t="shared" ca="1" si="15"/>
        <v/>
      </c>
      <c r="G27" s="533" t="str">
        <f t="shared" ca="1" si="15"/>
        <v/>
      </c>
      <c r="H27" s="534" t="str">
        <f t="shared" ca="1" si="15"/>
        <v/>
      </c>
      <c r="J27" s="368"/>
      <c r="K27" s="368"/>
      <c r="L27" s="368"/>
      <c r="M27" s="368"/>
      <c r="N27" s="368"/>
      <c r="O27" s="368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6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6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6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6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6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6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6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6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6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6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6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6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6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6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6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6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6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6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6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7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7"/>
        <v/>
      </c>
      <c r="U65" s="190" t="str">
        <f t="shared" ref="U65:U77" si="18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7"/>
        <v/>
      </c>
      <c r="U66" s="195" t="str">
        <f t="shared" si="18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7"/>
        <v/>
      </c>
      <c r="U67" s="190" t="str">
        <f t="shared" si="18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7"/>
        <v/>
      </c>
      <c r="U68" s="190" t="str">
        <f t="shared" si="18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7"/>
        <v/>
      </c>
      <c r="U69" s="190" t="str">
        <f t="shared" si="18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7"/>
        <v/>
      </c>
      <c r="U70" s="190" t="str">
        <f t="shared" si="18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7"/>
        <v/>
      </c>
      <c r="U71" s="190" t="str">
        <f t="shared" si="18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7"/>
        <v/>
      </c>
      <c r="U72" s="190" t="str">
        <f t="shared" si="18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7"/>
        <v/>
      </c>
      <c r="U73" s="190" t="str">
        <f t="shared" si="18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7"/>
        <v/>
      </c>
      <c r="U74" s="190" t="str">
        <f t="shared" si="18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7"/>
        <v/>
      </c>
      <c r="U75" s="190" t="str">
        <f t="shared" si="18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7"/>
        <v/>
      </c>
      <c r="U76" s="190" t="str">
        <f t="shared" si="18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7"/>
        <v/>
      </c>
      <c r="U77" s="190" t="str">
        <f t="shared" si="18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9">IF(R83="","",R83-S83)</f>
        <v>49400</v>
      </c>
      <c r="U83" s="190">
        <f t="shared" ref="U83:U146" si="20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9"/>
        <v/>
      </c>
      <c r="U84" s="190" t="str">
        <f t="shared" si="20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9"/>
        <v/>
      </c>
      <c r="U85" s="190" t="str">
        <f t="shared" si="20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9"/>
        <v/>
      </c>
      <c r="U86" s="190" t="str">
        <f t="shared" si="20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9"/>
        <v/>
      </c>
      <c r="U87" s="190" t="str">
        <f t="shared" si="20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9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9"/>
        <v/>
      </c>
      <c r="U89" s="190" t="str">
        <f t="shared" ref="U89:U91" si="21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9"/>
        <v/>
      </c>
      <c r="U90" s="190" t="str">
        <f t="shared" si="21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9"/>
        <v/>
      </c>
      <c r="U91" s="190" t="str">
        <f t="shared" si="21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9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9"/>
        <v/>
      </c>
      <c r="U93" s="190" t="str">
        <f t="shared" ref="U93:U105" si="22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9"/>
        <v/>
      </c>
      <c r="U94" s="190" t="str">
        <f t="shared" si="22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9"/>
        <v/>
      </c>
      <c r="U95" s="190" t="str">
        <f t="shared" si="22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9"/>
        <v/>
      </c>
      <c r="U96" s="190" t="str">
        <f t="shared" si="22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9"/>
        <v/>
      </c>
      <c r="U97" s="190" t="str">
        <f t="shared" si="22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9"/>
        <v/>
      </c>
      <c r="U98" s="190" t="str">
        <f t="shared" si="22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9"/>
        <v/>
      </c>
      <c r="U99" s="190" t="str">
        <f t="shared" si="22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9"/>
        <v/>
      </c>
      <c r="U100" s="190" t="str">
        <f t="shared" si="22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9"/>
        <v/>
      </c>
      <c r="U101" s="190" t="str">
        <f t="shared" si="22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9"/>
        <v/>
      </c>
      <c r="U102" s="190" t="str">
        <f t="shared" si="22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9"/>
        <v/>
      </c>
      <c r="U103" s="190" t="str">
        <f t="shared" si="22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9"/>
        <v/>
      </c>
      <c r="U104" s="190" t="str">
        <f t="shared" si="22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9"/>
        <v/>
      </c>
      <c r="U105" s="190" t="str">
        <f t="shared" si="22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9"/>
        <v/>
      </c>
      <c r="U106" s="190" t="str">
        <f t="shared" si="20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9"/>
        <v/>
      </c>
      <c r="U107" s="190" t="str">
        <f t="shared" si="20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9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9"/>
        <v/>
      </c>
      <c r="U109" s="190" t="str">
        <f t="shared" si="20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9"/>
        <v/>
      </c>
      <c r="U110" s="190" t="str">
        <f t="shared" si="20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9"/>
        <v/>
      </c>
      <c r="U111" s="190" t="str">
        <f t="shared" si="20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9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9"/>
        <v/>
      </c>
      <c r="U113" s="190" t="str">
        <f t="shared" si="20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9"/>
        <v/>
      </c>
      <c r="U114" s="190" t="str">
        <f t="shared" si="20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9"/>
        <v/>
      </c>
      <c r="U115" s="190" t="str">
        <f t="shared" si="20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9"/>
        <v/>
      </c>
      <c r="U116" s="190" t="str">
        <f t="shared" si="20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9"/>
        <v/>
      </c>
      <c r="U117" s="190" t="str">
        <f t="shared" si="20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9"/>
        <v/>
      </c>
      <c r="U118" s="190" t="str">
        <f t="shared" si="20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9"/>
        <v/>
      </c>
      <c r="U119" s="190" t="str">
        <f t="shared" si="20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9"/>
        <v/>
      </c>
      <c r="U120" s="190" t="str">
        <f t="shared" si="20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9"/>
        <v/>
      </c>
      <c r="U121" s="190" t="str">
        <f t="shared" si="20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9"/>
        <v/>
      </c>
      <c r="U122" s="190" t="str">
        <f t="shared" si="20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9"/>
        <v/>
      </c>
      <c r="U123" s="190" t="str">
        <f t="shared" si="20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9"/>
        <v/>
      </c>
      <c r="U124" s="190" t="str">
        <f t="shared" si="20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9"/>
        <v/>
      </c>
      <c r="U125" s="190" t="str">
        <f t="shared" si="20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9"/>
        <v/>
      </c>
      <c r="U126" s="190" t="str">
        <f t="shared" si="20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9"/>
        <v/>
      </c>
      <c r="U127" s="190" t="str">
        <f t="shared" si="20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9"/>
        <v/>
      </c>
      <c r="U128" s="190" t="str">
        <f t="shared" si="20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9"/>
        <v/>
      </c>
      <c r="U129" s="190" t="str">
        <f t="shared" si="20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9"/>
        <v/>
      </c>
      <c r="U130" s="190" t="str">
        <f t="shared" si="20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9"/>
        <v/>
      </c>
      <c r="U131" s="190" t="str">
        <f t="shared" si="20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9"/>
        <v/>
      </c>
      <c r="U132" s="190" t="str">
        <f t="shared" si="20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9"/>
        <v/>
      </c>
      <c r="U133" s="190" t="str">
        <f t="shared" si="20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9"/>
        <v/>
      </c>
      <c r="U134" s="190" t="str">
        <f t="shared" si="20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9"/>
        <v/>
      </c>
      <c r="U135" s="190" t="str">
        <f t="shared" si="20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9"/>
        <v/>
      </c>
      <c r="U136" s="190" t="str">
        <f t="shared" si="20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9"/>
        <v/>
      </c>
      <c r="U137" s="190" t="str">
        <f t="shared" si="20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9"/>
        <v/>
      </c>
      <c r="U138" s="190" t="str">
        <f t="shared" si="20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9"/>
        <v/>
      </c>
      <c r="U139" s="190" t="str">
        <f t="shared" si="20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9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9"/>
        <v/>
      </c>
      <c r="U141" s="190" t="str">
        <f t="shared" si="20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9"/>
        <v/>
      </c>
      <c r="U142" s="190" t="str">
        <f t="shared" si="20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9"/>
        <v/>
      </c>
      <c r="U143" s="190" t="str">
        <f t="shared" si="20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9"/>
        <v/>
      </c>
      <c r="U144" s="190" t="str">
        <f t="shared" si="20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9"/>
        <v/>
      </c>
      <c r="U145" s="190" t="str">
        <f t="shared" si="20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9"/>
        <v/>
      </c>
      <c r="U146" s="190" t="str">
        <f t="shared" si="20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9"/>
        <v/>
      </c>
      <c r="U147" s="190" t="str">
        <f t="shared" ref="U147:U165" si="23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9"/>
        <v/>
      </c>
      <c r="U148" s="190" t="str">
        <f t="shared" si="23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9"/>
        <v/>
      </c>
      <c r="U149" s="190" t="str">
        <f t="shared" si="23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9"/>
        <v/>
      </c>
      <c r="U150" s="190" t="str">
        <f t="shared" si="23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9"/>
        <v/>
      </c>
      <c r="U151" s="190" t="str">
        <f t="shared" si="23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9"/>
        <v/>
      </c>
      <c r="U152" s="190" t="str">
        <f t="shared" si="23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9"/>
        <v/>
      </c>
      <c r="U153" s="190" t="str">
        <f t="shared" si="23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9"/>
        <v/>
      </c>
      <c r="U154" s="190" t="str">
        <f t="shared" si="23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9"/>
        <v/>
      </c>
      <c r="U155" s="190" t="str">
        <f t="shared" si="23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9"/>
        <v/>
      </c>
      <c r="U156" s="190" t="str">
        <f t="shared" si="23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9"/>
        <v/>
      </c>
      <c r="U157" s="190" t="str">
        <f t="shared" si="23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9"/>
        <v/>
      </c>
      <c r="U158" s="190" t="str">
        <f t="shared" si="23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9"/>
        <v/>
      </c>
      <c r="U159" s="190" t="str">
        <f t="shared" si="23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9"/>
        <v/>
      </c>
      <c r="U160" s="190" t="str">
        <f t="shared" si="23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9"/>
        <v/>
      </c>
      <c r="U161" s="190" t="str">
        <f t="shared" si="23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9"/>
        <v/>
      </c>
      <c r="U162" s="190" t="str">
        <f t="shared" si="23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9"/>
        <v/>
      </c>
      <c r="U163" s="190" t="str">
        <f t="shared" si="23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9"/>
        <v/>
      </c>
      <c r="U164" s="190" t="str">
        <f t="shared" si="23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9"/>
        <v/>
      </c>
      <c r="U165" s="190" t="str">
        <f t="shared" si="23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E168" s="2"/>
      <c r="F168" s="2"/>
      <c r="G168" s="2"/>
      <c r="N168" s="2"/>
      <c r="O168" s="2"/>
      <c r="P168" s="2"/>
      <c r="Q168" s="2"/>
    </row>
    <row r="169" spans="1:23" ht="18" customHeight="1" x14ac:dyDescent="0.3">
      <c r="E169" s="2"/>
      <c r="F169" s="2"/>
      <c r="G169" s="2"/>
      <c r="N169" s="2"/>
      <c r="O169" s="2"/>
      <c r="P169" s="2"/>
      <c r="Q169" s="2"/>
    </row>
    <row r="170" spans="1:23" ht="18" customHeight="1" x14ac:dyDescent="0.3">
      <c r="E170" s="2"/>
      <c r="F170" s="2"/>
      <c r="G170" s="2"/>
      <c r="N170" s="2"/>
      <c r="O170" s="2"/>
      <c r="P170" s="2"/>
      <c r="Q170" s="2"/>
    </row>
    <row r="171" spans="1:23" ht="18" customHeight="1" x14ac:dyDescent="0.3">
      <c r="E171" s="2"/>
      <c r="F171" s="2"/>
      <c r="G171" s="2"/>
      <c r="N171" s="2"/>
      <c r="O171" s="2"/>
      <c r="P171" s="2"/>
      <c r="Q171" s="2"/>
    </row>
    <row r="172" spans="1:23" ht="18" customHeight="1" x14ac:dyDescent="0.3">
      <c r="E172" s="2"/>
      <c r="F172" s="2"/>
      <c r="G172" s="2"/>
      <c r="N172" s="2"/>
      <c r="O172" s="2"/>
      <c r="P172" s="2"/>
      <c r="Q172" s="2"/>
    </row>
    <row r="173" spans="1:23" ht="18" customHeight="1" x14ac:dyDescent="0.3">
      <c r="E173" s="2"/>
      <c r="F173" s="2"/>
      <c r="G173" s="2"/>
      <c r="N173" s="2"/>
      <c r="O173" s="2"/>
      <c r="P173" s="2"/>
      <c r="Q173" s="2"/>
    </row>
    <row r="174" spans="1:23" ht="18" customHeight="1" x14ac:dyDescent="0.3">
      <c r="E174" s="2"/>
      <c r="F174" s="2"/>
      <c r="G174" s="2"/>
      <c r="N174" s="2"/>
      <c r="O174" s="2"/>
      <c r="P174" s="2"/>
      <c r="Q174" s="2"/>
    </row>
    <row r="175" spans="1:23" ht="18" customHeight="1" x14ac:dyDescent="0.3">
      <c r="E175" s="2"/>
      <c r="F175" s="2"/>
      <c r="G175" s="2"/>
      <c r="N175" s="2"/>
      <c r="O175" s="2"/>
      <c r="P175" s="2"/>
      <c r="Q175" s="2"/>
    </row>
    <row r="176" spans="1:23" ht="18" customHeight="1" x14ac:dyDescent="0.3">
      <c r="E176" s="2"/>
      <c r="F176" s="2"/>
      <c r="G176" s="2"/>
      <c r="N176" s="2"/>
      <c r="O176" s="2"/>
      <c r="P176" s="2"/>
      <c r="Q176" s="2"/>
    </row>
    <row r="177" spans="5:17" ht="18" customHeight="1" x14ac:dyDescent="0.3">
      <c r="E177" s="2"/>
      <c r="F177" s="2"/>
      <c r="G177" s="2"/>
      <c r="N177" s="2"/>
      <c r="O177" s="2"/>
      <c r="P177" s="2"/>
      <c r="Q177" s="2"/>
    </row>
    <row r="178" spans="5:17" ht="18" customHeight="1" x14ac:dyDescent="0.3">
      <c r="E178" s="2"/>
      <c r="F178" s="2"/>
      <c r="G178" s="2"/>
      <c r="N178" s="2"/>
      <c r="O178" s="2"/>
      <c r="P178" s="2"/>
      <c r="Q178" s="2"/>
    </row>
    <row r="179" spans="5:17" ht="18" customHeight="1" x14ac:dyDescent="0.3">
      <c r="E179" s="2"/>
      <c r="F179" s="2"/>
      <c r="G179" s="2"/>
      <c r="N179" s="2"/>
      <c r="O179" s="2"/>
      <c r="P179" s="2"/>
      <c r="Q179" s="2"/>
    </row>
    <row r="180" spans="5:17" ht="18" customHeight="1" x14ac:dyDescent="0.3">
      <c r="E180" s="2"/>
      <c r="F180" s="2"/>
      <c r="G180" s="2"/>
      <c r="N180" s="2"/>
      <c r="O180" s="2"/>
      <c r="P180" s="2"/>
      <c r="Q180" s="2"/>
    </row>
    <row r="181" spans="5:17" ht="18" customHeight="1" x14ac:dyDescent="0.3">
      <c r="E181" s="2"/>
      <c r="F181" s="2"/>
      <c r="G181" s="2"/>
      <c r="N181" s="2"/>
      <c r="O181" s="2"/>
      <c r="P181" s="2"/>
      <c r="Q181" s="2"/>
    </row>
    <row r="182" spans="5:17" ht="18" customHeight="1" x14ac:dyDescent="0.3">
      <c r="E182" s="2"/>
      <c r="F182" s="2"/>
      <c r="G182" s="2"/>
      <c r="N182" s="2"/>
      <c r="O182" s="2"/>
      <c r="P182" s="2"/>
      <c r="Q182" s="2"/>
    </row>
    <row r="183" spans="5:17" ht="18" customHeight="1" x14ac:dyDescent="0.3">
      <c r="E183" s="2"/>
      <c r="F183" s="2"/>
      <c r="G183" s="2"/>
      <c r="N183" s="2"/>
      <c r="O183" s="2"/>
      <c r="P183" s="2"/>
      <c r="Q183" s="2"/>
    </row>
    <row r="184" spans="5:17" ht="18" customHeight="1" x14ac:dyDescent="0.3">
      <c r="E184" s="2"/>
      <c r="F184" s="2"/>
      <c r="G184" s="2"/>
      <c r="N184" s="2"/>
      <c r="O184" s="2"/>
      <c r="P184" s="2"/>
      <c r="Q184" s="2"/>
    </row>
    <row r="185" spans="5:17" ht="18" customHeight="1" x14ac:dyDescent="0.3">
      <c r="E185" s="2"/>
      <c r="F185" s="2"/>
      <c r="G185" s="2"/>
      <c r="N185" s="2"/>
      <c r="O185" s="2"/>
      <c r="P185" s="2"/>
      <c r="Q185" s="2"/>
    </row>
    <row r="186" spans="5:17" ht="18" customHeight="1" x14ac:dyDescent="0.3">
      <c r="E186" s="2"/>
      <c r="F186" s="2"/>
      <c r="G186" s="2"/>
      <c r="N186" s="2"/>
      <c r="O186" s="2"/>
      <c r="P186" s="2"/>
      <c r="Q186" s="2"/>
    </row>
    <row r="187" spans="5:17" ht="18" customHeight="1" x14ac:dyDescent="0.3">
      <c r="E187" s="2"/>
      <c r="F187" s="2"/>
      <c r="G187" s="2"/>
      <c r="N187" s="2"/>
      <c r="O187" s="2"/>
      <c r="P187" s="2"/>
      <c r="Q187" s="2"/>
    </row>
    <row r="188" spans="5:17" ht="18" customHeight="1" x14ac:dyDescent="0.3">
      <c r="E188" s="2"/>
      <c r="F188" s="2"/>
      <c r="G188" s="2"/>
      <c r="N188" s="2"/>
      <c r="O188" s="2"/>
      <c r="P188" s="2"/>
      <c r="Q188" s="2"/>
    </row>
    <row r="189" spans="5:17" ht="18" customHeight="1" x14ac:dyDescent="0.3">
      <c r="E189" s="2"/>
      <c r="F189" s="2"/>
      <c r="G189" s="2"/>
      <c r="N189" s="2"/>
      <c r="O189" s="2"/>
      <c r="P189" s="2"/>
      <c r="Q189" s="2"/>
    </row>
    <row r="190" spans="5:17" ht="18" customHeight="1" x14ac:dyDescent="0.3">
      <c r="E190" s="2"/>
      <c r="F190" s="2"/>
      <c r="G190" s="2"/>
      <c r="N190" s="2"/>
      <c r="O190" s="2"/>
      <c r="P190" s="2"/>
      <c r="Q190" s="2"/>
    </row>
    <row r="191" spans="5:17" ht="18" customHeight="1" x14ac:dyDescent="0.3">
      <c r="E191" s="2"/>
      <c r="F191" s="2"/>
      <c r="G191" s="2"/>
      <c r="N191" s="2"/>
      <c r="O191" s="2"/>
      <c r="P191" s="2"/>
      <c r="Q191" s="2"/>
    </row>
    <row r="192" spans="5:17" ht="18" customHeight="1" x14ac:dyDescent="0.3">
      <c r="E192" s="2"/>
      <c r="F192" s="2"/>
      <c r="G192" s="2"/>
      <c r="N192" s="2"/>
      <c r="O192" s="2"/>
      <c r="P192" s="2"/>
      <c r="Q192" s="2"/>
    </row>
    <row r="193" spans="5:17" ht="18" customHeight="1" x14ac:dyDescent="0.3">
      <c r="E193" s="2"/>
      <c r="F193" s="2"/>
      <c r="G193" s="2"/>
      <c r="N193" s="2"/>
      <c r="O193" s="2"/>
      <c r="P193" s="2"/>
      <c r="Q193" s="2"/>
    </row>
    <row r="194" spans="5:17" ht="18" customHeight="1" x14ac:dyDescent="0.3">
      <c r="E194" s="2"/>
      <c r="F194" s="2"/>
      <c r="G194" s="2"/>
      <c r="N194" s="2"/>
      <c r="O194" s="2"/>
      <c r="P194" s="2"/>
      <c r="Q194" s="2"/>
    </row>
    <row r="195" spans="5:17" ht="18" customHeight="1" x14ac:dyDescent="0.3">
      <c r="E195" s="2"/>
      <c r="F195" s="2"/>
      <c r="G195" s="2"/>
      <c r="N195" s="2"/>
      <c r="O195" s="2"/>
      <c r="P195" s="2"/>
      <c r="Q195" s="2"/>
    </row>
    <row r="196" spans="5:17" ht="18" customHeight="1" x14ac:dyDescent="0.3">
      <c r="E196" s="2"/>
      <c r="F196" s="2"/>
      <c r="G196" s="2"/>
      <c r="N196" s="2"/>
      <c r="O196" s="2"/>
      <c r="P196" s="2"/>
      <c r="Q196" s="2"/>
    </row>
    <row r="197" spans="5:17" ht="18" customHeight="1" x14ac:dyDescent="0.3">
      <c r="E197" s="2"/>
      <c r="F197" s="2"/>
      <c r="G197" s="2"/>
      <c r="N197" s="2"/>
      <c r="O197" s="2"/>
      <c r="P197" s="2"/>
      <c r="Q197" s="2"/>
    </row>
    <row r="198" spans="5:17" ht="18" customHeight="1" x14ac:dyDescent="0.3">
      <c r="E198" s="2"/>
      <c r="F198" s="2"/>
      <c r="G198" s="2"/>
      <c r="N198" s="2"/>
      <c r="O198" s="2"/>
      <c r="P198" s="2"/>
      <c r="Q198" s="2"/>
    </row>
    <row r="199" spans="5:17" ht="18" customHeight="1" x14ac:dyDescent="0.3">
      <c r="E199" s="2"/>
      <c r="F199" s="2"/>
      <c r="G199" s="2"/>
      <c r="N199" s="2"/>
      <c r="O199" s="2"/>
      <c r="P199" s="2"/>
      <c r="Q199" s="2"/>
    </row>
    <row r="200" spans="5:17" ht="18" customHeight="1" x14ac:dyDescent="0.3">
      <c r="E200" s="2"/>
      <c r="F200" s="2"/>
      <c r="G200" s="2"/>
      <c r="N200" s="2"/>
      <c r="O200" s="2"/>
      <c r="P200" s="2"/>
      <c r="Q200" s="2"/>
    </row>
    <row r="201" spans="5:17" ht="18" customHeight="1" x14ac:dyDescent="0.3">
      <c r="E201" s="2"/>
      <c r="F201" s="2"/>
      <c r="G201" s="2"/>
      <c r="N201" s="2"/>
      <c r="O201" s="2"/>
      <c r="P201" s="2"/>
      <c r="Q201" s="2"/>
    </row>
    <row r="202" spans="5:17" ht="18" customHeight="1" x14ac:dyDescent="0.3">
      <c r="E202" s="2"/>
      <c r="F202" s="2"/>
      <c r="G202" s="2"/>
      <c r="N202" s="2"/>
      <c r="O202" s="2"/>
      <c r="P202" s="2"/>
      <c r="Q202" s="2"/>
    </row>
    <row r="203" spans="5:17" ht="18" customHeight="1" x14ac:dyDescent="0.3">
      <c r="E203" s="2"/>
      <c r="F203" s="2"/>
      <c r="G203" s="2"/>
      <c r="N203" s="2"/>
      <c r="O203" s="2"/>
      <c r="P203" s="2"/>
      <c r="Q203" s="2"/>
    </row>
    <row r="204" spans="5:17" ht="18" customHeight="1" x14ac:dyDescent="0.3">
      <c r="E204" s="2"/>
      <c r="F204" s="2"/>
      <c r="G204" s="2"/>
      <c r="N204" s="2"/>
      <c r="O204" s="2"/>
      <c r="P204" s="2"/>
      <c r="Q204" s="2"/>
    </row>
    <row r="205" spans="5:17" ht="18" customHeight="1" x14ac:dyDescent="0.3">
      <c r="E205" s="2"/>
      <c r="F205" s="2"/>
      <c r="G205" s="2"/>
      <c r="N205" s="2"/>
      <c r="O205" s="2"/>
      <c r="P205" s="2"/>
      <c r="Q205" s="2"/>
    </row>
    <row r="206" spans="5:17" ht="18" customHeight="1" x14ac:dyDescent="0.3">
      <c r="E206" s="2"/>
      <c r="F206" s="2"/>
      <c r="G206" s="2"/>
      <c r="N206" s="2"/>
      <c r="O206" s="2"/>
      <c r="P206" s="2"/>
      <c r="Q206" s="2"/>
    </row>
    <row r="207" spans="5:17" ht="18" customHeight="1" x14ac:dyDescent="0.3">
      <c r="E207" s="2"/>
      <c r="F207" s="2"/>
      <c r="G207" s="2"/>
      <c r="N207" s="2"/>
      <c r="O207" s="2"/>
      <c r="P207" s="2"/>
      <c r="Q207" s="2"/>
    </row>
    <row r="208" spans="5:17" ht="18" customHeight="1" x14ac:dyDescent="0.3">
      <c r="E208" s="2"/>
      <c r="F208" s="2"/>
      <c r="G208" s="2"/>
      <c r="N208" s="2"/>
      <c r="O208" s="2"/>
      <c r="P208" s="2"/>
      <c r="Q208" s="2"/>
    </row>
    <row r="209" spans="5:17" ht="18" customHeight="1" x14ac:dyDescent="0.3">
      <c r="E209" s="2"/>
      <c r="F209" s="2"/>
      <c r="G209" s="2"/>
      <c r="N209" s="2"/>
      <c r="O209" s="2"/>
      <c r="P209" s="2"/>
      <c r="Q209" s="2"/>
    </row>
    <row r="210" spans="5:17" ht="18" customHeight="1" x14ac:dyDescent="0.3">
      <c r="E210" s="2"/>
      <c r="F210" s="2"/>
      <c r="G210" s="2"/>
      <c r="N210" s="2"/>
      <c r="O210" s="2"/>
      <c r="P210" s="2"/>
      <c r="Q210" s="2"/>
    </row>
    <row r="211" spans="5:17" ht="18" customHeight="1" x14ac:dyDescent="0.3">
      <c r="E211" s="2"/>
      <c r="F211" s="2"/>
      <c r="G211" s="2"/>
      <c r="N211" s="2"/>
      <c r="O211" s="2"/>
      <c r="P211" s="2"/>
      <c r="Q211" s="2"/>
    </row>
    <row r="212" spans="5:17" ht="18" customHeight="1" x14ac:dyDescent="0.3">
      <c r="E212" s="2"/>
      <c r="F212" s="2"/>
      <c r="G212" s="2"/>
      <c r="N212" s="2"/>
      <c r="O212" s="2"/>
      <c r="P212" s="2"/>
      <c r="Q212" s="2"/>
    </row>
    <row r="213" spans="5:17" ht="18" customHeight="1" x14ac:dyDescent="0.3">
      <c r="E213" s="2"/>
      <c r="F213" s="2"/>
      <c r="G213" s="2"/>
      <c r="N213" s="2"/>
      <c r="O213" s="2"/>
      <c r="P213" s="2"/>
      <c r="Q213" s="2"/>
    </row>
    <row r="214" spans="5:17" ht="18" customHeight="1" x14ac:dyDescent="0.3">
      <c r="E214" s="2"/>
      <c r="F214" s="2"/>
      <c r="G214" s="2"/>
      <c r="N214" s="2"/>
      <c r="O214" s="2"/>
      <c r="P214" s="2"/>
      <c r="Q214" s="2"/>
    </row>
    <row r="215" spans="5:17" ht="18" customHeight="1" x14ac:dyDescent="0.3">
      <c r="E215" s="2"/>
      <c r="F215" s="2"/>
      <c r="G215" s="2"/>
      <c r="N215" s="2"/>
      <c r="O215" s="2"/>
      <c r="P215" s="2"/>
      <c r="Q215" s="2"/>
    </row>
    <row r="216" spans="5:17" ht="18" customHeight="1" x14ac:dyDescent="0.3">
      <c r="E216" s="2"/>
      <c r="F216" s="2"/>
      <c r="G216" s="2"/>
      <c r="N216" s="2"/>
      <c r="O216" s="2"/>
      <c r="P216" s="2"/>
      <c r="Q216" s="2"/>
    </row>
    <row r="217" spans="5:17" ht="18" customHeight="1" x14ac:dyDescent="0.3">
      <c r="E217" s="2"/>
      <c r="F217" s="2"/>
      <c r="G217" s="2"/>
      <c r="N217" s="2"/>
      <c r="O217" s="2"/>
      <c r="P217" s="2"/>
      <c r="Q217" s="2"/>
    </row>
    <row r="218" spans="5:17" ht="18" customHeight="1" x14ac:dyDescent="0.3">
      <c r="E218" s="2"/>
      <c r="F218" s="2"/>
      <c r="G218" s="2"/>
      <c r="N218" s="2"/>
      <c r="O218" s="2"/>
      <c r="P218" s="2"/>
      <c r="Q218" s="2"/>
    </row>
    <row r="219" spans="5:17" ht="18" customHeight="1" x14ac:dyDescent="0.3">
      <c r="E219" s="2"/>
      <c r="F219" s="2"/>
      <c r="G219" s="2"/>
      <c r="N219" s="2"/>
      <c r="O219" s="2"/>
      <c r="P219" s="2"/>
      <c r="Q219" s="2"/>
    </row>
    <row r="220" spans="5:17" ht="18" customHeight="1" x14ac:dyDescent="0.3">
      <c r="E220" s="2"/>
      <c r="F220" s="2"/>
      <c r="G220" s="2"/>
      <c r="N220" s="2"/>
      <c r="O220" s="2"/>
      <c r="P220" s="2"/>
      <c r="Q220" s="2"/>
    </row>
    <row r="221" spans="5:17" ht="18" customHeight="1" x14ac:dyDescent="0.3">
      <c r="E221" s="2"/>
      <c r="F221" s="2"/>
      <c r="G221" s="2"/>
      <c r="N221" s="2"/>
      <c r="O221" s="2"/>
      <c r="P221" s="2"/>
      <c r="Q221" s="2"/>
    </row>
    <row r="222" spans="5:17" ht="18" customHeight="1" x14ac:dyDescent="0.3">
      <c r="E222" s="2"/>
      <c r="F222" s="2"/>
      <c r="G222" s="2"/>
      <c r="N222" s="2"/>
      <c r="O222" s="2"/>
      <c r="P222" s="2"/>
      <c r="Q222" s="2"/>
    </row>
    <row r="223" spans="5:17" ht="18" customHeight="1" x14ac:dyDescent="0.3">
      <c r="E223" s="2"/>
      <c r="F223" s="2"/>
      <c r="G223" s="2"/>
      <c r="N223" s="2"/>
      <c r="O223" s="2"/>
      <c r="P223" s="2"/>
      <c r="Q223" s="2"/>
    </row>
    <row r="224" spans="5:17" ht="18" customHeight="1" x14ac:dyDescent="0.3">
      <c r="E224" s="2"/>
      <c r="F224" s="2"/>
      <c r="G224" s="2"/>
      <c r="N224" s="2"/>
      <c r="O224" s="2"/>
      <c r="P224" s="2"/>
      <c r="Q224" s="2"/>
    </row>
    <row r="225" spans="5:17" ht="18" customHeight="1" x14ac:dyDescent="0.3">
      <c r="E225" s="2"/>
      <c r="F225" s="2"/>
      <c r="G225" s="2"/>
      <c r="N225" s="2"/>
      <c r="O225" s="2"/>
      <c r="P225" s="2"/>
      <c r="Q225" s="2"/>
    </row>
    <row r="226" spans="5:17" ht="18" customHeight="1" x14ac:dyDescent="0.3">
      <c r="E226" s="2"/>
      <c r="F226" s="2"/>
      <c r="G226" s="2"/>
      <c r="N226" s="2"/>
      <c r="O226" s="2"/>
      <c r="P226" s="2"/>
      <c r="Q226" s="2"/>
    </row>
    <row r="227" spans="5:17" ht="18" customHeight="1" x14ac:dyDescent="0.3">
      <c r="E227" s="2"/>
      <c r="F227" s="2"/>
      <c r="G227" s="2"/>
      <c r="N227" s="2"/>
      <c r="O227" s="2"/>
      <c r="P227" s="2"/>
      <c r="Q227" s="2"/>
    </row>
    <row r="228" spans="5:17" ht="18" customHeight="1" x14ac:dyDescent="0.3">
      <c r="E228" s="2"/>
      <c r="F228" s="2"/>
      <c r="G228" s="2"/>
      <c r="N228" s="2"/>
      <c r="O228" s="2"/>
      <c r="P228" s="2"/>
      <c r="Q228" s="2"/>
    </row>
    <row r="229" spans="5:17" ht="18" customHeight="1" x14ac:dyDescent="0.3">
      <c r="E229" s="2"/>
      <c r="F229" s="2"/>
      <c r="G229" s="2"/>
      <c r="N229" s="2"/>
      <c r="O229" s="2"/>
      <c r="P229" s="2"/>
      <c r="Q229" s="2"/>
    </row>
    <row r="230" spans="5:17" ht="18" customHeight="1" x14ac:dyDescent="0.3">
      <c r="E230" s="2"/>
      <c r="F230" s="2"/>
      <c r="G230" s="2"/>
      <c r="N230" s="2"/>
      <c r="O230" s="2"/>
      <c r="P230" s="2"/>
      <c r="Q230" s="2"/>
    </row>
    <row r="231" spans="5:17" ht="18" customHeight="1" x14ac:dyDescent="0.3">
      <c r="E231" s="2"/>
      <c r="F231" s="2"/>
      <c r="G231" s="2"/>
      <c r="N231" s="2"/>
      <c r="O231" s="2"/>
      <c r="P231" s="2"/>
      <c r="Q231" s="2"/>
    </row>
    <row r="232" spans="5:17" ht="18" customHeight="1" x14ac:dyDescent="0.3">
      <c r="E232" s="2"/>
      <c r="F232" s="2"/>
      <c r="G232" s="2"/>
      <c r="N232" s="2"/>
      <c r="O232" s="2"/>
      <c r="P232" s="2"/>
      <c r="Q232" s="2"/>
    </row>
    <row r="233" spans="5:17" ht="18" customHeight="1" x14ac:dyDescent="0.3">
      <c r="E233" s="2"/>
      <c r="F233" s="2"/>
      <c r="G233" s="2"/>
      <c r="N233" s="2"/>
      <c r="O233" s="2"/>
      <c r="P233" s="2"/>
      <c r="Q233" s="2"/>
    </row>
    <row r="234" spans="5:17" ht="18" customHeight="1" x14ac:dyDescent="0.3">
      <c r="E234" s="2"/>
      <c r="F234" s="2"/>
      <c r="G234" s="2"/>
      <c r="N234" s="2"/>
      <c r="O234" s="2"/>
      <c r="P234" s="2"/>
      <c r="Q234" s="2"/>
    </row>
    <row r="235" spans="5:17" ht="18" customHeight="1" x14ac:dyDescent="0.3">
      <c r="E235" s="2"/>
      <c r="F235" s="2"/>
      <c r="G235" s="2"/>
      <c r="N235" s="2"/>
      <c r="O235" s="2"/>
      <c r="P235" s="2"/>
      <c r="Q235" s="2"/>
    </row>
    <row r="236" spans="5:17" ht="18" customHeight="1" x14ac:dyDescent="0.3">
      <c r="E236" s="2"/>
      <c r="F236" s="2"/>
      <c r="G236" s="2"/>
      <c r="N236" s="2"/>
      <c r="O236" s="2"/>
      <c r="P236" s="2"/>
      <c r="Q236" s="2"/>
    </row>
    <row r="237" spans="5:17" ht="18" customHeight="1" x14ac:dyDescent="0.3">
      <c r="E237" s="2"/>
      <c r="F237" s="2"/>
      <c r="G237" s="2"/>
      <c r="N237" s="2"/>
      <c r="O237" s="2"/>
      <c r="P237" s="2"/>
      <c r="Q237" s="2"/>
    </row>
    <row r="238" spans="5:17" ht="18" customHeight="1" x14ac:dyDescent="0.3">
      <c r="E238" s="2"/>
      <c r="F238" s="2"/>
      <c r="G238" s="2"/>
      <c r="N238" s="2"/>
      <c r="O238" s="2"/>
      <c r="P238" s="2"/>
      <c r="Q238" s="2"/>
    </row>
    <row r="239" spans="5:17" ht="18" customHeight="1" x14ac:dyDescent="0.3">
      <c r="E239" s="2"/>
      <c r="F239" s="2"/>
      <c r="G239" s="2"/>
      <c r="N239" s="2"/>
      <c r="O239" s="2"/>
      <c r="P239" s="2"/>
      <c r="Q239" s="2"/>
    </row>
    <row r="240" spans="5:17" ht="18" customHeight="1" x14ac:dyDescent="0.3">
      <c r="E240" s="2"/>
      <c r="F240" s="2"/>
      <c r="G240" s="2"/>
      <c r="N240" s="2"/>
      <c r="O240" s="2"/>
      <c r="P240" s="2"/>
      <c r="Q240" s="2"/>
    </row>
    <row r="241" spans="5:17" ht="18" customHeight="1" x14ac:dyDescent="0.3">
      <c r="E241" s="2"/>
      <c r="F241" s="2"/>
      <c r="G241" s="2"/>
      <c r="N241" s="2"/>
      <c r="O241" s="2"/>
      <c r="P241" s="2"/>
      <c r="Q241" s="2"/>
    </row>
    <row r="242" spans="5:17" ht="18" customHeight="1" x14ac:dyDescent="0.3">
      <c r="E242" s="2"/>
      <c r="F242" s="2"/>
      <c r="G242" s="2"/>
      <c r="N242" s="2"/>
      <c r="O242" s="2"/>
      <c r="P242" s="2"/>
      <c r="Q242" s="2"/>
    </row>
    <row r="243" spans="5:17" ht="18" customHeight="1" x14ac:dyDescent="0.3">
      <c r="E243" s="2"/>
      <c r="F243" s="2"/>
      <c r="G243" s="2"/>
      <c r="N243" s="2"/>
      <c r="O243" s="2"/>
      <c r="P243" s="2"/>
      <c r="Q243" s="2"/>
    </row>
    <row r="244" spans="5:17" ht="18" customHeight="1" x14ac:dyDescent="0.3">
      <c r="E244" s="2"/>
      <c r="F244" s="2"/>
      <c r="G244" s="2"/>
      <c r="N244" s="2"/>
      <c r="O244" s="2"/>
      <c r="P244" s="2"/>
      <c r="Q244" s="2"/>
    </row>
    <row r="245" spans="5:17" ht="18" customHeight="1" x14ac:dyDescent="0.3">
      <c r="E245" s="2"/>
      <c r="F245" s="2"/>
      <c r="G245" s="2"/>
      <c r="N245" s="2"/>
      <c r="O245" s="2"/>
      <c r="P245" s="2"/>
      <c r="Q245" s="2"/>
    </row>
    <row r="246" spans="5:17" ht="18" customHeight="1" x14ac:dyDescent="0.3">
      <c r="E246" s="2"/>
      <c r="F246" s="2"/>
      <c r="G246" s="2"/>
      <c r="N246" s="2"/>
      <c r="O246" s="2"/>
      <c r="P246" s="2"/>
      <c r="Q246" s="2"/>
    </row>
    <row r="247" spans="5:17" ht="18" customHeight="1" x14ac:dyDescent="0.3">
      <c r="E247" s="2"/>
      <c r="F247" s="2"/>
      <c r="G247" s="2"/>
      <c r="N247" s="2"/>
      <c r="O247" s="2"/>
      <c r="P247" s="2"/>
      <c r="Q247" s="2"/>
    </row>
    <row r="248" spans="5:17" ht="18" customHeight="1" x14ac:dyDescent="0.3">
      <c r="E248" s="2"/>
      <c r="F248" s="2"/>
      <c r="G248" s="2"/>
      <c r="N248" s="2"/>
      <c r="O248" s="2"/>
      <c r="P248" s="2"/>
      <c r="Q248" s="2"/>
    </row>
    <row r="249" spans="5:17" ht="18" customHeight="1" x14ac:dyDescent="0.3">
      <c r="E249" s="2"/>
      <c r="F249" s="2"/>
      <c r="G249" s="2"/>
      <c r="N249" s="2"/>
      <c r="O249" s="2"/>
      <c r="P249" s="2"/>
      <c r="Q249" s="2"/>
    </row>
    <row r="250" spans="5:17" ht="18" customHeight="1" x14ac:dyDescent="0.3">
      <c r="E250" s="2"/>
      <c r="F250" s="2"/>
      <c r="G250" s="2"/>
      <c r="N250" s="2"/>
      <c r="O250" s="2"/>
      <c r="P250" s="2"/>
      <c r="Q250" s="2"/>
    </row>
    <row r="251" spans="5:17" ht="18" customHeight="1" x14ac:dyDescent="0.3">
      <c r="E251" s="2"/>
      <c r="F251" s="2"/>
      <c r="G251" s="2"/>
      <c r="N251" s="2"/>
      <c r="O251" s="2"/>
      <c r="P251" s="2"/>
      <c r="Q251" s="2"/>
    </row>
    <row r="252" spans="5:17" ht="18" customHeight="1" x14ac:dyDescent="0.3">
      <c r="E252" s="2"/>
      <c r="F252" s="2"/>
      <c r="G252" s="2"/>
      <c r="N252" s="2"/>
      <c r="O252" s="2"/>
      <c r="P252" s="2"/>
      <c r="Q252" s="2"/>
    </row>
    <row r="253" spans="5:17" ht="18" customHeight="1" x14ac:dyDescent="0.3">
      <c r="E253" s="2"/>
      <c r="F253" s="2"/>
      <c r="G253" s="2"/>
      <c r="N253" s="2"/>
      <c r="O253" s="2"/>
      <c r="P253" s="2"/>
      <c r="Q253" s="2"/>
    </row>
    <row r="254" spans="5:17" ht="18" customHeight="1" x14ac:dyDescent="0.3">
      <c r="E254" s="2"/>
      <c r="F254" s="2"/>
      <c r="G254" s="2"/>
      <c r="N254" s="2"/>
      <c r="O254" s="2"/>
      <c r="P254" s="2"/>
      <c r="Q254" s="2"/>
    </row>
    <row r="255" spans="5:17" ht="18" customHeight="1" x14ac:dyDescent="0.3">
      <c r="E255" s="2"/>
      <c r="F255" s="2"/>
      <c r="G255" s="2"/>
      <c r="N255" s="2"/>
      <c r="O255" s="2"/>
      <c r="P255" s="2"/>
      <c r="Q255" s="2"/>
    </row>
    <row r="256" spans="5:17" ht="18" customHeight="1" x14ac:dyDescent="0.3">
      <c r="E256" s="2"/>
      <c r="F256" s="2"/>
      <c r="G256" s="2"/>
      <c r="N256" s="2"/>
      <c r="O256" s="2"/>
      <c r="P256" s="2"/>
      <c r="Q256" s="2"/>
    </row>
    <row r="257" spans="5:17" ht="18" customHeight="1" x14ac:dyDescent="0.3">
      <c r="E257" s="2"/>
      <c r="F257" s="2"/>
      <c r="G257" s="2"/>
      <c r="N257" s="2"/>
      <c r="O257" s="2"/>
      <c r="P257" s="2"/>
      <c r="Q257" s="2"/>
    </row>
    <row r="258" spans="5:17" ht="18" customHeight="1" x14ac:dyDescent="0.3">
      <c r="E258" s="2"/>
      <c r="F258" s="2"/>
      <c r="G258" s="2"/>
      <c r="N258" s="2"/>
      <c r="O258" s="2"/>
      <c r="P258" s="2"/>
      <c r="Q258" s="2"/>
    </row>
    <row r="259" spans="5:17" ht="18" customHeight="1" x14ac:dyDescent="0.3">
      <c r="E259" s="2"/>
      <c r="F259" s="2"/>
      <c r="G259" s="2"/>
      <c r="N259" s="2"/>
      <c r="O259" s="2"/>
      <c r="P259" s="2"/>
      <c r="Q259" s="2"/>
    </row>
    <row r="260" spans="5:17" ht="18" customHeight="1" x14ac:dyDescent="0.3">
      <c r="E260" s="2"/>
      <c r="F260" s="2"/>
      <c r="G260" s="2"/>
      <c r="N260" s="2"/>
      <c r="O260" s="2"/>
      <c r="P260" s="2"/>
      <c r="Q260" s="2"/>
    </row>
    <row r="261" spans="5:17" ht="18" customHeight="1" x14ac:dyDescent="0.3">
      <c r="E261" s="2"/>
      <c r="F261" s="2"/>
      <c r="G261" s="2"/>
      <c r="N261" s="2"/>
      <c r="O261" s="2"/>
      <c r="P261" s="2"/>
      <c r="Q261" s="2"/>
    </row>
    <row r="262" spans="5:17" ht="18" customHeight="1" x14ac:dyDescent="0.3">
      <c r="E262" s="2"/>
      <c r="F262" s="2"/>
      <c r="G262" s="2"/>
      <c r="N262" s="2"/>
      <c r="O262" s="2"/>
      <c r="P262" s="2"/>
      <c r="Q262" s="2"/>
    </row>
    <row r="263" spans="5:17" ht="18" customHeight="1" x14ac:dyDescent="0.3">
      <c r="E263" s="2"/>
      <c r="F263" s="2"/>
      <c r="G263" s="2"/>
      <c r="N263" s="2"/>
      <c r="O263" s="2"/>
      <c r="P263" s="2"/>
      <c r="Q263" s="2"/>
    </row>
    <row r="264" spans="5:17" ht="18" customHeight="1" x14ac:dyDescent="0.3">
      <c r="E264" s="2"/>
      <c r="F264" s="2"/>
      <c r="G264" s="2"/>
      <c r="N264" s="2"/>
      <c r="O264" s="2"/>
      <c r="P264" s="2"/>
      <c r="Q264" s="2"/>
    </row>
    <row r="265" spans="5:17" ht="18" customHeight="1" x14ac:dyDescent="0.3">
      <c r="E265" s="2"/>
      <c r="F265" s="2"/>
      <c r="G265" s="2"/>
      <c r="N265" s="2"/>
      <c r="O265" s="2"/>
      <c r="P265" s="2"/>
      <c r="Q265" s="2"/>
    </row>
    <row r="266" spans="5:17" ht="18" customHeight="1" x14ac:dyDescent="0.3">
      <c r="E266" s="2"/>
      <c r="F266" s="2"/>
      <c r="G266" s="2"/>
      <c r="N266" s="2"/>
      <c r="O266" s="2"/>
      <c r="P266" s="2"/>
      <c r="Q266" s="2"/>
    </row>
    <row r="267" spans="5:17" ht="18" customHeight="1" x14ac:dyDescent="0.3">
      <c r="E267" s="2"/>
      <c r="F267" s="2"/>
      <c r="G267" s="2"/>
      <c r="N267" s="2"/>
      <c r="O267" s="2"/>
      <c r="P267" s="2"/>
      <c r="Q267" s="2"/>
    </row>
    <row r="268" spans="5:17" ht="18" customHeight="1" x14ac:dyDescent="0.3">
      <c r="E268" s="2"/>
      <c r="F268" s="2"/>
      <c r="G268" s="2"/>
      <c r="N268" s="2"/>
      <c r="O268" s="2"/>
      <c r="P268" s="2"/>
      <c r="Q268" s="2"/>
    </row>
    <row r="269" spans="5:17" ht="18" customHeight="1" x14ac:dyDescent="0.3">
      <c r="E269" s="2"/>
      <c r="F269" s="2"/>
      <c r="G269" s="2"/>
      <c r="N269" s="2"/>
      <c r="O269" s="2"/>
      <c r="P269" s="2"/>
      <c r="Q269" s="2"/>
    </row>
    <row r="270" spans="5:17" ht="18" customHeight="1" x14ac:dyDescent="0.3">
      <c r="E270" s="2"/>
      <c r="F270" s="2"/>
      <c r="G270" s="2"/>
      <c r="N270" s="2"/>
      <c r="O270" s="2"/>
      <c r="P270" s="2"/>
      <c r="Q270" s="2"/>
    </row>
    <row r="271" spans="5:17" ht="18" customHeight="1" x14ac:dyDescent="0.3">
      <c r="E271" s="2"/>
      <c r="F271" s="2"/>
      <c r="G271" s="2"/>
      <c r="N271" s="2"/>
      <c r="O271" s="2"/>
      <c r="P271" s="2"/>
      <c r="Q271" s="2"/>
    </row>
    <row r="272" spans="5:17" ht="18" customHeight="1" x14ac:dyDescent="0.3">
      <c r="E272" s="2"/>
      <c r="F272" s="2"/>
      <c r="G272" s="2"/>
      <c r="N272" s="2"/>
      <c r="O272" s="2"/>
      <c r="P272" s="2"/>
      <c r="Q272" s="2"/>
    </row>
    <row r="273" spans="5:17" ht="18" customHeight="1" x14ac:dyDescent="0.3">
      <c r="E273" s="2"/>
      <c r="F273" s="2"/>
      <c r="G273" s="2"/>
      <c r="N273" s="2"/>
      <c r="O273" s="2"/>
      <c r="P273" s="2"/>
      <c r="Q273" s="2"/>
    </row>
    <row r="274" spans="5:17" ht="18" customHeight="1" x14ac:dyDescent="0.3">
      <c r="E274" s="2"/>
      <c r="F274" s="2"/>
      <c r="G274" s="2"/>
      <c r="N274" s="2"/>
      <c r="O274" s="2"/>
      <c r="P274" s="2"/>
      <c r="Q274" s="2"/>
    </row>
    <row r="275" spans="5:17" ht="18" customHeight="1" x14ac:dyDescent="0.3">
      <c r="E275" s="2"/>
      <c r="F275" s="2"/>
      <c r="G275" s="2"/>
      <c r="N275" s="2"/>
      <c r="O275" s="2"/>
      <c r="P275" s="2"/>
      <c r="Q275" s="2"/>
    </row>
    <row r="276" spans="5:17" ht="18" customHeight="1" x14ac:dyDescent="0.3">
      <c r="E276" s="2"/>
      <c r="F276" s="2"/>
      <c r="G276" s="2"/>
      <c r="N276" s="2"/>
      <c r="O276" s="2"/>
      <c r="P276" s="2"/>
      <c r="Q276" s="2"/>
    </row>
    <row r="277" spans="5:17" ht="18" customHeight="1" x14ac:dyDescent="0.3">
      <c r="E277" s="2"/>
      <c r="F277" s="2"/>
      <c r="G277" s="2"/>
      <c r="N277" s="2"/>
      <c r="O277" s="2"/>
      <c r="P277" s="2"/>
      <c r="Q277" s="2"/>
    </row>
    <row r="278" spans="5:17" ht="18" customHeight="1" x14ac:dyDescent="0.3">
      <c r="E278" s="2"/>
      <c r="F278" s="2"/>
      <c r="G278" s="2"/>
      <c r="N278" s="2"/>
      <c r="O278" s="2"/>
      <c r="P278" s="2"/>
      <c r="Q278" s="2"/>
    </row>
    <row r="279" spans="5:17" ht="18" customHeight="1" x14ac:dyDescent="0.3">
      <c r="E279" s="2"/>
      <c r="F279" s="2"/>
      <c r="G279" s="2"/>
      <c r="N279" s="2"/>
      <c r="O279" s="2"/>
      <c r="P279" s="2"/>
      <c r="Q279" s="2"/>
    </row>
    <row r="280" spans="5:17" ht="18" customHeight="1" x14ac:dyDescent="0.3">
      <c r="E280" s="2"/>
      <c r="F280" s="2"/>
      <c r="G280" s="2"/>
      <c r="N280" s="2"/>
      <c r="O280" s="2"/>
      <c r="P280" s="2"/>
      <c r="Q280" s="2"/>
    </row>
    <row r="281" spans="5:17" ht="18" customHeight="1" x14ac:dyDescent="0.3">
      <c r="E281" s="2"/>
      <c r="F281" s="2"/>
      <c r="G281" s="2"/>
      <c r="N281" s="2"/>
      <c r="O281" s="2"/>
      <c r="P281" s="2"/>
      <c r="Q281" s="2"/>
    </row>
    <row r="282" spans="5:17" ht="18" customHeight="1" x14ac:dyDescent="0.3">
      <c r="E282" s="2"/>
      <c r="F282" s="2"/>
      <c r="G282" s="2"/>
      <c r="N282" s="2"/>
      <c r="O282" s="2"/>
      <c r="P282" s="2"/>
      <c r="Q282" s="2"/>
    </row>
    <row r="283" spans="5:17" ht="18" customHeight="1" x14ac:dyDescent="0.3">
      <c r="E283" s="2"/>
      <c r="F283" s="2"/>
      <c r="G283" s="2"/>
      <c r="N283" s="2"/>
      <c r="O283" s="2"/>
      <c r="P283" s="2"/>
      <c r="Q283" s="2"/>
    </row>
    <row r="284" spans="5:17" ht="18" customHeight="1" x14ac:dyDescent="0.3">
      <c r="E284" s="2"/>
      <c r="F284" s="2"/>
      <c r="G284" s="2"/>
      <c r="N284" s="2"/>
      <c r="O284" s="2"/>
      <c r="P284" s="2"/>
      <c r="Q284" s="2"/>
    </row>
    <row r="285" spans="5:17" ht="18" customHeight="1" x14ac:dyDescent="0.3">
      <c r="E285" s="2"/>
      <c r="F285" s="2"/>
      <c r="G285" s="2"/>
      <c r="N285" s="2"/>
      <c r="O285" s="2"/>
      <c r="P285" s="2"/>
      <c r="Q285" s="2"/>
    </row>
    <row r="286" spans="5:17" ht="18" customHeight="1" x14ac:dyDescent="0.3">
      <c r="E286" s="2"/>
      <c r="F286" s="2"/>
      <c r="G286" s="2"/>
      <c r="N286" s="2"/>
      <c r="O286" s="2"/>
      <c r="P286" s="2"/>
      <c r="Q286" s="2"/>
    </row>
    <row r="287" spans="5:17" ht="18" customHeight="1" x14ac:dyDescent="0.3">
      <c r="E287" s="2"/>
      <c r="F287" s="2"/>
      <c r="G287" s="2"/>
      <c r="N287" s="2"/>
      <c r="O287" s="2"/>
      <c r="P287" s="2"/>
      <c r="Q287" s="2"/>
    </row>
    <row r="288" spans="5:17" ht="18" customHeight="1" x14ac:dyDescent="0.3">
      <c r="E288" s="2"/>
      <c r="F288" s="2"/>
      <c r="G288" s="2"/>
      <c r="N288" s="2"/>
      <c r="O288" s="2"/>
      <c r="P288" s="2"/>
      <c r="Q288" s="2"/>
    </row>
    <row r="289" spans="5:17" ht="18" customHeight="1" x14ac:dyDescent="0.3">
      <c r="E289" s="2"/>
      <c r="F289" s="2"/>
      <c r="G289" s="2"/>
      <c r="N289" s="2"/>
      <c r="O289" s="2"/>
      <c r="P289" s="2"/>
      <c r="Q289" s="2"/>
    </row>
    <row r="290" spans="5:17" ht="18" customHeight="1" x14ac:dyDescent="0.3">
      <c r="E290" s="2"/>
      <c r="F290" s="2"/>
      <c r="G290" s="2"/>
      <c r="N290" s="2"/>
      <c r="O290" s="2"/>
      <c r="P290" s="2"/>
      <c r="Q290" s="2"/>
    </row>
    <row r="291" spans="5:17" ht="18" customHeight="1" x14ac:dyDescent="0.3">
      <c r="E291" s="2"/>
      <c r="F291" s="2"/>
      <c r="G291" s="2"/>
      <c r="N291" s="2"/>
      <c r="O291" s="2"/>
      <c r="P291" s="2"/>
      <c r="Q291" s="2"/>
    </row>
    <row r="292" spans="5:17" ht="18" customHeight="1" x14ac:dyDescent="0.3">
      <c r="E292" s="2"/>
      <c r="F292" s="2"/>
      <c r="G292" s="2"/>
      <c r="N292" s="2"/>
      <c r="O292" s="2"/>
      <c r="P292" s="2"/>
      <c r="Q292" s="2"/>
    </row>
    <row r="293" spans="5:17" ht="18" customHeight="1" x14ac:dyDescent="0.3">
      <c r="E293" s="2"/>
      <c r="F293" s="2"/>
      <c r="G293" s="2"/>
      <c r="N293" s="2"/>
      <c r="O293" s="2"/>
      <c r="P293" s="2"/>
      <c r="Q293" s="2"/>
    </row>
    <row r="294" spans="5:17" ht="18" customHeight="1" x14ac:dyDescent="0.3">
      <c r="E294" s="2"/>
      <c r="F294" s="2"/>
      <c r="G294" s="2"/>
      <c r="N294" s="2"/>
      <c r="O294" s="2"/>
      <c r="P294" s="2"/>
      <c r="Q294" s="2"/>
    </row>
    <row r="295" spans="5:17" ht="18" customHeight="1" x14ac:dyDescent="0.3">
      <c r="E295" s="2"/>
      <c r="F295" s="2"/>
      <c r="G295" s="2"/>
      <c r="N295" s="2"/>
      <c r="O295" s="2"/>
      <c r="P295" s="2"/>
      <c r="Q295" s="2"/>
    </row>
    <row r="296" spans="5:17" ht="18" customHeight="1" x14ac:dyDescent="0.3">
      <c r="E296" s="2"/>
      <c r="F296" s="2"/>
      <c r="G296" s="2"/>
      <c r="N296" s="2"/>
      <c r="O296" s="2"/>
      <c r="P296" s="2"/>
      <c r="Q296" s="2"/>
    </row>
    <row r="297" spans="5:17" ht="18" customHeight="1" x14ac:dyDescent="0.3">
      <c r="E297" s="2"/>
      <c r="F297" s="2"/>
      <c r="G297" s="2"/>
      <c r="N297" s="2"/>
      <c r="O297" s="2"/>
      <c r="P297" s="2"/>
      <c r="Q297" s="2"/>
    </row>
    <row r="298" spans="5:17" ht="18" customHeight="1" x14ac:dyDescent="0.3">
      <c r="E298" s="2"/>
      <c r="F298" s="2"/>
      <c r="G298" s="2"/>
      <c r="N298" s="2"/>
      <c r="O298" s="2"/>
      <c r="P298" s="2"/>
      <c r="Q298" s="2"/>
    </row>
    <row r="299" spans="5:17" ht="18" customHeight="1" x14ac:dyDescent="0.3">
      <c r="E299" s="2"/>
      <c r="F299" s="2"/>
      <c r="G299" s="2"/>
      <c r="N299" s="2"/>
      <c r="O299" s="2"/>
      <c r="P299" s="2"/>
      <c r="Q299" s="2"/>
    </row>
    <row r="300" spans="5:17" ht="18" customHeight="1" x14ac:dyDescent="0.3">
      <c r="E300" s="2"/>
      <c r="F300" s="2"/>
      <c r="G300" s="2"/>
      <c r="N300" s="2"/>
      <c r="O300" s="2"/>
      <c r="P300" s="2"/>
      <c r="Q300" s="2"/>
    </row>
    <row r="301" spans="5:17" ht="18" customHeight="1" x14ac:dyDescent="0.3">
      <c r="E301" s="2"/>
      <c r="F301" s="2"/>
      <c r="G301" s="2"/>
      <c r="N301" s="2"/>
      <c r="O301" s="2"/>
      <c r="P301" s="2"/>
      <c r="Q301" s="2"/>
    </row>
    <row r="302" spans="5:17" ht="18" customHeight="1" x14ac:dyDescent="0.3">
      <c r="E302" s="2"/>
      <c r="F302" s="2"/>
      <c r="G302" s="2"/>
      <c r="N302" s="2"/>
      <c r="O302" s="2"/>
      <c r="P302" s="2"/>
      <c r="Q302" s="2"/>
    </row>
    <row r="303" spans="5:17" ht="18" customHeight="1" x14ac:dyDescent="0.3">
      <c r="E303" s="2"/>
      <c r="F303" s="2"/>
      <c r="G303" s="2"/>
      <c r="N303" s="2"/>
      <c r="O303" s="2"/>
      <c r="P303" s="2"/>
      <c r="Q303" s="2"/>
    </row>
    <row r="304" spans="5:17" ht="18" customHeight="1" x14ac:dyDescent="0.3">
      <c r="E304" s="2"/>
      <c r="F304" s="2"/>
      <c r="G304" s="2"/>
      <c r="N304" s="2"/>
      <c r="O304" s="2"/>
      <c r="P304" s="2"/>
      <c r="Q304" s="2"/>
    </row>
    <row r="305" spans="5:17" ht="18" customHeight="1" x14ac:dyDescent="0.3">
      <c r="E305" s="2"/>
      <c r="F305" s="2"/>
      <c r="G305" s="2"/>
      <c r="N305" s="2"/>
      <c r="O305" s="2"/>
      <c r="P305" s="2"/>
      <c r="Q305" s="2"/>
    </row>
    <row r="306" spans="5:17" ht="18" customHeight="1" x14ac:dyDescent="0.3">
      <c r="E306" s="2"/>
      <c r="F306" s="2"/>
      <c r="G306" s="2"/>
      <c r="N306" s="2"/>
      <c r="O306" s="2"/>
      <c r="P306" s="2"/>
      <c r="Q306" s="2"/>
    </row>
    <row r="307" spans="5:17" ht="18" customHeight="1" x14ac:dyDescent="0.3">
      <c r="E307" s="2"/>
      <c r="F307" s="2"/>
      <c r="G307" s="2"/>
      <c r="N307" s="2"/>
      <c r="O307" s="2"/>
      <c r="P307" s="2"/>
      <c r="Q307" s="2"/>
    </row>
    <row r="308" spans="5:17" ht="18" customHeight="1" x14ac:dyDescent="0.3">
      <c r="E308" s="2"/>
      <c r="F308" s="2"/>
      <c r="G308" s="2"/>
      <c r="N308" s="2"/>
      <c r="O308" s="2"/>
      <c r="P308" s="2"/>
      <c r="Q308" s="2"/>
    </row>
    <row r="309" spans="5:17" ht="18" customHeight="1" x14ac:dyDescent="0.3">
      <c r="E309" s="2"/>
      <c r="F309" s="2"/>
      <c r="G309" s="2"/>
      <c r="N309" s="2"/>
      <c r="O309" s="2"/>
      <c r="P309" s="2"/>
      <c r="Q309" s="2"/>
    </row>
    <row r="310" spans="5:17" ht="18" customHeight="1" x14ac:dyDescent="0.3">
      <c r="E310" s="2"/>
      <c r="F310" s="2"/>
      <c r="G310" s="2"/>
      <c r="N310" s="2"/>
      <c r="O310" s="2"/>
      <c r="P310" s="2"/>
      <c r="Q310" s="2"/>
    </row>
    <row r="311" spans="5:17" ht="18" customHeight="1" x14ac:dyDescent="0.3">
      <c r="E311" s="2"/>
      <c r="F311" s="2"/>
      <c r="G311" s="2"/>
      <c r="N311" s="2"/>
      <c r="O311" s="2"/>
      <c r="P311" s="2"/>
      <c r="Q311" s="2"/>
    </row>
    <row r="312" spans="5:17" ht="18" customHeight="1" x14ac:dyDescent="0.3">
      <c r="E312" s="2"/>
      <c r="F312" s="2"/>
      <c r="G312" s="2"/>
      <c r="N312" s="2"/>
      <c r="O312" s="2"/>
      <c r="P312" s="2"/>
      <c r="Q312" s="2"/>
    </row>
    <row r="313" spans="5:17" ht="18" customHeight="1" x14ac:dyDescent="0.3">
      <c r="E313" s="2"/>
      <c r="F313" s="2"/>
      <c r="G313" s="2"/>
      <c r="N313" s="2"/>
      <c r="O313" s="2"/>
      <c r="P313" s="2"/>
      <c r="Q313" s="2"/>
    </row>
    <row r="314" spans="5:17" ht="18" customHeight="1" x14ac:dyDescent="0.3">
      <c r="E314" s="2"/>
      <c r="F314" s="2"/>
      <c r="G314" s="2"/>
      <c r="N314" s="2"/>
      <c r="O314" s="2"/>
      <c r="P314" s="2"/>
      <c r="Q314" s="2"/>
    </row>
    <row r="315" spans="5:17" ht="18" customHeight="1" x14ac:dyDescent="0.3">
      <c r="E315" s="2"/>
      <c r="F315" s="2"/>
      <c r="G315" s="2"/>
      <c r="N315" s="2"/>
      <c r="O315" s="2"/>
      <c r="P315" s="2"/>
      <c r="Q315" s="2"/>
    </row>
    <row r="316" spans="5:17" ht="18" customHeight="1" x14ac:dyDescent="0.3">
      <c r="E316" s="2"/>
      <c r="F316" s="2"/>
      <c r="G316" s="2"/>
      <c r="N316" s="2"/>
      <c r="O316" s="2"/>
      <c r="P316" s="2"/>
      <c r="Q316" s="2"/>
    </row>
    <row r="317" spans="5:17" ht="18" customHeight="1" x14ac:dyDescent="0.3">
      <c r="E317" s="2"/>
      <c r="F317" s="2"/>
      <c r="G317" s="2"/>
      <c r="N317" s="2"/>
      <c r="O317" s="2"/>
      <c r="P317" s="2"/>
      <c r="Q317" s="2"/>
    </row>
    <row r="318" spans="5:17" ht="18" customHeight="1" x14ac:dyDescent="0.3">
      <c r="E318" s="2"/>
      <c r="F318" s="2"/>
      <c r="G318" s="2"/>
      <c r="N318" s="2"/>
      <c r="O318" s="2"/>
      <c r="P318" s="2"/>
      <c r="Q318" s="2"/>
    </row>
    <row r="319" spans="5:17" ht="18" customHeight="1" x14ac:dyDescent="0.3">
      <c r="E319" s="2"/>
      <c r="F319" s="2"/>
      <c r="G319" s="2"/>
      <c r="N319" s="2"/>
      <c r="O319" s="2"/>
      <c r="P319" s="2"/>
      <c r="Q319" s="2"/>
    </row>
    <row r="320" spans="5:17" ht="18" customHeight="1" x14ac:dyDescent="0.3">
      <c r="E320" s="2"/>
      <c r="F320" s="2"/>
      <c r="G320" s="2"/>
      <c r="N320" s="2"/>
      <c r="O320" s="2"/>
      <c r="P320" s="2"/>
      <c r="Q320" s="2"/>
    </row>
    <row r="321" spans="5:17" x14ac:dyDescent="0.3">
      <c r="E321" s="2"/>
      <c r="F321" s="2"/>
      <c r="G321" s="2"/>
      <c r="N321" s="2"/>
      <c r="O321" s="2"/>
      <c r="P321" s="2"/>
      <c r="Q321" s="2"/>
    </row>
    <row r="322" spans="5:17" x14ac:dyDescent="0.3">
      <c r="E322" s="2"/>
      <c r="F322" s="2"/>
      <c r="G322" s="2"/>
      <c r="N322" s="2"/>
      <c r="O322" s="2"/>
      <c r="P322" s="2"/>
      <c r="Q322" s="2"/>
    </row>
    <row r="323" spans="5:17" x14ac:dyDescent="0.3">
      <c r="E323" s="2"/>
      <c r="F323" s="2"/>
      <c r="G323" s="2"/>
      <c r="N323" s="2"/>
      <c r="O323" s="2"/>
      <c r="P323" s="2"/>
      <c r="Q323" s="2"/>
    </row>
    <row r="324" spans="5:17" x14ac:dyDescent="0.3">
      <c r="E324" s="2"/>
      <c r="F324" s="2"/>
      <c r="G324" s="2"/>
      <c r="N324" s="2"/>
      <c r="O324" s="2"/>
      <c r="P324" s="2"/>
      <c r="Q324" s="2"/>
    </row>
    <row r="325" spans="5:17" x14ac:dyDescent="0.3">
      <c r="E325" s="2"/>
      <c r="F325" s="2"/>
      <c r="G325" s="2"/>
      <c r="N325" s="2"/>
      <c r="O325" s="2"/>
      <c r="P325" s="2"/>
      <c r="Q325" s="2"/>
    </row>
    <row r="326" spans="5:17" x14ac:dyDescent="0.3">
      <c r="E326" s="2"/>
      <c r="F326" s="2"/>
      <c r="G326" s="2"/>
      <c r="N326" s="2"/>
      <c r="O326" s="2"/>
      <c r="P326" s="2"/>
      <c r="Q326" s="2"/>
    </row>
    <row r="327" spans="5:17" x14ac:dyDescent="0.3">
      <c r="E327" s="2"/>
      <c r="F327" s="2"/>
      <c r="G327" s="2"/>
      <c r="N327" s="2"/>
      <c r="O327" s="2"/>
      <c r="P327" s="2"/>
      <c r="Q327" s="2"/>
    </row>
    <row r="328" spans="5:17" x14ac:dyDescent="0.3">
      <c r="E328" s="2"/>
      <c r="F328" s="2"/>
      <c r="G328" s="2"/>
      <c r="N328" s="2"/>
      <c r="O328" s="2"/>
      <c r="P328" s="2"/>
      <c r="Q328" s="2"/>
    </row>
    <row r="329" spans="5:17" x14ac:dyDescent="0.3">
      <c r="E329" s="2"/>
      <c r="F329" s="2"/>
      <c r="G329" s="2"/>
      <c r="N329" s="2"/>
      <c r="O329" s="2"/>
      <c r="P329" s="2"/>
      <c r="Q329" s="2"/>
    </row>
    <row r="330" spans="5:17" x14ac:dyDescent="0.3">
      <c r="E330" s="2"/>
      <c r="F330" s="2"/>
      <c r="G330" s="2"/>
      <c r="N330" s="2"/>
      <c r="O330" s="2"/>
      <c r="P330" s="2"/>
      <c r="Q330" s="2"/>
    </row>
    <row r="331" spans="5:17" x14ac:dyDescent="0.3">
      <c r="E331" s="2"/>
      <c r="F331" s="2"/>
      <c r="G331" s="2"/>
      <c r="N331" s="2"/>
      <c r="O331" s="2"/>
      <c r="P331" s="2"/>
      <c r="Q331" s="2"/>
    </row>
    <row r="332" spans="5:17" x14ac:dyDescent="0.3">
      <c r="E332" s="2"/>
      <c r="F332" s="2"/>
      <c r="G332" s="2"/>
      <c r="N332" s="2"/>
      <c r="O332" s="2"/>
      <c r="P332" s="2"/>
      <c r="Q332" s="2"/>
    </row>
    <row r="333" spans="5:17" x14ac:dyDescent="0.3">
      <c r="E333" s="2"/>
      <c r="F333" s="2"/>
      <c r="G333" s="2"/>
      <c r="N333" s="2"/>
      <c r="O333" s="2"/>
      <c r="P333" s="2"/>
      <c r="Q333" s="2"/>
    </row>
    <row r="334" spans="5:17" x14ac:dyDescent="0.3">
      <c r="E334" s="2"/>
      <c r="F334" s="2"/>
      <c r="G334" s="2"/>
      <c r="N334" s="2"/>
      <c r="O334" s="2"/>
      <c r="P334" s="2"/>
      <c r="Q334" s="2"/>
    </row>
    <row r="335" spans="5:17" x14ac:dyDescent="0.3">
      <c r="E335" s="2"/>
      <c r="F335" s="2"/>
      <c r="G335" s="2"/>
      <c r="N335" s="2"/>
      <c r="O335" s="2"/>
      <c r="P335" s="2"/>
      <c r="Q335" s="2"/>
    </row>
    <row r="336" spans="5:17" x14ac:dyDescent="0.3">
      <c r="E336" s="2"/>
      <c r="F336" s="2"/>
      <c r="G336" s="2"/>
      <c r="N336" s="2"/>
      <c r="O336" s="2"/>
      <c r="P336" s="2"/>
      <c r="Q336" s="2"/>
    </row>
    <row r="337" spans="5:17" x14ac:dyDescent="0.3">
      <c r="E337" s="2"/>
      <c r="F337" s="2"/>
      <c r="G337" s="2"/>
      <c r="N337" s="2"/>
      <c r="O337" s="2"/>
      <c r="P337" s="2"/>
      <c r="Q337" s="2"/>
    </row>
    <row r="338" spans="5:17" x14ac:dyDescent="0.3">
      <c r="E338" s="2"/>
      <c r="F338" s="2"/>
      <c r="G338" s="2"/>
      <c r="N338" s="2"/>
      <c r="O338" s="2"/>
      <c r="P338" s="2"/>
      <c r="Q338" s="2"/>
    </row>
    <row r="339" spans="5:17" x14ac:dyDescent="0.3">
      <c r="E339" s="2"/>
      <c r="F339" s="2"/>
      <c r="G339" s="2"/>
      <c r="N339" s="2"/>
      <c r="O339" s="2"/>
      <c r="P339" s="2"/>
      <c r="Q339" s="2"/>
    </row>
    <row r="340" spans="5:17" x14ac:dyDescent="0.3">
      <c r="E340" s="2"/>
      <c r="F340" s="2"/>
      <c r="G340" s="2"/>
      <c r="N340" s="2"/>
      <c r="O340" s="2"/>
      <c r="P340" s="2"/>
      <c r="Q340" s="2"/>
    </row>
    <row r="341" spans="5:17" x14ac:dyDescent="0.3">
      <c r="E341" s="2"/>
      <c r="F341" s="2"/>
      <c r="G341" s="2"/>
      <c r="N341" s="2"/>
      <c r="O341" s="2"/>
      <c r="P341" s="2"/>
      <c r="Q341" s="2"/>
    </row>
    <row r="342" spans="5:17" x14ac:dyDescent="0.3">
      <c r="E342" s="2"/>
      <c r="F342" s="2"/>
      <c r="G342" s="2"/>
      <c r="N342" s="2"/>
      <c r="O342" s="2"/>
      <c r="P342" s="2"/>
      <c r="Q342" s="2"/>
    </row>
    <row r="343" spans="5:17" x14ac:dyDescent="0.3">
      <c r="E343" s="2"/>
      <c r="F343" s="2"/>
      <c r="G343" s="2"/>
      <c r="N343" s="2"/>
      <c r="O343" s="2"/>
      <c r="P343" s="2"/>
      <c r="Q343" s="2"/>
    </row>
    <row r="344" spans="5:17" x14ac:dyDescent="0.3">
      <c r="E344" s="2"/>
      <c r="F344" s="2"/>
      <c r="G344" s="2"/>
      <c r="N344" s="2"/>
      <c r="O344" s="2"/>
      <c r="P344" s="2"/>
      <c r="Q344" s="2"/>
    </row>
    <row r="345" spans="5:17" x14ac:dyDescent="0.3">
      <c r="E345" s="2"/>
      <c r="F345" s="2"/>
      <c r="G345" s="2"/>
      <c r="N345" s="2"/>
      <c r="O345" s="2"/>
      <c r="P345" s="2"/>
      <c r="Q345" s="2"/>
    </row>
    <row r="346" spans="5:17" x14ac:dyDescent="0.3">
      <c r="E346" s="2"/>
      <c r="F346" s="2"/>
      <c r="G346" s="2"/>
      <c r="N346" s="2"/>
      <c r="O346" s="2"/>
      <c r="P346" s="2"/>
      <c r="Q346" s="2"/>
    </row>
    <row r="347" spans="5:17" x14ac:dyDescent="0.3">
      <c r="E347" s="2"/>
      <c r="F347" s="2"/>
      <c r="G347" s="2"/>
      <c r="N347" s="2"/>
      <c r="O347" s="2"/>
      <c r="P347" s="2"/>
      <c r="Q347" s="2"/>
    </row>
    <row r="348" spans="5:17" x14ac:dyDescent="0.3">
      <c r="E348" s="2"/>
      <c r="F348" s="2"/>
      <c r="G348" s="2"/>
      <c r="N348" s="2"/>
      <c r="O348" s="2"/>
      <c r="P348" s="2"/>
      <c r="Q348" s="2"/>
    </row>
    <row r="349" spans="5:17" x14ac:dyDescent="0.3">
      <c r="E349" s="2"/>
      <c r="F349" s="2"/>
      <c r="G349" s="2"/>
      <c r="N349" s="2"/>
      <c r="O349" s="2"/>
      <c r="P349" s="2"/>
      <c r="Q349" s="2"/>
    </row>
    <row r="350" spans="5:17" x14ac:dyDescent="0.3">
      <c r="E350" s="2"/>
      <c r="F350" s="2"/>
      <c r="G350" s="2"/>
      <c r="N350" s="2"/>
      <c r="O350" s="2"/>
      <c r="P350" s="2"/>
      <c r="Q350" s="2"/>
    </row>
    <row r="351" spans="5:17" x14ac:dyDescent="0.3">
      <c r="E351" s="2"/>
      <c r="F351" s="2"/>
      <c r="G351" s="2"/>
      <c r="N351" s="2"/>
      <c r="O351" s="2"/>
      <c r="P351" s="2"/>
      <c r="Q351" s="2"/>
    </row>
    <row r="352" spans="5:17" x14ac:dyDescent="0.3">
      <c r="E352" s="2"/>
      <c r="F352" s="2"/>
      <c r="G352" s="2"/>
      <c r="N352" s="2"/>
      <c r="O352" s="2"/>
      <c r="P352" s="2"/>
      <c r="Q352" s="2"/>
    </row>
    <row r="353" spans="5:17" x14ac:dyDescent="0.3">
      <c r="E353" s="2"/>
      <c r="F353" s="2"/>
      <c r="G353" s="2"/>
      <c r="N353" s="2"/>
      <c r="O353" s="2"/>
      <c r="P353" s="2"/>
      <c r="Q353" s="2"/>
    </row>
    <row r="354" spans="5:17" x14ac:dyDescent="0.3">
      <c r="E354" s="2"/>
      <c r="F354" s="2"/>
      <c r="G354" s="2"/>
      <c r="N354" s="2"/>
      <c r="O354" s="2"/>
      <c r="P354" s="2"/>
      <c r="Q354" s="2"/>
    </row>
    <row r="355" spans="5:17" x14ac:dyDescent="0.3">
      <c r="E355" s="2"/>
      <c r="F355" s="2"/>
      <c r="G355" s="2"/>
      <c r="N355" s="2"/>
      <c r="O355" s="2"/>
      <c r="P355" s="2"/>
      <c r="Q355" s="2"/>
    </row>
    <row r="356" spans="5:17" x14ac:dyDescent="0.3">
      <c r="E356" s="2"/>
      <c r="F356" s="2"/>
      <c r="G356" s="2"/>
      <c r="N356" s="2"/>
      <c r="O356" s="2"/>
      <c r="P356" s="2"/>
      <c r="Q356" s="2"/>
    </row>
    <row r="357" spans="5:17" x14ac:dyDescent="0.3">
      <c r="E357" s="2"/>
      <c r="F357" s="2"/>
      <c r="G357" s="2"/>
      <c r="N357" s="2"/>
      <c r="O357" s="2"/>
      <c r="P357" s="2"/>
      <c r="Q357" s="2"/>
    </row>
    <row r="358" spans="5:17" x14ac:dyDescent="0.3">
      <c r="E358" s="2"/>
      <c r="F358" s="2"/>
      <c r="G358" s="2"/>
      <c r="N358" s="2"/>
      <c r="O358" s="2"/>
      <c r="P358" s="2"/>
      <c r="Q358" s="2"/>
    </row>
    <row r="359" spans="5:17" x14ac:dyDescent="0.3">
      <c r="E359" s="2"/>
      <c r="F359" s="2"/>
      <c r="G359" s="2"/>
      <c r="N359" s="2"/>
      <c r="O359" s="2"/>
      <c r="P359" s="2"/>
      <c r="Q359" s="2"/>
    </row>
    <row r="360" spans="5:17" x14ac:dyDescent="0.3">
      <c r="E360" s="2"/>
      <c r="F360" s="2"/>
      <c r="G360" s="2"/>
      <c r="N360" s="2"/>
      <c r="O360" s="2"/>
      <c r="P360" s="2"/>
      <c r="Q360" s="2"/>
    </row>
    <row r="361" spans="5:17" x14ac:dyDescent="0.3">
      <c r="E361" s="2"/>
      <c r="F361" s="2"/>
      <c r="G361" s="2"/>
      <c r="N361" s="2"/>
      <c r="O361" s="2"/>
      <c r="P361" s="2"/>
      <c r="Q361" s="2"/>
    </row>
    <row r="362" spans="5:17" x14ac:dyDescent="0.3">
      <c r="E362" s="2"/>
      <c r="F362" s="2"/>
      <c r="G362" s="2"/>
      <c r="N362" s="2"/>
      <c r="O362" s="2"/>
      <c r="P362" s="2"/>
      <c r="Q362" s="2"/>
    </row>
    <row r="363" spans="5:17" x14ac:dyDescent="0.3">
      <c r="E363" s="2"/>
      <c r="F363" s="2"/>
      <c r="G363" s="2"/>
      <c r="N363" s="2"/>
      <c r="O363" s="2"/>
      <c r="P363" s="2"/>
      <c r="Q363" s="2"/>
    </row>
    <row r="364" spans="5:17" x14ac:dyDescent="0.3">
      <c r="E364" s="2"/>
      <c r="F364" s="2"/>
      <c r="G364" s="2"/>
      <c r="N364" s="2"/>
      <c r="O364" s="2"/>
      <c r="P364" s="2"/>
      <c r="Q364" s="2"/>
    </row>
    <row r="365" spans="5:17" x14ac:dyDescent="0.3">
      <c r="E365" s="2"/>
      <c r="F365" s="2"/>
      <c r="G365" s="2"/>
      <c r="N365" s="2"/>
      <c r="O365" s="2"/>
      <c r="P365" s="2"/>
      <c r="Q365" s="2"/>
    </row>
    <row r="366" spans="5:17" x14ac:dyDescent="0.3">
      <c r="E366" s="2"/>
      <c r="F366" s="2"/>
      <c r="G366" s="2"/>
      <c r="N366" s="2"/>
      <c r="O366" s="2"/>
      <c r="P366" s="2"/>
      <c r="Q366" s="2"/>
    </row>
    <row r="367" spans="5:17" x14ac:dyDescent="0.3">
      <c r="E367" s="2"/>
      <c r="F367" s="2"/>
      <c r="G367" s="2"/>
      <c r="N367" s="2"/>
      <c r="O367" s="2"/>
      <c r="P367" s="2"/>
      <c r="Q367" s="2"/>
    </row>
    <row r="368" spans="5:17" x14ac:dyDescent="0.3">
      <c r="E368" s="2"/>
      <c r="F368" s="2"/>
      <c r="G368" s="2"/>
      <c r="N368" s="2"/>
      <c r="O368" s="2"/>
      <c r="P368" s="2"/>
      <c r="Q368" s="2"/>
    </row>
    <row r="369" spans="5:17" x14ac:dyDescent="0.3">
      <c r="E369" s="2"/>
      <c r="F369" s="2"/>
      <c r="G369" s="2"/>
      <c r="N369" s="2"/>
      <c r="O369" s="2"/>
      <c r="P369" s="2"/>
      <c r="Q369" s="2"/>
    </row>
    <row r="370" spans="5:17" x14ac:dyDescent="0.3">
      <c r="E370" s="2"/>
      <c r="F370" s="2"/>
      <c r="G370" s="2"/>
      <c r="N370" s="2"/>
      <c r="O370" s="2"/>
      <c r="P370" s="2"/>
      <c r="Q370" s="2"/>
    </row>
    <row r="371" spans="5:17" x14ac:dyDescent="0.3">
      <c r="E371" s="2"/>
      <c r="F371" s="2"/>
      <c r="G371" s="2"/>
      <c r="N371" s="2"/>
      <c r="O371" s="2"/>
      <c r="P371" s="2"/>
      <c r="Q371" s="2"/>
    </row>
    <row r="372" spans="5:17" x14ac:dyDescent="0.3">
      <c r="E372" s="2"/>
      <c r="F372" s="2"/>
      <c r="G372" s="2"/>
      <c r="N372" s="2"/>
      <c r="O372" s="2"/>
      <c r="P372" s="2"/>
      <c r="Q372" s="2"/>
    </row>
    <row r="373" spans="5:17" x14ac:dyDescent="0.3">
      <c r="E373" s="2"/>
      <c r="F373" s="2"/>
      <c r="G373" s="2"/>
      <c r="N373" s="2"/>
      <c r="O373" s="2"/>
      <c r="P373" s="2"/>
      <c r="Q373" s="2"/>
    </row>
    <row r="374" spans="5:17" x14ac:dyDescent="0.3">
      <c r="E374" s="2"/>
      <c r="F374" s="2"/>
      <c r="G374" s="2"/>
      <c r="N374" s="2"/>
      <c r="O374" s="2"/>
      <c r="P374" s="2"/>
      <c r="Q374" s="2"/>
    </row>
    <row r="375" spans="5:17" x14ac:dyDescent="0.3">
      <c r="E375" s="2"/>
      <c r="F375" s="2"/>
      <c r="G375" s="2"/>
      <c r="N375" s="2"/>
      <c r="O375" s="2"/>
      <c r="P375" s="2"/>
      <c r="Q375" s="2"/>
    </row>
    <row r="376" spans="5:17" x14ac:dyDescent="0.3">
      <c r="E376" s="2"/>
      <c r="F376" s="2"/>
      <c r="G376" s="2"/>
      <c r="N376" s="2"/>
      <c r="O376" s="2"/>
      <c r="P376" s="2"/>
      <c r="Q376" s="2"/>
    </row>
    <row r="377" spans="5:17" x14ac:dyDescent="0.3">
      <c r="E377" s="2"/>
      <c r="F377" s="2"/>
      <c r="G377" s="2"/>
      <c r="N377" s="2"/>
      <c r="O377" s="2"/>
      <c r="P377" s="2"/>
      <c r="Q377" s="2"/>
    </row>
    <row r="378" spans="5:17" x14ac:dyDescent="0.3">
      <c r="E378" s="2"/>
      <c r="F378" s="2"/>
      <c r="G378" s="2"/>
      <c r="N378" s="2"/>
      <c r="O378" s="2"/>
      <c r="P378" s="2"/>
      <c r="Q378" s="2"/>
    </row>
    <row r="379" spans="5:17" x14ac:dyDescent="0.3">
      <c r="E379" s="2"/>
      <c r="F379" s="2"/>
      <c r="G379" s="2"/>
      <c r="N379" s="2"/>
      <c r="O379" s="2"/>
      <c r="P379" s="2"/>
      <c r="Q379" s="2"/>
    </row>
    <row r="380" spans="5:17" x14ac:dyDescent="0.3">
      <c r="E380" s="2"/>
      <c r="F380" s="2"/>
      <c r="G380" s="2"/>
      <c r="N380" s="2"/>
      <c r="O380" s="2"/>
      <c r="P380" s="2"/>
      <c r="Q380" s="2"/>
    </row>
    <row r="381" spans="5:17" x14ac:dyDescent="0.3">
      <c r="E381" s="2"/>
      <c r="F381" s="2"/>
      <c r="G381" s="2"/>
      <c r="N381" s="2"/>
      <c r="O381" s="2"/>
      <c r="P381" s="2"/>
      <c r="Q381" s="2"/>
    </row>
    <row r="382" spans="5:17" x14ac:dyDescent="0.3">
      <c r="E382" s="2"/>
      <c r="F382" s="2"/>
      <c r="G382" s="2"/>
      <c r="N382" s="2"/>
      <c r="O382" s="2"/>
      <c r="P382" s="2"/>
      <c r="Q382" s="2"/>
    </row>
    <row r="383" spans="5:17" x14ac:dyDescent="0.3">
      <c r="E383" s="2"/>
      <c r="F383" s="2"/>
      <c r="G383" s="2"/>
      <c r="N383" s="2"/>
      <c r="O383" s="2"/>
      <c r="P383" s="2"/>
      <c r="Q383" s="2"/>
    </row>
    <row r="384" spans="5:17" x14ac:dyDescent="0.3">
      <c r="E384" s="2"/>
      <c r="F384" s="2"/>
      <c r="G384" s="2"/>
      <c r="N384" s="2"/>
      <c r="O384" s="2"/>
      <c r="P384" s="2"/>
      <c r="Q384" s="2"/>
    </row>
    <row r="385" spans="5:17" x14ac:dyDescent="0.3">
      <c r="E385" s="2"/>
      <c r="F385" s="2"/>
      <c r="G385" s="2"/>
      <c r="N385" s="2"/>
      <c r="O385" s="2"/>
      <c r="P385" s="2"/>
      <c r="Q385" s="2"/>
    </row>
    <row r="386" spans="5:17" x14ac:dyDescent="0.3">
      <c r="E386" s="2"/>
      <c r="F386" s="2"/>
      <c r="G386" s="2"/>
      <c r="N386" s="2"/>
      <c r="O386" s="2"/>
      <c r="P386" s="2"/>
      <c r="Q386" s="2"/>
    </row>
    <row r="387" spans="5:17" x14ac:dyDescent="0.3">
      <c r="E387" s="2"/>
      <c r="F387" s="2"/>
      <c r="G387" s="2"/>
      <c r="N387" s="2"/>
      <c r="O387" s="2"/>
      <c r="P387" s="2"/>
      <c r="Q387" s="2"/>
    </row>
    <row r="388" spans="5:17" x14ac:dyDescent="0.3">
      <c r="E388" s="2"/>
      <c r="F388" s="2"/>
      <c r="G388" s="2"/>
      <c r="N388" s="2"/>
      <c r="O388" s="2"/>
      <c r="P388" s="2"/>
      <c r="Q388" s="2"/>
    </row>
    <row r="389" spans="5:17" x14ac:dyDescent="0.3">
      <c r="E389" s="2"/>
      <c r="F389" s="2"/>
      <c r="G389" s="2"/>
      <c r="N389" s="2"/>
      <c r="O389" s="2"/>
      <c r="P389" s="2"/>
      <c r="Q389" s="2"/>
    </row>
    <row r="390" spans="5:17" x14ac:dyDescent="0.3">
      <c r="E390" s="2"/>
      <c r="F390" s="2"/>
      <c r="G390" s="2"/>
      <c r="N390" s="2"/>
      <c r="O390" s="2"/>
      <c r="P390" s="2"/>
      <c r="Q390" s="2"/>
    </row>
    <row r="391" spans="5:17" x14ac:dyDescent="0.3">
      <c r="E391" s="2"/>
      <c r="F391" s="2"/>
      <c r="G391" s="2"/>
      <c r="N391" s="2"/>
      <c r="O391" s="2"/>
      <c r="P391" s="2"/>
      <c r="Q391" s="2"/>
    </row>
    <row r="392" spans="5:17" x14ac:dyDescent="0.3">
      <c r="E392" s="2"/>
      <c r="F392" s="2"/>
      <c r="G392" s="2"/>
      <c r="N392" s="2"/>
      <c r="O392" s="2"/>
      <c r="P392" s="2"/>
      <c r="Q392" s="2"/>
    </row>
    <row r="393" spans="5:17" x14ac:dyDescent="0.3">
      <c r="E393" s="2"/>
      <c r="F393" s="2"/>
      <c r="G393" s="2"/>
      <c r="N393" s="2"/>
      <c r="O393" s="2"/>
      <c r="P393" s="2"/>
      <c r="Q393" s="2"/>
    </row>
    <row r="394" spans="5:17" x14ac:dyDescent="0.3">
      <c r="E394" s="2"/>
      <c r="F394" s="2"/>
      <c r="G394" s="2"/>
      <c r="N394" s="2"/>
      <c r="O394" s="2"/>
      <c r="P394" s="2"/>
      <c r="Q394" s="2"/>
    </row>
    <row r="395" spans="5:17" x14ac:dyDescent="0.3">
      <c r="E395" s="2"/>
      <c r="F395" s="2"/>
      <c r="G395" s="2"/>
      <c r="N395" s="2"/>
      <c r="O395" s="2"/>
      <c r="P395" s="2"/>
      <c r="Q395" s="2"/>
    </row>
    <row r="396" spans="5:17" x14ac:dyDescent="0.3">
      <c r="E396" s="2"/>
      <c r="F396" s="2"/>
      <c r="G396" s="2"/>
      <c r="N396" s="2"/>
      <c r="O396" s="2"/>
      <c r="P396" s="2"/>
      <c r="Q396" s="2"/>
    </row>
    <row r="397" spans="5:17" x14ac:dyDescent="0.3">
      <c r="E397" s="2"/>
      <c r="F397" s="2"/>
      <c r="G397" s="2"/>
      <c r="N397" s="2"/>
      <c r="O397" s="2"/>
      <c r="P397" s="2"/>
      <c r="Q397" s="2"/>
    </row>
    <row r="398" spans="5:17" x14ac:dyDescent="0.3">
      <c r="E398" s="2"/>
      <c r="F398" s="2"/>
      <c r="G398" s="2"/>
      <c r="N398" s="2"/>
      <c r="O398" s="2"/>
      <c r="P398" s="2"/>
      <c r="Q398" s="2"/>
    </row>
    <row r="399" spans="5:17" x14ac:dyDescent="0.3">
      <c r="E399" s="2"/>
      <c r="F399" s="2"/>
      <c r="G399" s="2"/>
      <c r="N399" s="2"/>
      <c r="O399" s="2"/>
      <c r="P399" s="2"/>
      <c r="Q399" s="2"/>
    </row>
    <row r="400" spans="5:17" x14ac:dyDescent="0.3">
      <c r="E400" s="2"/>
      <c r="F400" s="2"/>
      <c r="G400" s="2"/>
      <c r="N400" s="2"/>
      <c r="O400" s="2"/>
      <c r="P400" s="2"/>
      <c r="Q400" s="2"/>
    </row>
    <row r="401" spans="5:17" x14ac:dyDescent="0.3">
      <c r="E401" s="2"/>
      <c r="F401" s="2"/>
      <c r="G401" s="2"/>
      <c r="N401" s="2"/>
      <c r="O401" s="2"/>
      <c r="P401" s="2"/>
      <c r="Q401" s="2"/>
    </row>
    <row r="402" spans="5:17" x14ac:dyDescent="0.3">
      <c r="E402" s="2"/>
      <c r="F402" s="2"/>
      <c r="G402" s="2"/>
      <c r="N402" s="2"/>
      <c r="O402" s="2"/>
      <c r="P402" s="2"/>
      <c r="Q402" s="2"/>
    </row>
    <row r="403" spans="5:17" x14ac:dyDescent="0.3">
      <c r="E403" s="2"/>
      <c r="F403" s="2"/>
      <c r="G403" s="2"/>
      <c r="N403" s="2"/>
      <c r="O403" s="2"/>
      <c r="P403" s="2"/>
      <c r="Q403" s="2"/>
    </row>
    <row r="404" spans="5:17" x14ac:dyDescent="0.3">
      <c r="E404" s="2"/>
      <c r="F404" s="2"/>
      <c r="G404" s="2"/>
      <c r="N404" s="2"/>
      <c r="O404" s="2"/>
      <c r="P404" s="2"/>
      <c r="Q404" s="2"/>
    </row>
    <row r="405" spans="5:17" x14ac:dyDescent="0.3">
      <c r="E405" s="2"/>
      <c r="F405" s="2"/>
      <c r="G405" s="2"/>
      <c r="N405" s="2"/>
      <c r="O405" s="2"/>
      <c r="P405" s="2"/>
      <c r="Q405" s="2"/>
    </row>
    <row r="406" spans="5:17" x14ac:dyDescent="0.3">
      <c r="E406" s="2"/>
      <c r="F406" s="2"/>
      <c r="G406" s="2"/>
      <c r="N406" s="2"/>
      <c r="O406" s="2"/>
      <c r="P406" s="2"/>
      <c r="Q406" s="2"/>
    </row>
    <row r="407" spans="5:17" x14ac:dyDescent="0.3">
      <c r="E407" s="2"/>
      <c r="F407" s="2"/>
      <c r="G407" s="2"/>
      <c r="N407" s="2"/>
      <c r="O407" s="2"/>
      <c r="P407" s="2"/>
      <c r="Q407" s="2"/>
    </row>
    <row r="408" spans="5:17" x14ac:dyDescent="0.3">
      <c r="E408" s="2"/>
      <c r="F408" s="2"/>
      <c r="G408" s="2"/>
      <c r="N408" s="2"/>
      <c r="O408" s="2"/>
      <c r="P408" s="2"/>
      <c r="Q408" s="2"/>
    </row>
    <row r="409" spans="5:17" x14ac:dyDescent="0.3">
      <c r="E409" s="2"/>
      <c r="F409" s="2"/>
      <c r="G409" s="2"/>
      <c r="N409" s="2"/>
      <c r="O409" s="2"/>
      <c r="P409" s="2"/>
      <c r="Q409" s="2"/>
    </row>
    <row r="410" spans="5:17" x14ac:dyDescent="0.3">
      <c r="E410" s="2"/>
      <c r="F410" s="2"/>
      <c r="G410" s="2"/>
      <c r="N410" s="2"/>
      <c r="O410" s="2"/>
      <c r="P410" s="2"/>
      <c r="Q410" s="2"/>
    </row>
    <row r="411" spans="5:17" x14ac:dyDescent="0.3">
      <c r="E411" s="2"/>
      <c r="F411" s="2"/>
      <c r="G411" s="2"/>
      <c r="N411" s="2"/>
      <c r="O411" s="2"/>
      <c r="P411" s="2"/>
      <c r="Q411" s="2"/>
    </row>
    <row r="412" spans="5:17" x14ac:dyDescent="0.3">
      <c r="E412" s="2"/>
      <c r="F412" s="2"/>
      <c r="G412" s="2"/>
      <c r="N412" s="2"/>
      <c r="O412" s="2"/>
      <c r="P412" s="2"/>
      <c r="Q412" s="2"/>
    </row>
    <row r="413" spans="5:17" x14ac:dyDescent="0.3">
      <c r="E413" s="2"/>
      <c r="F413" s="2"/>
      <c r="G413" s="2"/>
      <c r="N413" s="2"/>
      <c r="O413" s="2"/>
      <c r="P413" s="2"/>
      <c r="Q413" s="2"/>
    </row>
    <row r="414" spans="5:17" x14ac:dyDescent="0.3">
      <c r="E414" s="2"/>
      <c r="F414" s="2"/>
      <c r="G414" s="2"/>
      <c r="N414" s="2"/>
      <c r="O414" s="2"/>
      <c r="P414" s="2"/>
      <c r="Q414" s="2"/>
    </row>
    <row r="415" spans="5:17" x14ac:dyDescent="0.3">
      <c r="E415" s="2"/>
      <c r="F415" s="2"/>
      <c r="G415" s="2"/>
      <c r="N415" s="2"/>
      <c r="O415" s="2"/>
      <c r="P415" s="2"/>
      <c r="Q415" s="2"/>
    </row>
    <row r="416" spans="5:17" x14ac:dyDescent="0.3">
      <c r="E416" s="2"/>
      <c r="F416" s="2"/>
      <c r="G416" s="2"/>
      <c r="N416" s="2"/>
      <c r="O416" s="2"/>
      <c r="P416" s="2"/>
      <c r="Q416" s="2"/>
    </row>
    <row r="417" spans="5:17" x14ac:dyDescent="0.3">
      <c r="E417" s="2"/>
      <c r="F417" s="2"/>
      <c r="G417" s="2"/>
      <c r="N417" s="2"/>
      <c r="O417" s="2"/>
      <c r="P417" s="2"/>
      <c r="Q417" s="2"/>
    </row>
    <row r="418" spans="5:17" x14ac:dyDescent="0.3">
      <c r="E418" s="2"/>
      <c r="F418" s="2"/>
      <c r="G418" s="2"/>
      <c r="N418" s="2"/>
      <c r="O418" s="2"/>
      <c r="P418" s="2"/>
      <c r="Q418" s="2"/>
    </row>
    <row r="419" spans="5:17" x14ac:dyDescent="0.3">
      <c r="E419" s="2"/>
      <c r="F419" s="2"/>
      <c r="G419" s="2"/>
      <c r="N419" s="2"/>
      <c r="O419" s="2"/>
      <c r="P419" s="2"/>
      <c r="Q419" s="2"/>
    </row>
    <row r="420" spans="5:17" x14ac:dyDescent="0.3">
      <c r="E420" s="2"/>
      <c r="F420" s="2"/>
      <c r="G420" s="2"/>
      <c r="N420" s="2"/>
      <c r="O420" s="2"/>
      <c r="P420" s="2"/>
      <c r="Q420" s="2"/>
    </row>
    <row r="421" spans="5:17" x14ac:dyDescent="0.3">
      <c r="E421" s="2"/>
      <c r="F421" s="2"/>
      <c r="G421" s="2"/>
      <c r="N421" s="2"/>
      <c r="O421" s="2"/>
      <c r="P421" s="2"/>
      <c r="Q421" s="2"/>
    </row>
    <row r="422" spans="5:17" x14ac:dyDescent="0.3">
      <c r="E422" s="2"/>
      <c r="F422" s="2"/>
      <c r="G422" s="2"/>
      <c r="N422" s="2"/>
      <c r="O422" s="2"/>
      <c r="P422" s="2"/>
      <c r="Q422" s="2"/>
    </row>
    <row r="423" spans="5:17" x14ac:dyDescent="0.3">
      <c r="E423" s="2"/>
      <c r="F423" s="2"/>
      <c r="G423" s="2"/>
      <c r="N423" s="2"/>
      <c r="O423" s="2"/>
      <c r="P423" s="2"/>
      <c r="Q423" s="2"/>
    </row>
    <row r="424" spans="5:17" x14ac:dyDescent="0.3">
      <c r="E424" s="2"/>
      <c r="F424" s="2"/>
      <c r="G424" s="2"/>
      <c r="N424" s="2"/>
      <c r="O424" s="2"/>
      <c r="P424" s="2"/>
      <c r="Q424" s="2"/>
    </row>
    <row r="425" spans="5:17" x14ac:dyDescent="0.3">
      <c r="E425" s="2"/>
      <c r="F425" s="2"/>
      <c r="G425" s="2"/>
      <c r="N425" s="2"/>
      <c r="O425" s="2"/>
      <c r="P425" s="2"/>
      <c r="Q425" s="2"/>
    </row>
    <row r="426" spans="5:17" x14ac:dyDescent="0.3">
      <c r="E426" s="2"/>
      <c r="F426" s="2"/>
      <c r="G426" s="2"/>
      <c r="N426" s="2"/>
      <c r="O426" s="2"/>
      <c r="P426" s="2"/>
      <c r="Q426" s="2"/>
    </row>
    <row r="427" spans="5:17" x14ac:dyDescent="0.3">
      <c r="E427" s="2"/>
      <c r="F427" s="2"/>
      <c r="G427" s="2"/>
      <c r="N427" s="2"/>
      <c r="O427" s="2"/>
      <c r="P427" s="2"/>
      <c r="Q427" s="2"/>
    </row>
    <row r="428" spans="5:17" x14ac:dyDescent="0.3">
      <c r="E428" s="2"/>
      <c r="F428" s="2"/>
      <c r="G428" s="2"/>
      <c r="N428" s="2"/>
      <c r="O428" s="2"/>
      <c r="P428" s="2"/>
      <c r="Q428" s="2"/>
    </row>
    <row r="429" spans="5:17" x14ac:dyDescent="0.3">
      <c r="E429" s="2"/>
      <c r="F429" s="2"/>
      <c r="G429" s="2"/>
      <c r="N429" s="2"/>
      <c r="O429" s="2"/>
      <c r="P429" s="2"/>
      <c r="Q429" s="2"/>
    </row>
    <row r="430" spans="5:17" x14ac:dyDescent="0.3">
      <c r="E430" s="2"/>
      <c r="F430" s="2"/>
      <c r="G430" s="2"/>
      <c r="N430" s="2"/>
      <c r="O430" s="2"/>
      <c r="P430" s="2"/>
      <c r="Q430" s="2"/>
    </row>
    <row r="431" spans="5:17" x14ac:dyDescent="0.3">
      <c r="E431" s="2"/>
      <c r="F431" s="2"/>
      <c r="G431" s="2"/>
      <c r="N431" s="2"/>
      <c r="O431" s="2"/>
      <c r="P431" s="2"/>
      <c r="Q431" s="2"/>
    </row>
    <row r="432" spans="5:17" x14ac:dyDescent="0.3">
      <c r="E432" s="2"/>
      <c r="F432" s="2"/>
      <c r="G432" s="2"/>
      <c r="N432" s="2"/>
      <c r="O432" s="2"/>
      <c r="P432" s="2"/>
      <c r="Q432" s="2"/>
    </row>
    <row r="433" spans="5:17" x14ac:dyDescent="0.3">
      <c r="E433" s="2"/>
      <c r="F433" s="2"/>
      <c r="G433" s="2"/>
      <c r="N433" s="2"/>
      <c r="O433" s="2"/>
      <c r="P433" s="2"/>
      <c r="Q433" s="2"/>
    </row>
    <row r="434" spans="5:17" x14ac:dyDescent="0.3">
      <c r="E434" s="2"/>
      <c r="F434" s="2"/>
      <c r="G434" s="2"/>
      <c r="N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62" priority="6">
      <formula>MONTH(B11)&lt;&gt;$A$2</formula>
    </cfRule>
  </conditionalFormatting>
  <conditionalFormatting sqref="B11:H28">
    <cfRule type="expression" dxfId="61" priority="5">
      <formula>B11="무지출"</formula>
    </cfRule>
  </conditionalFormatting>
  <conditionalFormatting sqref="U58:U78 U81:U84 U106:U165">
    <cfRule type="expression" dxfId="19" priority="4">
      <formula>$U58&lt;0</formula>
    </cfRule>
  </conditionalFormatting>
  <conditionalFormatting sqref="U86:U104">
    <cfRule type="expression" dxfId="18" priority="3">
      <formula>$U86&lt;0</formula>
    </cfRule>
  </conditionalFormatting>
  <conditionalFormatting sqref="U85">
    <cfRule type="expression" dxfId="17" priority="2">
      <formula>$U85&lt;0</formula>
    </cfRule>
  </conditionalFormatting>
  <conditionalFormatting sqref="U105">
    <cfRule type="expression" dxfId="16" priority="1">
      <formula>$U105&lt;0</formula>
    </cfRule>
  </conditionalFormatting>
  <dataValidations count="5"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4"/>
    <pageSetUpPr autoPageBreaks="0" fitToPage="1"/>
  </sheetPr>
  <dimension ref="A1:Y434"/>
  <sheetViews>
    <sheetView showGridLines="0" topLeftCell="A19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22" ht="16.5" customHeight="1" x14ac:dyDescent="0.3">
      <c r="A1" s="407">
        <f>메인!$R$3</f>
        <v>2025</v>
      </c>
      <c r="B1" s="541" t="s">
        <v>124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2" ht="16.5" customHeight="1" x14ac:dyDescent="0.3">
      <c r="A2" s="408">
        <f>메인!$M$11</f>
        <v>9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2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4" spans="1:22" x14ac:dyDescent="0.3">
      <c r="Q4" s="3"/>
      <c r="R4" s="3"/>
      <c r="S4" s="3"/>
      <c r="T4" s="3"/>
      <c r="U4" s="3"/>
      <c r="V4" s="3"/>
    </row>
    <row r="5" spans="1:22" ht="19.899999999999999" customHeight="1" x14ac:dyDescent="0.3">
      <c r="B5" s="56" t="s">
        <v>64</v>
      </c>
      <c r="C5" s="58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365"/>
      <c r="R5" s="3"/>
      <c r="S5" s="3"/>
      <c r="T5" s="3"/>
      <c r="U5" s="3"/>
      <c r="V5" s="3"/>
    </row>
    <row r="6" spans="1:22" ht="19.899999999999999" customHeight="1" x14ac:dyDescent="0.3">
      <c r="B6" s="56" t="s">
        <v>65</v>
      </c>
      <c r="C6" s="455">
        <f>SUM($K$32+$L$56)</f>
        <v>2625100</v>
      </c>
      <c r="G6" s="363"/>
      <c r="H6" s="97"/>
      <c r="J6" s="441" t="s">
        <v>80</v>
      </c>
      <c r="K6" s="394"/>
      <c r="L6" s="394"/>
      <c r="M6" s="394"/>
      <c r="N6" s="394"/>
      <c r="O6" s="394"/>
      <c r="P6" s="394"/>
      <c r="Q6" s="448"/>
      <c r="R6" s="445"/>
      <c r="S6" s="448"/>
      <c r="T6" s="448"/>
      <c r="U6" s="3"/>
      <c r="V6" s="3"/>
    </row>
    <row r="7" spans="1:22" ht="19.899999999999999" customHeight="1" x14ac:dyDescent="0.3">
      <c r="B7" s="62" t="s">
        <v>43</v>
      </c>
      <c r="C7" s="456">
        <f>$C$5-$C$6</f>
        <v>-2610100</v>
      </c>
      <c r="J7" s="442" t="s">
        <v>80</v>
      </c>
      <c r="K7" s="395"/>
      <c r="L7" s="395"/>
      <c r="M7" s="395"/>
      <c r="N7" s="395"/>
      <c r="O7" s="395"/>
      <c r="P7" s="395"/>
      <c r="Q7" s="449"/>
      <c r="R7" s="368"/>
      <c r="S7" s="449"/>
      <c r="T7" s="449"/>
      <c r="U7" s="3"/>
      <c r="V7" s="3"/>
    </row>
    <row r="8" spans="1:22" ht="19.899999999999999" customHeight="1" x14ac:dyDescent="0.3">
      <c r="E8" s="3"/>
      <c r="F8" s="3"/>
      <c r="G8" s="412" t="s">
        <v>257</v>
      </c>
      <c r="H8" s="413">
        <f ca="1">COUNTIF(B10:H28,"무지출")</f>
        <v>30</v>
      </c>
    </row>
    <row r="9" spans="1:22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</row>
    <row r="10" spans="1:22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</row>
    <row r="11" spans="1:22" ht="19.899999999999999" customHeight="1" x14ac:dyDescent="0.3">
      <c r="B11" s="404">
        <f>DATE($A$1,$A$2,1)-WEEKDAY(DATE($A$1,$A$2,1))+1</f>
        <v>45900</v>
      </c>
      <c r="C11" s="405">
        <f>B11+1</f>
        <v>45901</v>
      </c>
      <c r="D11" s="405">
        <f t="shared" ref="D11:H11" si="0">C11+1</f>
        <v>45902</v>
      </c>
      <c r="E11" s="405">
        <f t="shared" si="0"/>
        <v>45903</v>
      </c>
      <c r="F11" s="405">
        <f t="shared" si="0"/>
        <v>45904</v>
      </c>
      <c r="G11" s="405">
        <f t="shared" si="0"/>
        <v>45905</v>
      </c>
      <c r="H11" s="406">
        <f t="shared" si="0"/>
        <v>45906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VLOOKUP(J11,예산!$B$41:$N$53,10,FALSE)</f>
        <v>0</v>
      </c>
      <c r="M11" s="428">
        <f t="shared" ref="M11:M23" si="1">L11-K11</f>
        <v>0</v>
      </c>
      <c r="N11" s="437">
        <f>VLOOKUP(J11,'8월'!$J$10:$K$23,2,FALSE)</f>
        <v>0</v>
      </c>
      <c r="O11" s="439">
        <f t="shared" ref="O11:O23" si="2">K11-N11</f>
        <v>0</v>
      </c>
      <c r="P11" s="3"/>
    </row>
    <row r="12" spans="1:22" ht="19.899999999999999" customHeight="1" x14ac:dyDescent="0.3">
      <c r="B12" s="532" t="str">
        <f ca="1">IF(MONTH(B11)&lt;&gt;$A$2,"",IF(AND(SUMIF($J$81:$J$197,B11,$R$81:$R$197)=0,B11&lt;TODAY()),"무지출",SUMIF($J$81:$J$197,B11,$R$81:$R$197)))</f>
        <v/>
      </c>
      <c r="C12" s="533" t="str">
        <f t="shared" ref="C12:H12" ca="1" si="3">IF(MONTH(C11)&lt;&gt;$A$2,"",IF(AND(SUMIF($J$81:$J$197,C11,$R$81:$R$197)=0,C11&lt;TODAY()),"무지출",SUMIF($J$81:$J$197,C11,$R$81:$R$197)))</f>
        <v>무지출</v>
      </c>
      <c r="D12" s="533" t="str">
        <f t="shared" ca="1" si="3"/>
        <v>무지출</v>
      </c>
      <c r="E12" s="533" t="str">
        <f t="shared" ca="1" si="3"/>
        <v>무지출</v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VLOOKUP(J12,예산!$B$41:$N$53,10,FALSE)</f>
        <v>0</v>
      </c>
      <c r="M12" s="428">
        <f t="shared" si="1"/>
        <v>-212000</v>
      </c>
      <c r="N12" s="437">
        <f>VLOOKUP(J12,'8월'!$J$10:$K$23,2,FALSE)</f>
        <v>212000</v>
      </c>
      <c r="O12" s="439">
        <f t="shared" si="2"/>
        <v>0</v>
      </c>
      <c r="P12" s="3"/>
    </row>
    <row r="13" spans="1:22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VLOOKUP(J13,예산!$B$41:$N$53,10,FALSE)</f>
        <v>0</v>
      </c>
      <c r="M13" s="428">
        <f t="shared" si="1"/>
        <v>0</v>
      </c>
      <c r="N13" s="437">
        <f>VLOOKUP(J13,'8월'!$J$10:$K$23,2,FALSE)</f>
        <v>0</v>
      </c>
      <c r="O13" s="439">
        <f t="shared" si="2"/>
        <v>0</v>
      </c>
      <c r="P13" s="3"/>
    </row>
    <row r="14" spans="1:22" ht="19.899999999999999" customHeight="1" x14ac:dyDescent="0.3">
      <c r="B14" s="404">
        <f>B11+7</f>
        <v>45907</v>
      </c>
      <c r="C14" s="405">
        <f t="shared" ref="C14:H14" si="5">C11+7</f>
        <v>45908</v>
      </c>
      <c r="D14" s="405">
        <f t="shared" si="5"/>
        <v>45909</v>
      </c>
      <c r="E14" s="405">
        <f t="shared" si="5"/>
        <v>45910</v>
      </c>
      <c r="F14" s="405">
        <f t="shared" si="5"/>
        <v>45911</v>
      </c>
      <c r="G14" s="405">
        <f t="shared" si="5"/>
        <v>45912</v>
      </c>
      <c r="H14" s="406">
        <f t="shared" si="5"/>
        <v>45913</v>
      </c>
      <c r="J14" s="369" t="str">
        <f>항목!H$3</f>
        <v>반려동물비</v>
      </c>
      <c r="K14" s="426">
        <f t="shared" si="4"/>
        <v>0</v>
      </c>
      <c r="L14" s="426">
        <f>VLOOKUP(J14,예산!$B$41:$N$53,10,FALSE)</f>
        <v>0</v>
      </c>
      <c r="M14" s="428">
        <f t="shared" si="1"/>
        <v>0</v>
      </c>
      <c r="N14" s="437">
        <f>VLOOKUP(J14,'8월'!$J$10:$K$23,2,FALSE)</f>
        <v>0</v>
      </c>
      <c r="O14" s="439">
        <f t="shared" si="2"/>
        <v>0</v>
      </c>
      <c r="P14" s="3"/>
    </row>
    <row r="15" spans="1:22" ht="19.899999999999999" customHeight="1" x14ac:dyDescent="0.3">
      <c r="B15" s="532" t="str">
        <f ca="1">IF(MONTH(B14)&lt;&gt;$A$2,"",IF(AND(SUMIF($J$81:$J$197,B14,$R$81:$R$197)=0,B14&lt;TODAY()),"무지출",SUMIF($J$81:$J$197,B14,$R$81:$R$197)))</f>
        <v>무지출</v>
      </c>
      <c r="C15" s="533" t="str">
        <f t="shared" ref="C15:H15" ca="1" si="6">IF(MONTH(C14)&lt;&gt;$A$2,"",IF(AND(SUMIF($J$81:$J$197,C14,$R$81:$R$197)=0,C14&lt;TODAY()),"무지출",SUMIF($J$81:$J$197,C14,$R$81:$R$197)))</f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VLOOKUP(J15,예산!$B$41:$N$53,10,FALSE)</f>
        <v>0</v>
      </c>
      <c r="M15" s="428">
        <f t="shared" si="1"/>
        <v>0</v>
      </c>
      <c r="N15" s="437">
        <f>VLOOKUP(J15,'8월'!$J$10:$K$23,2,FALSE)</f>
        <v>0</v>
      </c>
      <c r="O15" s="439">
        <f t="shared" si="2"/>
        <v>0</v>
      </c>
      <c r="P15" s="3"/>
    </row>
    <row r="16" spans="1:22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VLOOKUP(J16,예산!$B$41:$N$53,10,FALSE)</f>
        <v>0</v>
      </c>
      <c r="M16" s="428">
        <f t="shared" si="1"/>
        <v>0</v>
      </c>
      <c r="N16" s="437">
        <f>VLOOKUP(J16,'8월'!$J$10:$K$23,2,FALSE)</f>
        <v>0</v>
      </c>
      <c r="O16" s="439">
        <f t="shared" si="2"/>
        <v>0</v>
      </c>
      <c r="P16" s="3"/>
    </row>
    <row r="17" spans="2:23" ht="19.899999999999999" customHeight="1" x14ac:dyDescent="0.3">
      <c r="B17" s="404">
        <f>B11+14</f>
        <v>45914</v>
      </c>
      <c r="C17" s="405">
        <f t="shared" ref="C17:H17" si="7">C11+14</f>
        <v>45915</v>
      </c>
      <c r="D17" s="405">
        <f t="shared" si="7"/>
        <v>45916</v>
      </c>
      <c r="E17" s="405">
        <f t="shared" si="7"/>
        <v>45917</v>
      </c>
      <c r="F17" s="405">
        <f t="shared" si="7"/>
        <v>45918</v>
      </c>
      <c r="G17" s="405">
        <f t="shared" si="7"/>
        <v>45919</v>
      </c>
      <c r="H17" s="406">
        <f t="shared" si="7"/>
        <v>45920</v>
      </c>
      <c r="J17" s="369" t="str">
        <f>항목!K$3</f>
        <v>문화생활비</v>
      </c>
      <c r="K17" s="426">
        <f t="shared" si="4"/>
        <v>63100</v>
      </c>
      <c r="L17" s="426">
        <f>VLOOKUP(J17,예산!$B$41:$N$53,10,FALSE)</f>
        <v>0</v>
      </c>
      <c r="M17" s="428">
        <f t="shared" si="1"/>
        <v>-63100</v>
      </c>
      <c r="N17" s="437">
        <f>VLOOKUP(J17,'8월'!$J$10:$K$23,2,FALSE)</f>
        <v>63100</v>
      </c>
      <c r="O17" s="439">
        <f t="shared" si="2"/>
        <v>0</v>
      </c>
      <c r="P17" s="3"/>
    </row>
    <row r="18" spans="2:23" ht="19.899999999999999" customHeight="1" x14ac:dyDescent="0.3">
      <c r="B18" s="532" t="str">
        <f ca="1">IF(MONTH(B17)&lt;&gt;$A$2,"",IF(AND(SUMIF($J$81:$J$197,B17,$R$81:$R$197)=0,B17&lt;TODAY()),"무지출",SUMIF($J$81:$J$197,B17,$R$81:$R$197)))</f>
        <v>무지출</v>
      </c>
      <c r="C18" s="533" t="str">
        <f t="shared" ref="C18:H18" ca="1" si="8">IF(MONTH(C17)&lt;&gt;$A$2,"",IF(AND(SUMIF($J$81:$J$197,C17,$R$81:$R$197)=0,C17&lt;TODAY()),"무지출",SUMIF($J$81:$J$197,C17,$R$81:$R$197)))</f>
        <v>무지출</v>
      </c>
      <c r="D18" s="533" t="str">
        <f t="shared" ca="1" si="8"/>
        <v>무지출</v>
      </c>
      <c r="E18" s="533" t="str">
        <f t="shared" ca="1" si="8"/>
        <v>무지출</v>
      </c>
      <c r="F18" s="533" t="str">
        <f t="shared" ca="1" si="8"/>
        <v>무지출</v>
      </c>
      <c r="G18" s="533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VLOOKUP(J18,예산!$B$41:$N$53,10,FALSE)</f>
        <v>0</v>
      </c>
      <c r="M18" s="428">
        <f t="shared" si="1"/>
        <v>0</v>
      </c>
      <c r="N18" s="437">
        <f>VLOOKUP(J18,'8월'!$J$10:$K$23,2,FALSE)</f>
        <v>0</v>
      </c>
      <c r="O18" s="439">
        <f t="shared" si="2"/>
        <v>0</v>
      </c>
      <c r="P18" s="3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VLOOKUP(J19,예산!$B$41:$N$53,10,FALSE)</f>
        <v>0</v>
      </c>
      <c r="M19" s="428">
        <f t="shared" si="1"/>
        <v>0</v>
      </c>
      <c r="N19" s="437">
        <f>VLOOKUP(J19,'8월'!$J$10:$K$23,2,FALSE)</f>
        <v>0</v>
      </c>
      <c r="O19" s="439">
        <f t="shared" si="2"/>
        <v>0</v>
      </c>
      <c r="P19" s="3"/>
    </row>
    <row r="20" spans="2:23" ht="19.899999999999999" customHeight="1" x14ac:dyDescent="0.3">
      <c r="B20" s="404">
        <f>B11+21</f>
        <v>45921</v>
      </c>
      <c r="C20" s="405">
        <f t="shared" ref="C20:H20" si="9">C11+21</f>
        <v>45922</v>
      </c>
      <c r="D20" s="405">
        <f t="shared" si="9"/>
        <v>45923</v>
      </c>
      <c r="E20" s="405">
        <f t="shared" si="9"/>
        <v>45924</v>
      </c>
      <c r="F20" s="405">
        <f t="shared" si="9"/>
        <v>45925</v>
      </c>
      <c r="G20" s="405">
        <f t="shared" si="9"/>
        <v>45926</v>
      </c>
      <c r="H20" s="406">
        <f t="shared" si="9"/>
        <v>45927</v>
      </c>
      <c r="J20" s="369" t="str">
        <f>항목!N$3</f>
        <v>통신비</v>
      </c>
      <c r="K20" s="426">
        <f t="shared" si="4"/>
        <v>0</v>
      </c>
      <c r="L20" s="426">
        <f>VLOOKUP(J20,예산!$B$41:$N$53,10,FALSE)</f>
        <v>0</v>
      </c>
      <c r="M20" s="428">
        <f t="shared" si="1"/>
        <v>0</v>
      </c>
      <c r="N20" s="437">
        <f>VLOOKUP(J20,'8월'!$J$10:$K$23,2,FALSE)</f>
        <v>0</v>
      </c>
      <c r="O20" s="439">
        <f t="shared" si="2"/>
        <v>0</v>
      </c>
      <c r="P20" s="3"/>
    </row>
    <row r="21" spans="2:23" ht="19.899999999999999" customHeight="1" x14ac:dyDescent="0.3">
      <c r="B21" s="532" t="str">
        <f ca="1">IF(MONTH(B20)&lt;&gt;$A$2,"",IF(AND(SUMIF($J$81:$J$197,B20,$R$81:$R$197)=0,B20&lt;TODAY()),"무지출",SUMIF($J$81:$J$197,B20,$R$81:$R$197)))</f>
        <v>무지출</v>
      </c>
      <c r="C21" s="533" t="str">
        <f t="shared" ref="C21:H21" ca="1" si="10">IF(MONTH(C20)&lt;&gt;$A$2,"",IF(AND(SUMIF($J$81:$J$197,C20,$R$81:$R$197)=0,C20&lt;TODAY()),"무지출",SUMIF($J$81:$J$197,C20,$R$81:$R$197)))</f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VLOOKUP(J21,예산!$B$41:$N$53,10,FALSE)</f>
        <v>0</v>
      </c>
      <c r="M21" s="428">
        <f t="shared" si="1"/>
        <v>0</v>
      </c>
      <c r="N21" s="437">
        <f>VLOOKUP(J21,'8월'!$J$10:$K$23,2,FALSE)</f>
        <v>0</v>
      </c>
      <c r="O21" s="439">
        <f t="shared" si="2"/>
        <v>0</v>
      </c>
      <c r="P21" s="3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VLOOKUP(J22,예산!$B$41:$N$53,10,FALSE)</f>
        <v>0</v>
      </c>
      <c r="M22" s="428">
        <f t="shared" si="1"/>
        <v>0</v>
      </c>
      <c r="N22" s="437">
        <f>VLOOKUP(J22,'8월'!$J$10:$K$23,2,FALSE)</f>
        <v>0</v>
      </c>
      <c r="O22" s="439">
        <f t="shared" si="2"/>
        <v>0</v>
      </c>
      <c r="P22" s="3"/>
    </row>
    <row r="23" spans="2:23" ht="19.899999999999999" customHeight="1" x14ac:dyDescent="0.3">
      <c r="B23" s="404">
        <f>B11+28</f>
        <v>45928</v>
      </c>
      <c r="C23" s="405">
        <f t="shared" ref="C23:H23" si="11">C11+28</f>
        <v>45929</v>
      </c>
      <c r="D23" s="405">
        <f t="shared" si="11"/>
        <v>45930</v>
      </c>
      <c r="E23" s="405">
        <f t="shared" si="11"/>
        <v>45931</v>
      </c>
      <c r="F23" s="405">
        <f t="shared" si="11"/>
        <v>45932</v>
      </c>
      <c r="G23" s="405">
        <f t="shared" si="11"/>
        <v>45933</v>
      </c>
      <c r="H23" s="406">
        <f t="shared" si="11"/>
        <v>45934</v>
      </c>
      <c r="J23" s="332" t="str">
        <f>항목!Q$3</f>
        <v>추가항목</v>
      </c>
      <c r="K23" s="426">
        <f t="shared" si="4"/>
        <v>0</v>
      </c>
      <c r="L23" s="427">
        <f>VLOOKUP(J23,예산!$B$41:$N$53,10,FALSE)</f>
        <v>0</v>
      </c>
      <c r="M23" s="429">
        <f t="shared" si="1"/>
        <v>0</v>
      </c>
      <c r="N23" s="438">
        <f>VLOOKUP(J23,'8월'!$J$10:$K$23,2,FALSE)</f>
        <v>0</v>
      </c>
      <c r="O23" s="440">
        <f t="shared" si="2"/>
        <v>0</v>
      </c>
      <c r="P23" s="3"/>
    </row>
    <row r="24" spans="2:23" ht="19.899999999999999" customHeight="1" x14ac:dyDescent="0.3">
      <c r="B24" s="532" t="str">
        <f ca="1">IF(MONTH(B23)&lt;&gt;$A$2,"",IF(AND(SUMIF($J$81:$J$197,B23,$R$81:$R$197)=0,B23&lt;TODAY()),"무지출",SUMIF($J$81:$J$197,B23,$R$81:$R$197)))</f>
        <v>무지출</v>
      </c>
      <c r="C24" s="533" t="str">
        <f t="shared" ref="C24:H24" ca="1" si="12">IF(MONTH(C23)&lt;&gt;$A$2,"",IF(AND(SUMIF($J$81:$J$197,C23,$R$81:$R$197)=0,C23&lt;TODAY()),"무지출",SUMIF($J$81:$J$197,C23,$R$81:$R$197)))</f>
        <v>무지출</v>
      </c>
      <c r="D24" s="533" t="str">
        <f t="shared" ca="1" si="12"/>
        <v>무지출</v>
      </c>
      <c r="E24" s="533" t="str">
        <f t="shared" ca="1" si="12"/>
        <v/>
      </c>
      <c r="F24" s="533" t="str">
        <f t="shared" ca="1" si="12"/>
        <v/>
      </c>
      <c r="G24" s="533" t="str">
        <f t="shared" ca="1" si="12"/>
        <v/>
      </c>
      <c r="H24" s="534" t="str">
        <f t="shared" ca="1" si="12"/>
        <v/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</row>
    <row r="26" spans="2:23" ht="19.899999999999999" customHeight="1" x14ac:dyDescent="0.3">
      <c r="B26" s="404">
        <f>B11+35</f>
        <v>45935</v>
      </c>
      <c r="C26" s="405">
        <f t="shared" ref="C26:H26" si="13">C11+35</f>
        <v>45936</v>
      </c>
      <c r="D26" s="405">
        <f t="shared" si="13"/>
        <v>45937</v>
      </c>
      <c r="E26" s="405">
        <f t="shared" si="13"/>
        <v>45938</v>
      </c>
      <c r="F26" s="405">
        <f t="shared" si="13"/>
        <v>45939</v>
      </c>
      <c r="G26" s="405">
        <f t="shared" si="13"/>
        <v>45940</v>
      </c>
      <c r="H26" s="406">
        <f t="shared" si="13"/>
        <v>45941</v>
      </c>
      <c r="J26" s="446"/>
      <c r="K26" s="368"/>
      <c r="L26" s="368"/>
      <c r="M26" s="368"/>
      <c r="N26" s="368"/>
      <c r="O26" s="368"/>
    </row>
    <row r="27" spans="2:23" ht="19.899999999999999" customHeight="1" x14ac:dyDescent="0.3">
      <c r="B27" s="532" t="str">
        <f ca="1">IF(MONTH(B26)&lt;&gt;$A$2,"",IF(AND(SUMIF($J$81:$J$197,B26,$R$81:$R$197)=0,B26&lt;TODAY()),"무지출",SUMIF($J$81:$J$197,B26,$R$81:$R$197)))</f>
        <v/>
      </c>
      <c r="C27" s="533" t="str">
        <f t="shared" ref="C27:H27" ca="1" si="14">IF(MONTH(C26)&lt;&gt;$A$2,"",IF(AND(SUMIF($J$81:$J$197,C26,$R$81:$R$197)=0,C26&lt;TODAY()),"무지출",SUMIF($J$81:$J$197,C26,$R$81:$R$197)))</f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368"/>
      <c r="K27" s="368"/>
      <c r="L27" s="368"/>
      <c r="M27" s="368"/>
      <c r="N27" s="368"/>
      <c r="O27" s="368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G168" s="2"/>
      <c r="N168" s="2"/>
      <c r="O168" s="2"/>
      <c r="P168" s="2"/>
      <c r="Q168" s="2"/>
    </row>
    <row r="169" spans="1:23" ht="18" customHeight="1" x14ac:dyDescent="0.3">
      <c r="G169" s="2"/>
      <c r="N169" s="2"/>
      <c r="O169" s="2"/>
      <c r="P169" s="2"/>
      <c r="Q169" s="2"/>
    </row>
    <row r="170" spans="1:23" ht="18" customHeight="1" x14ac:dyDescent="0.3">
      <c r="G170" s="2"/>
      <c r="N170" s="2"/>
      <c r="O170" s="2"/>
      <c r="P170" s="2"/>
      <c r="Q170" s="2"/>
    </row>
    <row r="171" spans="1:23" ht="18" customHeight="1" x14ac:dyDescent="0.3">
      <c r="G171" s="2"/>
      <c r="N171" s="2"/>
      <c r="O171" s="2"/>
      <c r="P171" s="2"/>
      <c r="Q171" s="2"/>
    </row>
    <row r="172" spans="1:23" ht="18" customHeight="1" x14ac:dyDescent="0.3">
      <c r="G172" s="2"/>
      <c r="N172" s="2"/>
      <c r="O172" s="2"/>
      <c r="P172" s="2"/>
      <c r="Q172" s="2"/>
    </row>
    <row r="173" spans="1:23" ht="18" customHeight="1" x14ac:dyDescent="0.3">
      <c r="G173" s="2"/>
      <c r="N173" s="2"/>
      <c r="O173" s="2"/>
      <c r="P173" s="2"/>
      <c r="Q173" s="2"/>
    </row>
    <row r="174" spans="1:23" ht="18" customHeight="1" x14ac:dyDescent="0.3">
      <c r="G174" s="2"/>
      <c r="N174" s="2"/>
      <c r="O174" s="2"/>
      <c r="P174" s="2"/>
      <c r="Q174" s="2"/>
    </row>
    <row r="175" spans="1:23" ht="18" customHeight="1" x14ac:dyDescent="0.3">
      <c r="G175" s="2"/>
      <c r="N175" s="2"/>
      <c r="O175" s="2"/>
      <c r="P175" s="2"/>
      <c r="Q175" s="2"/>
    </row>
    <row r="176" spans="1:23" ht="18" customHeight="1" x14ac:dyDescent="0.3">
      <c r="G176" s="2"/>
      <c r="N176" s="2"/>
      <c r="O176" s="2"/>
      <c r="P176" s="2"/>
      <c r="Q176" s="2"/>
    </row>
    <row r="177" spans="7:17" ht="18" customHeight="1" x14ac:dyDescent="0.3">
      <c r="G177" s="2"/>
      <c r="N177" s="2"/>
      <c r="O177" s="2"/>
      <c r="P177" s="2"/>
      <c r="Q177" s="2"/>
    </row>
    <row r="178" spans="7:17" ht="18" customHeight="1" x14ac:dyDescent="0.3">
      <c r="G178" s="2"/>
      <c r="N178" s="2"/>
      <c r="O178" s="2"/>
      <c r="P178" s="2"/>
      <c r="Q178" s="2"/>
    </row>
    <row r="179" spans="7:17" ht="18" customHeight="1" x14ac:dyDescent="0.3">
      <c r="G179" s="2"/>
      <c r="N179" s="2"/>
      <c r="O179" s="2"/>
      <c r="P179" s="2"/>
      <c r="Q179" s="2"/>
    </row>
    <row r="180" spans="7:17" ht="18" customHeight="1" x14ac:dyDescent="0.3">
      <c r="G180" s="2"/>
      <c r="N180" s="2"/>
      <c r="O180" s="2"/>
      <c r="P180" s="2"/>
      <c r="Q180" s="2"/>
    </row>
    <row r="181" spans="7:17" ht="18" customHeight="1" x14ac:dyDescent="0.3">
      <c r="G181" s="2"/>
      <c r="N181" s="2"/>
      <c r="O181" s="2"/>
      <c r="P181" s="2"/>
      <c r="Q181" s="2"/>
    </row>
    <row r="182" spans="7:17" ht="18" customHeight="1" x14ac:dyDescent="0.3">
      <c r="G182" s="2"/>
      <c r="N182" s="2"/>
      <c r="O182" s="2"/>
      <c r="P182" s="2"/>
      <c r="Q182" s="2"/>
    </row>
    <row r="183" spans="7:17" ht="18" customHeight="1" x14ac:dyDescent="0.3">
      <c r="G183" s="2"/>
      <c r="N183" s="2"/>
      <c r="O183" s="2"/>
      <c r="P183" s="2"/>
      <c r="Q183" s="2"/>
    </row>
    <row r="184" spans="7:17" ht="18" customHeight="1" x14ac:dyDescent="0.3">
      <c r="G184" s="2"/>
      <c r="N184" s="2"/>
      <c r="O184" s="2"/>
      <c r="P184" s="2"/>
      <c r="Q184" s="2"/>
    </row>
    <row r="185" spans="7:17" ht="18" customHeight="1" x14ac:dyDescent="0.3">
      <c r="G185" s="2"/>
      <c r="N185" s="2"/>
      <c r="O185" s="2"/>
      <c r="P185" s="2"/>
      <c r="Q185" s="2"/>
    </row>
    <row r="186" spans="7:17" ht="18" customHeight="1" x14ac:dyDescent="0.3">
      <c r="G186" s="2"/>
      <c r="N186" s="2"/>
      <c r="O186" s="2"/>
      <c r="P186" s="2"/>
      <c r="Q186" s="2"/>
    </row>
    <row r="187" spans="7:17" ht="18" customHeight="1" x14ac:dyDescent="0.3">
      <c r="G187" s="2"/>
      <c r="N187" s="2"/>
      <c r="O187" s="2"/>
      <c r="P187" s="2"/>
      <c r="Q187" s="2"/>
    </row>
    <row r="188" spans="7:17" ht="18" customHeight="1" x14ac:dyDescent="0.3">
      <c r="G188" s="2"/>
      <c r="N188" s="2"/>
      <c r="O188" s="2"/>
      <c r="P188" s="2"/>
      <c r="Q188" s="2"/>
    </row>
    <row r="189" spans="7:17" ht="18" customHeight="1" x14ac:dyDescent="0.3">
      <c r="G189" s="2"/>
      <c r="N189" s="2"/>
      <c r="O189" s="2"/>
      <c r="P189" s="2"/>
      <c r="Q189" s="2"/>
    </row>
    <row r="190" spans="7:17" ht="18" customHeight="1" x14ac:dyDescent="0.3">
      <c r="G190" s="2"/>
      <c r="N190" s="2"/>
      <c r="O190" s="2"/>
      <c r="P190" s="2"/>
      <c r="Q190" s="2"/>
    </row>
    <row r="191" spans="7:17" ht="18" customHeight="1" x14ac:dyDescent="0.3">
      <c r="G191" s="2"/>
      <c r="N191" s="2"/>
      <c r="O191" s="2"/>
      <c r="P191" s="2"/>
      <c r="Q191" s="2"/>
    </row>
    <row r="192" spans="7:17" ht="18" customHeight="1" x14ac:dyDescent="0.3">
      <c r="G192" s="2"/>
      <c r="N192" s="2"/>
      <c r="O192" s="2"/>
      <c r="P192" s="2"/>
      <c r="Q192" s="2"/>
    </row>
    <row r="193" spans="7:17" ht="18" customHeight="1" x14ac:dyDescent="0.3">
      <c r="G193" s="2"/>
      <c r="N193" s="2"/>
      <c r="O193" s="2"/>
      <c r="P193" s="2"/>
      <c r="Q193" s="2"/>
    </row>
    <row r="194" spans="7:17" ht="18" customHeight="1" x14ac:dyDescent="0.3">
      <c r="G194" s="2"/>
      <c r="N194" s="2"/>
      <c r="O194" s="2"/>
      <c r="P194" s="2"/>
      <c r="Q194" s="2"/>
    </row>
    <row r="195" spans="7:17" ht="18" customHeight="1" x14ac:dyDescent="0.3">
      <c r="G195" s="2"/>
      <c r="N195" s="2"/>
      <c r="O195" s="2"/>
      <c r="P195" s="2"/>
      <c r="Q195" s="2"/>
    </row>
    <row r="196" spans="7:17" ht="18" customHeight="1" x14ac:dyDescent="0.3">
      <c r="G196" s="2"/>
      <c r="N196" s="2"/>
      <c r="O196" s="2"/>
      <c r="P196" s="2"/>
      <c r="Q196" s="2"/>
    </row>
    <row r="197" spans="7:17" ht="18" customHeight="1" x14ac:dyDescent="0.3">
      <c r="G197" s="2"/>
      <c r="N197" s="2"/>
      <c r="O197" s="2"/>
      <c r="P197" s="2"/>
      <c r="Q197" s="2"/>
    </row>
    <row r="198" spans="7:17" ht="18" customHeight="1" x14ac:dyDescent="0.3">
      <c r="G198" s="2"/>
      <c r="N198" s="2"/>
      <c r="O198" s="2"/>
      <c r="P198" s="2"/>
      <c r="Q198" s="2"/>
    </row>
    <row r="199" spans="7:17" ht="18" customHeight="1" x14ac:dyDescent="0.3">
      <c r="G199" s="2"/>
      <c r="N199" s="2"/>
      <c r="O199" s="2"/>
      <c r="P199" s="2"/>
      <c r="Q199" s="2"/>
    </row>
    <row r="200" spans="7:17" ht="18" customHeight="1" x14ac:dyDescent="0.3">
      <c r="G200" s="2"/>
      <c r="N200" s="2"/>
      <c r="O200" s="2"/>
      <c r="P200" s="2"/>
      <c r="Q200" s="2"/>
    </row>
    <row r="201" spans="7:17" ht="18" customHeight="1" x14ac:dyDescent="0.3">
      <c r="G201" s="2"/>
      <c r="N201" s="2"/>
      <c r="O201" s="2"/>
      <c r="P201" s="2"/>
      <c r="Q201" s="2"/>
    </row>
    <row r="202" spans="7:17" ht="18" customHeight="1" x14ac:dyDescent="0.3">
      <c r="G202" s="2"/>
      <c r="N202" s="2"/>
      <c r="O202" s="2"/>
      <c r="P202" s="2"/>
      <c r="Q202" s="2"/>
    </row>
    <row r="203" spans="7:17" ht="18" customHeight="1" x14ac:dyDescent="0.3">
      <c r="G203" s="2"/>
      <c r="N203" s="2"/>
      <c r="O203" s="2"/>
      <c r="P203" s="2"/>
      <c r="Q203" s="2"/>
    </row>
    <row r="204" spans="7:17" ht="18" customHeight="1" x14ac:dyDescent="0.3">
      <c r="G204" s="2"/>
      <c r="N204" s="2"/>
      <c r="O204" s="2"/>
      <c r="P204" s="2"/>
      <c r="Q204" s="2"/>
    </row>
    <row r="205" spans="7:17" ht="18" customHeight="1" x14ac:dyDescent="0.3">
      <c r="G205" s="2"/>
      <c r="N205" s="2"/>
      <c r="O205" s="2"/>
      <c r="P205" s="2"/>
      <c r="Q205" s="2"/>
    </row>
    <row r="206" spans="7:17" ht="18" customHeight="1" x14ac:dyDescent="0.3">
      <c r="G206" s="2"/>
      <c r="N206" s="2"/>
      <c r="O206" s="2"/>
      <c r="P206" s="2"/>
      <c r="Q206" s="2"/>
    </row>
    <row r="207" spans="7:17" ht="18" customHeight="1" x14ac:dyDescent="0.3">
      <c r="G207" s="2"/>
      <c r="N207" s="2"/>
      <c r="O207" s="2"/>
      <c r="P207" s="2"/>
      <c r="Q207" s="2"/>
    </row>
    <row r="208" spans="7:17" ht="18" customHeight="1" x14ac:dyDescent="0.3">
      <c r="G208" s="2"/>
      <c r="N208" s="2"/>
      <c r="O208" s="2"/>
      <c r="P208" s="2"/>
      <c r="Q208" s="2"/>
    </row>
    <row r="209" spans="7:17" ht="18" customHeight="1" x14ac:dyDescent="0.3">
      <c r="G209" s="2"/>
      <c r="N209" s="2"/>
      <c r="O209" s="2"/>
      <c r="P209" s="2"/>
      <c r="Q209" s="2"/>
    </row>
    <row r="210" spans="7:17" ht="18" customHeight="1" x14ac:dyDescent="0.3">
      <c r="G210" s="2"/>
      <c r="N210" s="2"/>
      <c r="O210" s="2"/>
      <c r="P210" s="2"/>
      <c r="Q210" s="2"/>
    </row>
    <row r="211" spans="7:17" ht="18" customHeight="1" x14ac:dyDescent="0.3">
      <c r="G211" s="2"/>
      <c r="N211" s="2"/>
      <c r="O211" s="2"/>
      <c r="P211" s="2"/>
      <c r="Q211" s="2"/>
    </row>
    <row r="212" spans="7:17" ht="18" customHeight="1" x14ac:dyDescent="0.3">
      <c r="G212" s="2"/>
      <c r="N212" s="2"/>
      <c r="O212" s="2"/>
      <c r="P212" s="2"/>
      <c r="Q212" s="2"/>
    </row>
    <row r="213" spans="7:17" ht="18" customHeight="1" x14ac:dyDescent="0.3">
      <c r="G213" s="2"/>
      <c r="N213" s="2"/>
      <c r="O213" s="2"/>
      <c r="P213" s="2"/>
      <c r="Q213" s="2"/>
    </row>
    <row r="214" spans="7:17" ht="18" customHeight="1" x14ac:dyDescent="0.3">
      <c r="G214" s="2"/>
      <c r="N214" s="2"/>
      <c r="O214" s="2"/>
      <c r="P214" s="2"/>
      <c r="Q214" s="2"/>
    </row>
    <row r="215" spans="7:17" ht="18" customHeight="1" x14ac:dyDescent="0.3">
      <c r="G215" s="2"/>
      <c r="N215" s="2"/>
      <c r="O215" s="2"/>
      <c r="P215" s="2"/>
      <c r="Q215" s="2"/>
    </row>
    <row r="216" spans="7:17" ht="18" customHeight="1" x14ac:dyDescent="0.3">
      <c r="G216" s="2"/>
      <c r="N216" s="2"/>
      <c r="O216" s="2"/>
      <c r="P216" s="2"/>
      <c r="Q216" s="2"/>
    </row>
    <row r="217" spans="7:17" ht="18" customHeight="1" x14ac:dyDescent="0.3">
      <c r="G217" s="2"/>
      <c r="N217" s="2"/>
      <c r="O217" s="2"/>
      <c r="P217" s="2"/>
      <c r="Q217" s="2"/>
    </row>
    <row r="218" spans="7:17" ht="18" customHeight="1" x14ac:dyDescent="0.3">
      <c r="G218" s="2"/>
      <c r="N218" s="2"/>
      <c r="O218" s="2"/>
      <c r="P218" s="2"/>
      <c r="Q218" s="2"/>
    </row>
    <row r="219" spans="7:17" ht="18" customHeight="1" x14ac:dyDescent="0.3">
      <c r="G219" s="2"/>
      <c r="N219" s="2"/>
      <c r="O219" s="2"/>
      <c r="P219" s="2"/>
      <c r="Q219" s="2"/>
    </row>
    <row r="220" spans="7:17" ht="18" customHeight="1" x14ac:dyDescent="0.3">
      <c r="G220" s="2"/>
      <c r="N220" s="2"/>
      <c r="O220" s="2"/>
      <c r="P220" s="2"/>
      <c r="Q220" s="2"/>
    </row>
    <row r="221" spans="7:17" ht="18" customHeight="1" x14ac:dyDescent="0.3">
      <c r="G221" s="2"/>
      <c r="N221" s="2"/>
      <c r="O221" s="2"/>
      <c r="P221" s="2"/>
      <c r="Q221" s="2"/>
    </row>
    <row r="222" spans="7:17" ht="18" customHeight="1" x14ac:dyDescent="0.3">
      <c r="G222" s="2"/>
      <c r="N222" s="2"/>
      <c r="O222" s="2"/>
      <c r="P222" s="2"/>
      <c r="Q222" s="2"/>
    </row>
    <row r="223" spans="7:17" ht="18" customHeight="1" x14ac:dyDescent="0.3">
      <c r="G223" s="2"/>
      <c r="N223" s="2"/>
      <c r="O223" s="2"/>
      <c r="P223" s="2"/>
      <c r="Q223" s="2"/>
    </row>
    <row r="224" spans="7:17" ht="18" customHeight="1" x14ac:dyDescent="0.3">
      <c r="G224" s="2"/>
      <c r="N224" s="2"/>
      <c r="O224" s="2"/>
      <c r="P224" s="2"/>
      <c r="Q224" s="2"/>
    </row>
    <row r="225" spans="7:17" ht="18" customHeight="1" x14ac:dyDescent="0.3">
      <c r="G225" s="2"/>
      <c r="N225" s="2"/>
      <c r="O225" s="2"/>
      <c r="P225" s="2"/>
      <c r="Q225" s="2"/>
    </row>
    <row r="226" spans="7:17" ht="18" customHeight="1" x14ac:dyDescent="0.3">
      <c r="G226" s="2"/>
      <c r="N226" s="2"/>
      <c r="O226" s="2"/>
      <c r="P226" s="2"/>
      <c r="Q226" s="2"/>
    </row>
    <row r="227" spans="7:17" ht="18" customHeight="1" x14ac:dyDescent="0.3">
      <c r="G227" s="2"/>
      <c r="N227" s="2"/>
      <c r="O227" s="2"/>
      <c r="P227" s="2"/>
      <c r="Q227" s="2"/>
    </row>
    <row r="228" spans="7:17" ht="18" customHeight="1" x14ac:dyDescent="0.3">
      <c r="G228" s="2"/>
      <c r="N228" s="2"/>
      <c r="O228" s="2"/>
      <c r="P228" s="2"/>
      <c r="Q228" s="2"/>
    </row>
    <row r="229" spans="7:17" ht="18" customHeight="1" x14ac:dyDescent="0.3">
      <c r="G229" s="2"/>
      <c r="N229" s="2"/>
      <c r="O229" s="2"/>
      <c r="P229" s="2"/>
      <c r="Q229" s="2"/>
    </row>
    <row r="230" spans="7:17" ht="18" customHeight="1" x14ac:dyDescent="0.3">
      <c r="G230" s="2"/>
      <c r="N230" s="2"/>
      <c r="O230" s="2"/>
      <c r="P230" s="2"/>
      <c r="Q230" s="2"/>
    </row>
    <row r="231" spans="7:17" ht="18" customHeight="1" x14ac:dyDescent="0.3">
      <c r="G231" s="2"/>
      <c r="N231" s="2"/>
      <c r="O231" s="2"/>
      <c r="P231" s="2"/>
      <c r="Q231" s="2"/>
    </row>
    <row r="232" spans="7:17" ht="18" customHeight="1" x14ac:dyDescent="0.3">
      <c r="G232" s="2"/>
      <c r="N232" s="2"/>
      <c r="O232" s="2"/>
      <c r="P232" s="2"/>
      <c r="Q232" s="2"/>
    </row>
    <row r="233" spans="7:17" ht="18" customHeight="1" x14ac:dyDescent="0.3">
      <c r="G233" s="2"/>
      <c r="N233" s="2"/>
      <c r="O233" s="2"/>
      <c r="P233" s="2"/>
      <c r="Q233" s="2"/>
    </row>
    <row r="234" spans="7:17" ht="18" customHeight="1" x14ac:dyDescent="0.3">
      <c r="G234" s="2"/>
      <c r="N234" s="2"/>
      <c r="O234" s="2"/>
      <c r="P234" s="2"/>
      <c r="Q234" s="2"/>
    </row>
    <row r="235" spans="7:17" ht="18" customHeight="1" x14ac:dyDescent="0.3">
      <c r="G235" s="2"/>
      <c r="N235" s="2"/>
      <c r="O235" s="2"/>
      <c r="P235" s="2"/>
      <c r="Q235" s="2"/>
    </row>
    <row r="236" spans="7:17" ht="18" customHeight="1" x14ac:dyDescent="0.3">
      <c r="G236" s="2"/>
      <c r="N236" s="2"/>
      <c r="O236" s="2"/>
      <c r="P236" s="2"/>
      <c r="Q236" s="2"/>
    </row>
    <row r="237" spans="7:17" ht="18" customHeight="1" x14ac:dyDescent="0.3">
      <c r="G237" s="2"/>
      <c r="N237" s="2"/>
      <c r="O237" s="2"/>
      <c r="P237" s="2"/>
      <c r="Q237" s="2"/>
    </row>
    <row r="238" spans="7:17" ht="18" customHeight="1" x14ac:dyDescent="0.3">
      <c r="G238" s="2"/>
      <c r="N238" s="2"/>
      <c r="O238" s="2"/>
      <c r="P238" s="2"/>
      <c r="Q238" s="2"/>
    </row>
    <row r="239" spans="7:17" ht="18" customHeight="1" x14ac:dyDescent="0.3">
      <c r="G239" s="2"/>
      <c r="N239" s="2"/>
      <c r="O239" s="2"/>
      <c r="P239" s="2"/>
      <c r="Q239" s="2"/>
    </row>
    <row r="240" spans="7:17" ht="18" customHeight="1" x14ac:dyDescent="0.3">
      <c r="G240" s="2"/>
      <c r="N240" s="2"/>
      <c r="O240" s="2"/>
      <c r="P240" s="2"/>
      <c r="Q240" s="2"/>
    </row>
    <row r="241" spans="7:17" ht="18" customHeight="1" x14ac:dyDescent="0.3">
      <c r="G241" s="2"/>
      <c r="N241" s="2"/>
      <c r="O241" s="2"/>
      <c r="P241" s="2"/>
      <c r="Q241" s="2"/>
    </row>
    <row r="242" spans="7:17" ht="18" customHeight="1" x14ac:dyDescent="0.3">
      <c r="G242" s="2"/>
      <c r="N242" s="2"/>
      <c r="O242" s="2"/>
      <c r="P242" s="2"/>
      <c r="Q242" s="2"/>
    </row>
    <row r="243" spans="7:17" ht="18" customHeight="1" x14ac:dyDescent="0.3">
      <c r="G243" s="2"/>
      <c r="N243" s="2"/>
      <c r="O243" s="2"/>
      <c r="P243" s="2"/>
      <c r="Q243" s="2"/>
    </row>
    <row r="244" spans="7:17" ht="18" customHeight="1" x14ac:dyDescent="0.3">
      <c r="G244" s="2"/>
      <c r="N244" s="2"/>
      <c r="O244" s="2"/>
      <c r="P244" s="2"/>
      <c r="Q244" s="2"/>
    </row>
    <row r="245" spans="7:17" ht="18" customHeight="1" x14ac:dyDescent="0.3">
      <c r="G245" s="2"/>
      <c r="N245" s="2"/>
      <c r="O245" s="2"/>
      <c r="P245" s="2"/>
      <c r="Q245" s="2"/>
    </row>
    <row r="246" spans="7:17" ht="18" customHeight="1" x14ac:dyDescent="0.3">
      <c r="G246" s="2"/>
      <c r="N246" s="2"/>
      <c r="O246" s="2"/>
      <c r="P246" s="2"/>
      <c r="Q246" s="2"/>
    </row>
    <row r="247" spans="7:17" ht="18" customHeight="1" x14ac:dyDescent="0.3">
      <c r="G247" s="2"/>
      <c r="N247" s="2"/>
      <c r="O247" s="2"/>
      <c r="P247" s="2"/>
      <c r="Q247" s="2"/>
    </row>
    <row r="248" spans="7:17" ht="18" customHeight="1" x14ac:dyDescent="0.3">
      <c r="G248" s="2"/>
      <c r="N248" s="2"/>
      <c r="O248" s="2"/>
      <c r="P248" s="2"/>
      <c r="Q248" s="2"/>
    </row>
    <row r="249" spans="7:17" ht="18" customHeight="1" x14ac:dyDescent="0.3">
      <c r="G249" s="2"/>
      <c r="N249" s="2"/>
      <c r="O249" s="2"/>
      <c r="P249" s="2"/>
      <c r="Q249" s="2"/>
    </row>
    <row r="250" spans="7:17" ht="18" customHeight="1" x14ac:dyDescent="0.3">
      <c r="G250" s="2"/>
      <c r="N250" s="2"/>
      <c r="O250" s="2"/>
      <c r="P250" s="2"/>
      <c r="Q250" s="2"/>
    </row>
    <row r="251" spans="7:17" ht="18" customHeight="1" x14ac:dyDescent="0.3">
      <c r="G251" s="2"/>
      <c r="N251" s="2"/>
      <c r="O251" s="2"/>
      <c r="P251" s="2"/>
      <c r="Q251" s="2"/>
    </row>
    <row r="252" spans="7:17" ht="18" customHeight="1" x14ac:dyDescent="0.3">
      <c r="G252" s="2"/>
      <c r="N252" s="2"/>
      <c r="O252" s="2"/>
      <c r="P252" s="2"/>
      <c r="Q252" s="2"/>
    </row>
    <row r="253" spans="7:17" ht="18" customHeight="1" x14ac:dyDescent="0.3">
      <c r="G253" s="2"/>
      <c r="N253" s="2"/>
      <c r="O253" s="2"/>
      <c r="P253" s="2"/>
      <c r="Q253" s="2"/>
    </row>
    <row r="254" spans="7:17" ht="18" customHeight="1" x14ac:dyDescent="0.3">
      <c r="G254" s="2"/>
      <c r="N254" s="2"/>
      <c r="O254" s="2"/>
      <c r="P254" s="2"/>
      <c r="Q254" s="2"/>
    </row>
    <row r="255" spans="7:17" ht="18" customHeight="1" x14ac:dyDescent="0.3">
      <c r="G255" s="2"/>
      <c r="N255" s="2"/>
      <c r="O255" s="2"/>
      <c r="P255" s="2"/>
      <c r="Q255" s="2"/>
    </row>
    <row r="256" spans="7:17" ht="18" customHeight="1" x14ac:dyDescent="0.3">
      <c r="G256" s="2"/>
      <c r="N256" s="2"/>
      <c r="O256" s="2"/>
      <c r="P256" s="2"/>
      <c r="Q256" s="2"/>
    </row>
    <row r="257" spans="7:17" ht="18" customHeight="1" x14ac:dyDescent="0.3">
      <c r="G257" s="2"/>
      <c r="N257" s="2"/>
      <c r="O257" s="2"/>
      <c r="P257" s="2"/>
      <c r="Q257" s="2"/>
    </row>
    <row r="258" spans="7:17" ht="18" customHeight="1" x14ac:dyDescent="0.3">
      <c r="G258" s="2"/>
      <c r="N258" s="2"/>
      <c r="O258" s="2"/>
      <c r="P258" s="2"/>
      <c r="Q258" s="2"/>
    </row>
    <row r="259" spans="7:17" ht="18" customHeight="1" x14ac:dyDescent="0.3">
      <c r="G259" s="2"/>
      <c r="N259" s="2"/>
      <c r="O259" s="2"/>
      <c r="P259" s="2"/>
      <c r="Q259" s="2"/>
    </row>
    <row r="260" spans="7:17" ht="18" customHeight="1" x14ac:dyDescent="0.3">
      <c r="G260" s="2"/>
      <c r="N260" s="2"/>
      <c r="O260" s="2"/>
      <c r="P260" s="2"/>
      <c r="Q260" s="2"/>
    </row>
    <row r="261" spans="7:17" ht="18" customHeight="1" x14ac:dyDescent="0.3">
      <c r="G261" s="2"/>
      <c r="N261" s="2"/>
      <c r="O261" s="2"/>
      <c r="P261" s="2"/>
      <c r="Q261" s="2"/>
    </row>
    <row r="262" spans="7:17" ht="18" customHeight="1" x14ac:dyDescent="0.3">
      <c r="G262" s="2"/>
      <c r="N262" s="2"/>
      <c r="O262" s="2"/>
      <c r="P262" s="2"/>
      <c r="Q262" s="2"/>
    </row>
    <row r="263" spans="7:17" ht="18" customHeight="1" x14ac:dyDescent="0.3">
      <c r="G263" s="2"/>
      <c r="N263" s="2"/>
      <c r="O263" s="2"/>
      <c r="P263" s="2"/>
      <c r="Q263" s="2"/>
    </row>
    <row r="264" spans="7:17" ht="18" customHeight="1" x14ac:dyDescent="0.3">
      <c r="G264" s="2"/>
      <c r="N264" s="2"/>
      <c r="O264" s="2"/>
      <c r="P264" s="2"/>
      <c r="Q264" s="2"/>
    </row>
    <row r="265" spans="7:17" ht="18" customHeight="1" x14ac:dyDescent="0.3">
      <c r="G265" s="2"/>
      <c r="N265" s="2"/>
      <c r="O265" s="2"/>
      <c r="P265" s="2"/>
      <c r="Q265" s="2"/>
    </row>
    <row r="266" spans="7:17" ht="18" customHeight="1" x14ac:dyDescent="0.3">
      <c r="G266" s="2"/>
      <c r="N266" s="2"/>
      <c r="O266" s="2"/>
      <c r="P266" s="2"/>
      <c r="Q266" s="2"/>
    </row>
    <row r="267" spans="7:17" ht="18" customHeight="1" x14ac:dyDescent="0.3">
      <c r="G267" s="2"/>
      <c r="N267" s="2"/>
      <c r="O267" s="2"/>
      <c r="P267" s="2"/>
      <c r="Q267" s="2"/>
    </row>
    <row r="268" spans="7:17" ht="18" customHeight="1" x14ac:dyDescent="0.3">
      <c r="G268" s="2"/>
      <c r="N268" s="2"/>
      <c r="O268" s="2"/>
      <c r="P268" s="2"/>
      <c r="Q268" s="2"/>
    </row>
    <row r="269" spans="7:17" ht="18" customHeight="1" x14ac:dyDescent="0.3">
      <c r="G269" s="2"/>
      <c r="N269" s="2"/>
      <c r="O269" s="2"/>
      <c r="P269" s="2"/>
      <c r="Q269" s="2"/>
    </row>
    <row r="270" spans="7:17" ht="18" customHeight="1" x14ac:dyDescent="0.3">
      <c r="G270" s="2"/>
      <c r="N270" s="2"/>
      <c r="O270" s="2"/>
      <c r="P270" s="2"/>
      <c r="Q270" s="2"/>
    </row>
    <row r="271" spans="7:17" ht="18" customHeight="1" x14ac:dyDescent="0.3">
      <c r="G271" s="2"/>
      <c r="N271" s="2"/>
      <c r="O271" s="2"/>
      <c r="P271" s="2"/>
      <c r="Q271" s="2"/>
    </row>
    <row r="272" spans="7:17" ht="18" customHeight="1" x14ac:dyDescent="0.3">
      <c r="G272" s="2"/>
      <c r="N272" s="2"/>
      <c r="O272" s="2"/>
      <c r="P272" s="2"/>
      <c r="Q272" s="2"/>
    </row>
    <row r="273" spans="7:17" ht="18" customHeight="1" x14ac:dyDescent="0.3">
      <c r="G273" s="2"/>
      <c r="N273" s="2"/>
      <c r="O273" s="2"/>
      <c r="P273" s="2"/>
      <c r="Q273" s="2"/>
    </row>
    <row r="274" spans="7:17" ht="18" customHeight="1" x14ac:dyDescent="0.3">
      <c r="G274" s="2"/>
      <c r="N274" s="2"/>
      <c r="O274" s="2"/>
      <c r="P274" s="2"/>
      <c r="Q274" s="2"/>
    </row>
    <row r="275" spans="7:17" ht="18" customHeight="1" x14ac:dyDescent="0.3">
      <c r="G275" s="2"/>
      <c r="N275" s="2"/>
      <c r="O275" s="2"/>
      <c r="P275" s="2"/>
      <c r="Q275" s="2"/>
    </row>
    <row r="276" spans="7:17" ht="18" customHeight="1" x14ac:dyDescent="0.3">
      <c r="G276" s="2"/>
      <c r="N276" s="2"/>
      <c r="O276" s="2"/>
      <c r="P276" s="2"/>
      <c r="Q276" s="2"/>
    </row>
    <row r="277" spans="7:17" ht="18" customHeight="1" x14ac:dyDescent="0.3">
      <c r="G277" s="2"/>
      <c r="N277" s="2"/>
      <c r="O277" s="2"/>
      <c r="P277" s="2"/>
      <c r="Q277" s="2"/>
    </row>
    <row r="278" spans="7:17" ht="18" customHeight="1" x14ac:dyDescent="0.3">
      <c r="G278" s="2"/>
      <c r="N278" s="2"/>
      <c r="O278" s="2"/>
      <c r="P278" s="2"/>
      <c r="Q278" s="2"/>
    </row>
    <row r="279" spans="7:17" ht="18" customHeight="1" x14ac:dyDescent="0.3">
      <c r="G279" s="2"/>
      <c r="N279" s="2"/>
      <c r="O279" s="2"/>
      <c r="P279" s="2"/>
      <c r="Q279" s="2"/>
    </row>
    <row r="280" spans="7:17" ht="18" customHeight="1" x14ac:dyDescent="0.3">
      <c r="G280" s="2"/>
      <c r="N280" s="2"/>
      <c r="O280" s="2"/>
      <c r="P280" s="2"/>
      <c r="Q280" s="2"/>
    </row>
    <row r="281" spans="7:17" ht="18" customHeight="1" x14ac:dyDescent="0.3">
      <c r="G281" s="2"/>
      <c r="N281" s="2"/>
      <c r="O281" s="2"/>
      <c r="P281" s="2"/>
      <c r="Q281" s="2"/>
    </row>
    <row r="282" spans="7:17" ht="18" customHeight="1" x14ac:dyDescent="0.3">
      <c r="G282" s="2"/>
      <c r="N282" s="2"/>
      <c r="O282" s="2"/>
      <c r="P282" s="2"/>
      <c r="Q282" s="2"/>
    </row>
    <row r="283" spans="7:17" ht="18" customHeight="1" x14ac:dyDescent="0.3">
      <c r="G283" s="2"/>
      <c r="N283" s="2"/>
      <c r="O283" s="2"/>
      <c r="P283" s="2"/>
      <c r="Q283" s="2"/>
    </row>
    <row r="284" spans="7:17" ht="18" customHeight="1" x14ac:dyDescent="0.3">
      <c r="G284" s="2"/>
      <c r="N284" s="2"/>
      <c r="O284" s="2"/>
      <c r="P284" s="2"/>
      <c r="Q284" s="2"/>
    </row>
    <row r="285" spans="7:17" ht="18" customHeight="1" x14ac:dyDescent="0.3">
      <c r="G285" s="2"/>
      <c r="N285" s="2"/>
      <c r="O285" s="2"/>
      <c r="P285" s="2"/>
      <c r="Q285" s="2"/>
    </row>
    <row r="286" spans="7:17" ht="18" customHeight="1" x14ac:dyDescent="0.3">
      <c r="G286" s="2"/>
      <c r="N286" s="2"/>
      <c r="O286" s="2"/>
      <c r="P286" s="2"/>
      <c r="Q286" s="2"/>
    </row>
    <row r="287" spans="7:17" ht="18" customHeight="1" x14ac:dyDescent="0.3">
      <c r="G287" s="2"/>
      <c r="N287" s="2"/>
      <c r="O287" s="2"/>
      <c r="P287" s="2"/>
      <c r="Q287" s="2"/>
    </row>
    <row r="288" spans="7:17" ht="18" customHeight="1" x14ac:dyDescent="0.3">
      <c r="G288" s="2"/>
      <c r="N288" s="2"/>
      <c r="O288" s="2"/>
      <c r="P288" s="2"/>
      <c r="Q288" s="2"/>
    </row>
    <row r="289" spans="7:17" ht="18" customHeight="1" x14ac:dyDescent="0.3">
      <c r="G289" s="2"/>
      <c r="N289" s="2"/>
      <c r="O289" s="2"/>
      <c r="P289" s="2"/>
      <c r="Q289" s="2"/>
    </row>
    <row r="290" spans="7:17" ht="18" customHeight="1" x14ac:dyDescent="0.3">
      <c r="G290" s="2"/>
      <c r="N290" s="2"/>
      <c r="O290" s="2"/>
      <c r="P290" s="2"/>
      <c r="Q290" s="2"/>
    </row>
    <row r="291" spans="7:17" ht="18" customHeight="1" x14ac:dyDescent="0.3">
      <c r="G291" s="2"/>
      <c r="N291" s="2"/>
      <c r="O291" s="2"/>
      <c r="P291" s="2"/>
      <c r="Q291" s="2"/>
    </row>
    <row r="292" spans="7:17" ht="18" customHeight="1" x14ac:dyDescent="0.3">
      <c r="G292" s="2"/>
      <c r="N292" s="2"/>
      <c r="O292" s="2"/>
      <c r="P292" s="2"/>
      <c r="Q292" s="2"/>
    </row>
    <row r="293" spans="7:17" ht="18" customHeight="1" x14ac:dyDescent="0.3">
      <c r="G293" s="2"/>
      <c r="N293" s="2"/>
      <c r="O293" s="2"/>
      <c r="P293" s="2"/>
      <c r="Q293" s="2"/>
    </row>
    <row r="294" spans="7:17" ht="18" customHeight="1" x14ac:dyDescent="0.3">
      <c r="G294" s="2"/>
      <c r="N294" s="2"/>
      <c r="O294" s="2"/>
      <c r="P294" s="2"/>
      <c r="Q294" s="2"/>
    </row>
    <row r="295" spans="7:17" ht="18" customHeight="1" x14ac:dyDescent="0.3">
      <c r="G295" s="2"/>
      <c r="N295" s="2"/>
      <c r="O295" s="2"/>
      <c r="P295" s="2"/>
      <c r="Q295" s="2"/>
    </row>
    <row r="296" spans="7:17" ht="18" customHeight="1" x14ac:dyDescent="0.3">
      <c r="G296" s="2"/>
      <c r="N296" s="2"/>
      <c r="O296" s="2"/>
      <c r="P296" s="2"/>
      <c r="Q296" s="2"/>
    </row>
    <row r="297" spans="7:17" ht="18" customHeight="1" x14ac:dyDescent="0.3">
      <c r="G297" s="2"/>
      <c r="N297" s="2"/>
      <c r="O297" s="2"/>
      <c r="P297" s="2"/>
      <c r="Q297" s="2"/>
    </row>
    <row r="298" spans="7:17" ht="18" customHeight="1" x14ac:dyDescent="0.3">
      <c r="G298" s="2"/>
      <c r="N298" s="2"/>
      <c r="O298" s="2"/>
      <c r="P298" s="2"/>
      <c r="Q298" s="2"/>
    </row>
    <row r="299" spans="7:17" ht="18" customHeight="1" x14ac:dyDescent="0.3">
      <c r="G299" s="2"/>
      <c r="N299" s="2"/>
      <c r="O299" s="2"/>
      <c r="P299" s="2"/>
      <c r="Q299" s="2"/>
    </row>
    <row r="300" spans="7:17" ht="18" customHeight="1" x14ac:dyDescent="0.3">
      <c r="G300" s="2"/>
      <c r="N300" s="2"/>
      <c r="O300" s="2"/>
      <c r="P300" s="2"/>
      <c r="Q300" s="2"/>
    </row>
    <row r="301" spans="7:17" ht="18" customHeight="1" x14ac:dyDescent="0.3">
      <c r="G301" s="2"/>
      <c r="N301" s="2"/>
      <c r="O301" s="2"/>
      <c r="P301" s="2"/>
      <c r="Q301" s="2"/>
    </row>
    <row r="302" spans="7:17" ht="18" customHeight="1" x14ac:dyDescent="0.3">
      <c r="G302" s="2"/>
      <c r="N302" s="2"/>
      <c r="O302" s="2"/>
      <c r="P302" s="2"/>
      <c r="Q302" s="2"/>
    </row>
    <row r="303" spans="7:17" ht="18" customHeight="1" x14ac:dyDescent="0.3">
      <c r="G303" s="2"/>
      <c r="N303" s="2"/>
      <c r="O303" s="2"/>
      <c r="P303" s="2"/>
      <c r="Q303" s="2"/>
    </row>
    <row r="304" spans="7:17" ht="18" customHeight="1" x14ac:dyDescent="0.3">
      <c r="G304" s="2"/>
      <c r="N304" s="2"/>
      <c r="O304" s="2"/>
      <c r="P304" s="2"/>
      <c r="Q304" s="2"/>
    </row>
    <row r="305" spans="7:17" ht="18" customHeight="1" x14ac:dyDescent="0.3">
      <c r="G305" s="2"/>
      <c r="N305" s="2"/>
      <c r="O305" s="2"/>
      <c r="P305" s="2"/>
      <c r="Q305" s="2"/>
    </row>
    <row r="306" spans="7:17" ht="18" customHeight="1" x14ac:dyDescent="0.3">
      <c r="G306" s="2"/>
      <c r="N306" s="2"/>
      <c r="O306" s="2"/>
      <c r="P306" s="2"/>
      <c r="Q306" s="2"/>
    </row>
    <row r="307" spans="7:17" ht="18" customHeight="1" x14ac:dyDescent="0.3">
      <c r="G307" s="2"/>
      <c r="N307" s="2"/>
      <c r="O307" s="2"/>
      <c r="P307" s="2"/>
      <c r="Q307" s="2"/>
    </row>
    <row r="308" spans="7:17" ht="18" customHeight="1" x14ac:dyDescent="0.3">
      <c r="G308" s="2"/>
      <c r="N308" s="2"/>
      <c r="O308" s="2"/>
      <c r="P308" s="2"/>
      <c r="Q308" s="2"/>
    </row>
    <row r="309" spans="7:17" ht="18" customHeight="1" x14ac:dyDescent="0.3">
      <c r="G309" s="2"/>
      <c r="N309" s="2"/>
      <c r="O309" s="2"/>
      <c r="P309" s="2"/>
      <c r="Q309" s="2"/>
    </row>
    <row r="310" spans="7:17" ht="18" customHeight="1" x14ac:dyDescent="0.3">
      <c r="G310" s="2"/>
      <c r="N310" s="2"/>
      <c r="O310" s="2"/>
      <c r="P310" s="2"/>
      <c r="Q310" s="2"/>
    </row>
    <row r="311" spans="7:17" ht="18" customHeight="1" x14ac:dyDescent="0.3">
      <c r="G311" s="2"/>
      <c r="N311" s="2"/>
      <c r="O311" s="2"/>
      <c r="P311" s="2"/>
      <c r="Q311" s="2"/>
    </row>
    <row r="312" spans="7:17" ht="18" customHeight="1" x14ac:dyDescent="0.3">
      <c r="G312" s="2"/>
      <c r="N312" s="2"/>
      <c r="O312" s="2"/>
      <c r="P312" s="2"/>
      <c r="Q312" s="2"/>
    </row>
    <row r="313" spans="7:17" ht="18" customHeight="1" x14ac:dyDescent="0.3">
      <c r="G313" s="2"/>
      <c r="N313" s="2"/>
      <c r="O313" s="2"/>
      <c r="P313" s="2"/>
      <c r="Q313" s="2"/>
    </row>
    <row r="314" spans="7:17" ht="18" customHeight="1" x14ac:dyDescent="0.3">
      <c r="G314" s="2"/>
      <c r="N314" s="2"/>
      <c r="O314" s="2"/>
      <c r="P314" s="2"/>
      <c r="Q314" s="2"/>
    </row>
    <row r="315" spans="7:17" ht="18" customHeight="1" x14ac:dyDescent="0.3">
      <c r="G315" s="2"/>
      <c r="N315" s="2"/>
      <c r="O315" s="2"/>
      <c r="P315" s="2"/>
      <c r="Q315" s="2"/>
    </row>
    <row r="316" spans="7:17" ht="18" customHeight="1" x14ac:dyDescent="0.3">
      <c r="G316" s="2"/>
      <c r="N316" s="2"/>
      <c r="O316" s="2"/>
      <c r="P316" s="2"/>
      <c r="Q316" s="2"/>
    </row>
    <row r="317" spans="7:17" ht="18" customHeight="1" x14ac:dyDescent="0.3">
      <c r="G317" s="2"/>
      <c r="N317" s="2"/>
      <c r="O317" s="2"/>
      <c r="P317" s="2"/>
      <c r="Q317" s="2"/>
    </row>
    <row r="318" spans="7:17" ht="18" customHeight="1" x14ac:dyDescent="0.3">
      <c r="G318" s="2"/>
      <c r="N318" s="2"/>
      <c r="O318" s="2"/>
      <c r="P318" s="2"/>
      <c r="Q318" s="2"/>
    </row>
    <row r="319" spans="7:17" ht="18" customHeight="1" x14ac:dyDescent="0.3">
      <c r="G319" s="2"/>
      <c r="N319" s="2"/>
      <c r="O319" s="2"/>
      <c r="P319" s="2"/>
      <c r="Q319" s="2"/>
    </row>
    <row r="320" spans="7:17" ht="18" customHeight="1" x14ac:dyDescent="0.3">
      <c r="G320" s="2"/>
      <c r="N320" s="2"/>
      <c r="O320" s="2"/>
      <c r="P320" s="2"/>
      <c r="Q320" s="2"/>
    </row>
    <row r="321" spans="7:17" ht="18" customHeight="1" x14ac:dyDescent="0.3">
      <c r="G321" s="2"/>
      <c r="N321" s="2"/>
      <c r="O321" s="2"/>
      <c r="P321" s="2"/>
      <c r="Q321" s="2"/>
    </row>
    <row r="322" spans="7:17" ht="18" customHeight="1" x14ac:dyDescent="0.3">
      <c r="G322" s="2"/>
      <c r="N322" s="2"/>
      <c r="O322" s="2"/>
      <c r="P322" s="2"/>
      <c r="Q322" s="2"/>
    </row>
    <row r="323" spans="7:17" ht="18" customHeight="1" x14ac:dyDescent="0.3">
      <c r="G323" s="2"/>
      <c r="N323" s="2"/>
      <c r="O323" s="2"/>
      <c r="P323" s="2"/>
      <c r="Q323" s="2"/>
    </row>
    <row r="324" spans="7:17" ht="18" customHeight="1" x14ac:dyDescent="0.3">
      <c r="G324" s="2"/>
      <c r="N324" s="2"/>
      <c r="O324" s="2"/>
      <c r="P324" s="2"/>
      <c r="Q324" s="2"/>
    </row>
    <row r="325" spans="7:17" ht="18" customHeight="1" x14ac:dyDescent="0.3">
      <c r="G325" s="2"/>
      <c r="N325" s="2"/>
      <c r="O325" s="2"/>
      <c r="P325" s="2"/>
      <c r="Q325" s="2"/>
    </row>
    <row r="326" spans="7:17" x14ac:dyDescent="0.3">
      <c r="G326" s="2"/>
      <c r="N326" s="2"/>
      <c r="O326" s="2"/>
      <c r="P326" s="2"/>
      <c r="Q326" s="2"/>
    </row>
    <row r="327" spans="7:17" x14ac:dyDescent="0.3">
      <c r="G327" s="2"/>
      <c r="N327" s="2"/>
      <c r="O327" s="2"/>
      <c r="P327" s="2"/>
      <c r="Q327" s="2"/>
    </row>
    <row r="328" spans="7:17" x14ac:dyDescent="0.3">
      <c r="G328" s="2"/>
      <c r="N328" s="2"/>
      <c r="O328" s="2"/>
      <c r="P328" s="2"/>
      <c r="Q328" s="2"/>
    </row>
    <row r="329" spans="7:17" x14ac:dyDescent="0.3">
      <c r="G329" s="2"/>
      <c r="N329" s="2"/>
      <c r="O329" s="2"/>
      <c r="P329" s="2"/>
      <c r="Q329" s="2"/>
    </row>
    <row r="330" spans="7:17" x14ac:dyDescent="0.3">
      <c r="G330" s="2"/>
      <c r="N330" s="2"/>
      <c r="O330" s="2"/>
      <c r="P330" s="2"/>
      <c r="Q330" s="2"/>
    </row>
    <row r="331" spans="7:17" x14ac:dyDescent="0.3">
      <c r="G331" s="2"/>
      <c r="N331" s="2"/>
      <c r="O331" s="2"/>
      <c r="P331" s="2"/>
      <c r="Q331" s="2"/>
    </row>
    <row r="332" spans="7:17" x14ac:dyDescent="0.3">
      <c r="G332" s="2"/>
      <c r="N332" s="2"/>
      <c r="O332" s="2"/>
      <c r="P332" s="2"/>
      <c r="Q332" s="2"/>
    </row>
    <row r="333" spans="7:17" x14ac:dyDescent="0.3">
      <c r="G333" s="2"/>
      <c r="N333" s="2"/>
      <c r="O333" s="2"/>
      <c r="P333" s="2"/>
      <c r="Q333" s="2"/>
    </row>
    <row r="334" spans="7:17" x14ac:dyDescent="0.3">
      <c r="G334" s="2"/>
      <c r="N334" s="2"/>
      <c r="O334" s="2"/>
      <c r="P334" s="2"/>
      <c r="Q334" s="2"/>
    </row>
    <row r="335" spans="7:17" x14ac:dyDescent="0.3">
      <c r="G335" s="2"/>
      <c r="N335" s="2"/>
      <c r="O335" s="2"/>
      <c r="P335" s="2"/>
      <c r="Q335" s="2"/>
    </row>
    <row r="336" spans="7:17" x14ac:dyDescent="0.3">
      <c r="G336" s="2"/>
      <c r="N336" s="2"/>
      <c r="O336" s="2"/>
      <c r="P336" s="2"/>
      <c r="Q336" s="2"/>
    </row>
    <row r="337" spans="7:17" x14ac:dyDescent="0.3">
      <c r="G337" s="2"/>
      <c r="N337" s="2"/>
      <c r="O337" s="2"/>
      <c r="P337" s="2"/>
      <c r="Q337" s="2"/>
    </row>
    <row r="338" spans="7:17" x14ac:dyDescent="0.3">
      <c r="G338" s="2"/>
      <c r="N338" s="2"/>
      <c r="O338" s="2"/>
      <c r="P338" s="2"/>
      <c r="Q338" s="2"/>
    </row>
    <row r="339" spans="7:17" x14ac:dyDescent="0.3">
      <c r="G339" s="2"/>
      <c r="N339" s="2"/>
      <c r="O339" s="2"/>
      <c r="P339" s="2"/>
      <c r="Q339" s="2"/>
    </row>
    <row r="340" spans="7:17" x14ac:dyDescent="0.3">
      <c r="G340" s="2"/>
      <c r="N340" s="2"/>
      <c r="O340" s="2"/>
      <c r="P340" s="2"/>
      <c r="Q340" s="2"/>
    </row>
    <row r="341" spans="7:17" x14ac:dyDescent="0.3">
      <c r="G341" s="2"/>
      <c r="N341" s="2"/>
      <c r="O341" s="2"/>
      <c r="P341" s="2"/>
      <c r="Q341" s="2"/>
    </row>
    <row r="342" spans="7:17" x14ac:dyDescent="0.3">
      <c r="G342" s="2"/>
      <c r="N342" s="2"/>
      <c r="O342" s="2"/>
      <c r="P342" s="2"/>
      <c r="Q342" s="2"/>
    </row>
    <row r="343" spans="7:17" x14ac:dyDescent="0.3">
      <c r="G343" s="2"/>
      <c r="N343" s="2"/>
      <c r="O343" s="2"/>
      <c r="P343" s="2"/>
      <c r="Q343" s="2"/>
    </row>
    <row r="344" spans="7:17" x14ac:dyDescent="0.3">
      <c r="G344" s="2"/>
      <c r="N344" s="2"/>
      <c r="O344" s="2"/>
      <c r="P344" s="2"/>
      <c r="Q344" s="2"/>
    </row>
    <row r="345" spans="7:17" x14ac:dyDescent="0.3">
      <c r="G345" s="2"/>
      <c r="N345" s="2"/>
      <c r="O345" s="2"/>
      <c r="P345" s="2"/>
      <c r="Q345" s="2"/>
    </row>
    <row r="346" spans="7:17" x14ac:dyDescent="0.3">
      <c r="G346" s="2"/>
      <c r="N346" s="2"/>
      <c r="O346" s="2"/>
      <c r="P346" s="2"/>
      <c r="Q346" s="2"/>
    </row>
    <row r="347" spans="7:17" x14ac:dyDescent="0.3">
      <c r="G347" s="2"/>
      <c r="N347" s="2"/>
      <c r="O347" s="2"/>
      <c r="P347" s="2"/>
      <c r="Q347" s="2"/>
    </row>
    <row r="348" spans="7:17" x14ac:dyDescent="0.3">
      <c r="G348" s="2"/>
      <c r="N348" s="2"/>
      <c r="O348" s="2"/>
      <c r="P348" s="2"/>
      <c r="Q348" s="2"/>
    </row>
    <row r="349" spans="7:17" x14ac:dyDescent="0.3">
      <c r="G349" s="2"/>
      <c r="N349" s="2"/>
      <c r="O349" s="2"/>
      <c r="P349" s="2"/>
      <c r="Q349" s="2"/>
    </row>
    <row r="350" spans="7:17" x14ac:dyDescent="0.3">
      <c r="G350" s="2"/>
      <c r="N350" s="2"/>
      <c r="O350" s="2"/>
      <c r="P350" s="2"/>
      <c r="Q350" s="2"/>
    </row>
    <row r="351" spans="7:17" x14ac:dyDescent="0.3">
      <c r="G351" s="2"/>
      <c r="N351" s="2"/>
      <c r="O351" s="2"/>
      <c r="P351" s="2"/>
      <c r="Q351" s="2"/>
    </row>
    <row r="352" spans="7:17" x14ac:dyDescent="0.3">
      <c r="G352" s="2"/>
      <c r="N352" s="2"/>
      <c r="O352" s="2"/>
      <c r="P352" s="2"/>
      <c r="Q352" s="2"/>
    </row>
    <row r="353" spans="7:17" x14ac:dyDescent="0.3">
      <c r="G353" s="2"/>
      <c r="N353" s="2"/>
      <c r="O353" s="2"/>
      <c r="P353" s="2"/>
      <c r="Q353" s="2"/>
    </row>
    <row r="354" spans="7:17" x14ac:dyDescent="0.3">
      <c r="G354" s="2"/>
      <c r="N354" s="2"/>
      <c r="O354" s="2"/>
      <c r="P354" s="2"/>
      <c r="Q354" s="2"/>
    </row>
    <row r="355" spans="7:17" x14ac:dyDescent="0.3">
      <c r="G355" s="2"/>
      <c r="N355" s="2"/>
      <c r="O355" s="2"/>
      <c r="P355" s="2"/>
      <c r="Q355" s="2"/>
    </row>
    <row r="356" spans="7:17" x14ac:dyDescent="0.3">
      <c r="G356" s="2"/>
      <c r="N356" s="2"/>
      <c r="O356" s="2"/>
      <c r="P356" s="2"/>
      <c r="Q356" s="2"/>
    </row>
    <row r="357" spans="7:17" x14ac:dyDescent="0.3">
      <c r="G357" s="2"/>
      <c r="N357" s="2"/>
      <c r="O357" s="2"/>
      <c r="P357" s="2"/>
      <c r="Q357" s="2"/>
    </row>
    <row r="358" spans="7:17" x14ac:dyDescent="0.3">
      <c r="G358" s="2"/>
      <c r="N358" s="2"/>
      <c r="O358" s="2"/>
      <c r="P358" s="2"/>
      <c r="Q358" s="2"/>
    </row>
    <row r="359" spans="7:17" x14ac:dyDescent="0.3">
      <c r="G359" s="2"/>
      <c r="N359" s="2"/>
      <c r="O359" s="2"/>
      <c r="P359" s="2"/>
      <c r="Q359" s="2"/>
    </row>
    <row r="360" spans="7:17" x14ac:dyDescent="0.3">
      <c r="G360" s="2"/>
      <c r="N360" s="2"/>
      <c r="O360" s="2"/>
      <c r="P360" s="2"/>
      <c r="Q360" s="2"/>
    </row>
    <row r="361" spans="7:17" x14ac:dyDescent="0.3">
      <c r="G361" s="2"/>
      <c r="N361" s="2"/>
      <c r="O361" s="2"/>
      <c r="P361" s="2"/>
      <c r="Q361" s="2"/>
    </row>
    <row r="362" spans="7:17" x14ac:dyDescent="0.3">
      <c r="G362" s="2"/>
      <c r="N362" s="2"/>
      <c r="O362" s="2"/>
      <c r="P362" s="2"/>
      <c r="Q362" s="2"/>
    </row>
    <row r="363" spans="7:17" x14ac:dyDescent="0.3">
      <c r="G363" s="2"/>
      <c r="N363" s="2"/>
      <c r="O363" s="2"/>
      <c r="P363" s="2"/>
      <c r="Q363" s="2"/>
    </row>
    <row r="364" spans="7:17" x14ac:dyDescent="0.3">
      <c r="G364" s="2"/>
      <c r="N364" s="2"/>
      <c r="O364" s="2"/>
      <c r="P364" s="2"/>
      <c r="Q364" s="2"/>
    </row>
    <row r="365" spans="7:17" x14ac:dyDescent="0.3">
      <c r="G365" s="2"/>
      <c r="N365" s="2"/>
      <c r="O365" s="2"/>
      <c r="P365" s="2"/>
      <c r="Q365" s="2"/>
    </row>
    <row r="366" spans="7:17" x14ac:dyDescent="0.3">
      <c r="G366" s="2"/>
      <c r="N366" s="2"/>
      <c r="O366" s="2"/>
      <c r="P366" s="2"/>
      <c r="Q366" s="2"/>
    </row>
    <row r="367" spans="7:17" x14ac:dyDescent="0.3">
      <c r="G367" s="2"/>
      <c r="N367" s="2"/>
      <c r="O367" s="2"/>
      <c r="P367" s="2"/>
      <c r="Q367" s="2"/>
    </row>
    <row r="368" spans="7:17" x14ac:dyDescent="0.3">
      <c r="G368" s="2"/>
      <c r="N368" s="2"/>
      <c r="O368" s="2"/>
      <c r="P368" s="2"/>
      <c r="Q368" s="2"/>
    </row>
    <row r="369" spans="7:17" x14ac:dyDescent="0.3">
      <c r="G369" s="2"/>
      <c r="N369" s="2"/>
      <c r="O369" s="2"/>
      <c r="P369" s="2"/>
      <c r="Q369" s="2"/>
    </row>
    <row r="370" spans="7:17" x14ac:dyDescent="0.3">
      <c r="G370" s="2"/>
      <c r="N370" s="2"/>
      <c r="O370" s="2"/>
      <c r="P370" s="2"/>
      <c r="Q370" s="2"/>
    </row>
    <row r="371" spans="7:17" x14ac:dyDescent="0.3">
      <c r="G371" s="2"/>
      <c r="N371" s="2"/>
      <c r="O371" s="2"/>
      <c r="P371" s="2"/>
      <c r="Q371" s="2"/>
    </row>
    <row r="372" spans="7:17" x14ac:dyDescent="0.3">
      <c r="G372" s="2"/>
      <c r="N372" s="2"/>
      <c r="O372" s="2"/>
      <c r="P372" s="2"/>
      <c r="Q372" s="2"/>
    </row>
    <row r="373" spans="7:17" x14ac:dyDescent="0.3">
      <c r="G373" s="2"/>
      <c r="N373" s="2"/>
      <c r="O373" s="2"/>
      <c r="P373" s="2"/>
      <c r="Q373" s="2"/>
    </row>
    <row r="374" spans="7:17" x14ac:dyDescent="0.3">
      <c r="G374" s="2"/>
      <c r="N374" s="2"/>
      <c r="O374" s="2"/>
      <c r="P374" s="2"/>
      <c r="Q374" s="2"/>
    </row>
    <row r="375" spans="7:17" x14ac:dyDescent="0.3">
      <c r="G375" s="2"/>
      <c r="N375" s="2"/>
      <c r="O375" s="2"/>
      <c r="P375" s="2"/>
      <c r="Q375" s="2"/>
    </row>
    <row r="376" spans="7:17" x14ac:dyDescent="0.3">
      <c r="G376" s="2"/>
      <c r="N376" s="2"/>
      <c r="O376" s="2"/>
      <c r="P376" s="2"/>
      <c r="Q376" s="2"/>
    </row>
    <row r="377" spans="7:17" x14ac:dyDescent="0.3">
      <c r="G377" s="2"/>
      <c r="N377" s="2"/>
      <c r="O377" s="2"/>
      <c r="P377" s="2"/>
      <c r="Q377" s="2"/>
    </row>
    <row r="378" spans="7:17" x14ac:dyDescent="0.3">
      <c r="G378" s="2"/>
      <c r="N378" s="2"/>
      <c r="O378" s="2"/>
      <c r="P378" s="2"/>
      <c r="Q378" s="2"/>
    </row>
    <row r="379" spans="7:17" x14ac:dyDescent="0.3">
      <c r="G379" s="2"/>
      <c r="N379" s="2"/>
      <c r="O379" s="2"/>
      <c r="P379" s="2"/>
      <c r="Q379" s="2"/>
    </row>
    <row r="380" spans="7:17" x14ac:dyDescent="0.3">
      <c r="G380" s="2"/>
      <c r="N380" s="2"/>
      <c r="O380" s="2"/>
      <c r="P380" s="2"/>
      <c r="Q380" s="2"/>
    </row>
    <row r="381" spans="7:17" x14ac:dyDescent="0.3">
      <c r="G381" s="2"/>
      <c r="N381" s="2"/>
      <c r="O381" s="2"/>
      <c r="P381" s="2"/>
      <c r="Q381" s="2"/>
    </row>
    <row r="382" spans="7:17" x14ac:dyDescent="0.3">
      <c r="G382" s="2"/>
      <c r="N382" s="2"/>
      <c r="O382" s="2"/>
      <c r="P382" s="2"/>
      <c r="Q382" s="2"/>
    </row>
    <row r="383" spans="7:17" x14ac:dyDescent="0.3">
      <c r="G383" s="2"/>
      <c r="N383" s="2"/>
      <c r="O383" s="2"/>
      <c r="P383" s="2"/>
      <c r="Q383" s="2"/>
    </row>
    <row r="384" spans="7:17" x14ac:dyDescent="0.3">
      <c r="G384" s="2"/>
      <c r="N384" s="2"/>
      <c r="O384" s="2"/>
      <c r="P384" s="2"/>
      <c r="Q384" s="2"/>
    </row>
    <row r="385" spans="7:17" x14ac:dyDescent="0.3">
      <c r="G385" s="2"/>
      <c r="N385" s="2"/>
      <c r="O385" s="2"/>
      <c r="P385" s="2"/>
      <c r="Q385" s="2"/>
    </row>
    <row r="386" spans="7:17" x14ac:dyDescent="0.3">
      <c r="G386" s="2"/>
      <c r="N386" s="2"/>
      <c r="O386" s="2"/>
      <c r="P386" s="2"/>
      <c r="Q386" s="2"/>
    </row>
    <row r="387" spans="7:17" x14ac:dyDescent="0.3">
      <c r="G387" s="2"/>
      <c r="N387" s="2"/>
      <c r="O387" s="2"/>
      <c r="P387" s="2"/>
      <c r="Q387" s="2"/>
    </row>
    <row r="388" spans="7:17" x14ac:dyDescent="0.3">
      <c r="G388" s="2"/>
      <c r="N388" s="2"/>
      <c r="O388" s="2"/>
      <c r="P388" s="2"/>
      <c r="Q388" s="2"/>
    </row>
    <row r="389" spans="7:17" x14ac:dyDescent="0.3">
      <c r="G389" s="2"/>
      <c r="N389" s="2"/>
      <c r="O389" s="2"/>
      <c r="P389" s="2"/>
      <c r="Q389" s="2"/>
    </row>
    <row r="390" spans="7:17" x14ac:dyDescent="0.3">
      <c r="G390" s="2"/>
      <c r="N390" s="2"/>
      <c r="O390" s="2"/>
      <c r="P390" s="2"/>
      <c r="Q390" s="2"/>
    </row>
    <row r="391" spans="7:17" x14ac:dyDescent="0.3">
      <c r="G391" s="2"/>
      <c r="N391" s="2"/>
      <c r="O391" s="2"/>
      <c r="P391" s="2"/>
      <c r="Q391" s="2"/>
    </row>
    <row r="392" spans="7:17" x14ac:dyDescent="0.3">
      <c r="G392" s="2"/>
      <c r="N392" s="2"/>
      <c r="O392" s="2"/>
      <c r="P392" s="2"/>
      <c r="Q392" s="2"/>
    </row>
    <row r="393" spans="7:17" x14ac:dyDescent="0.3">
      <c r="G393" s="2"/>
      <c r="N393" s="2"/>
      <c r="O393" s="2"/>
      <c r="P393" s="2"/>
      <c r="Q393" s="2"/>
    </row>
    <row r="394" spans="7:17" x14ac:dyDescent="0.3">
      <c r="G394" s="2"/>
      <c r="N394" s="2"/>
      <c r="O394" s="2"/>
      <c r="P394" s="2"/>
      <c r="Q394" s="2"/>
    </row>
    <row r="395" spans="7:17" x14ac:dyDescent="0.3">
      <c r="G395" s="2"/>
      <c r="N395" s="2"/>
      <c r="O395" s="2"/>
      <c r="P395" s="2"/>
      <c r="Q395" s="2"/>
    </row>
    <row r="396" spans="7:17" x14ac:dyDescent="0.3">
      <c r="G396" s="2"/>
      <c r="N396" s="2"/>
      <c r="O396" s="2"/>
      <c r="P396" s="2"/>
      <c r="Q396" s="2"/>
    </row>
    <row r="397" spans="7:17" x14ac:dyDescent="0.3">
      <c r="G397" s="2"/>
      <c r="N397" s="2"/>
      <c r="O397" s="2"/>
      <c r="P397" s="2"/>
      <c r="Q397" s="2"/>
    </row>
    <row r="398" spans="7:17" x14ac:dyDescent="0.3">
      <c r="G398" s="2"/>
      <c r="N398" s="2"/>
      <c r="O398" s="2"/>
      <c r="P398" s="2"/>
      <c r="Q398" s="2"/>
    </row>
    <row r="399" spans="7:17" x14ac:dyDescent="0.3">
      <c r="G399" s="2"/>
      <c r="N399" s="2"/>
      <c r="O399" s="2"/>
      <c r="P399" s="2"/>
      <c r="Q399" s="2"/>
    </row>
    <row r="400" spans="7:17" x14ac:dyDescent="0.3">
      <c r="G400" s="2"/>
      <c r="N400" s="2"/>
      <c r="O400" s="2"/>
      <c r="P400" s="2"/>
      <c r="Q400" s="2"/>
    </row>
    <row r="401" spans="7:17" x14ac:dyDescent="0.3">
      <c r="G401" s="2"/>
      <c r="N401" s="2"/>
      <c r="O401" s="2"/>
      <c r="P401" s="2"/>
      <c r="Q401" s="2"/>
    </row>
    <row r="402" spans="7:17" x14ac:dyDescent="0.3">
      <c r="G402" s="2"/>
      <c r="N402" s="2"/>
      <c r="O402" s="2"/>
      <c r="P402" s="2"/>
      <c r="Q402" s="2"/>
    </row>
    <row r="403" spans="7:17" x14ac:dyDescent="0.3">
      <c r="G403" s="2"/>
      <c r="N403" s="2"/>
      <c r="O403" s="2"/>
      <c r="P403" s="2"/>
      <c r="Q403" s="2"/>
    </row>
    <row r="404" spans="7:17" x14ac:dyDescent="0.3">
      <c r="G404" s="2"/>
      <c r="N404" s="2"/>
      <c r="O404" s="2"/>
      <c r="P404" s="2"/>
      <c r="Q404" s="2"/>
    </row>
    <row r="405" spans="7:17" x14ac:dyDescent="0.3">
      <c r="G405" s="2"/>
      <c r="N405" s="2"/>
      <c r="O405" s="2"/>
      <c r="P405" s="2"/>
      <c r="Q405" s="2"/>
    </row>
    <row r="406" spans="7:17" x14ac:dyDescent="0.3">
      <c r="G406" s="2"/>
      <c r="N406" s="2"/>
      <c r="O406" s="2"/>
      <c r="P406" s="2"/>
      <c r="Q406" s="2"/>
    </row>
    <row r="407" spans="7:17" x14ac:dyDescent="0.3">
      <c r="G407" s="2"/>
      <c r="N407" s="2"/>
      <c r="O407" s="2"/>
      <c r="P407" s="2"/>
      <c r="Q407" s="2"/>
    </row>
    <row r="408" spans="7:17" x14ac:dyDescent="0.3">
      <c r="G408" s="2"/>
      <c r="N408" s="2"/>
      <c r="O408" s="2"/>
      <c r="P408" s="2"/>
      <c r="Q408" s="2"/>
    </row>
    <row r="409" spans="7:17" x14ac:dyDescent="0.3">
      <c r="G409" s="2"/>
      <c r="N409" s="2"/>
      <c r="O409" s="2"/>
      <c r="P409" s="2"/>
      <c r="Q409" s="2"/>
    </row>
    <row r="410" spans="7:17" x14ac:dyDescent="0.3">
      <c r="G410" s="2"/>
      <c r="N410" s="2"/>
      <c r="O410" s="2"/>
      <c r="P410" s="2"/>
      <c r="Q410" s="2"/>
    </row>
    <row r="411" spans="7:17" x14ac:dyDescent="0.3">
      <c r="G411" s="2"/>
      <c r="N411" s="2"/>
      <c r="O411" s="2"/>
      <c r="P411" s="2"/>
      <c r="Q411" s="2"/>
    </row>
    <row r="412" spans="7:17" x14ac:dyDescent="0.3">
      <c r="G412" s="2"/>
      <c r="N412" s="2"/>
      <c r="O412" s="2"/>
      <c r="P412" s="2"/>
      <c r="Q412" s="2"/>
    </row>
    <row r="413" spans="7:17" x14ac:dyDescent="0.3">
      <c r="G413" s="2"/>
      <c r="N413" s="2"/>
      <c r="O413" s="2"/>
      <c r="P413" s="2"/>
      <c r="Q413" s="2"/>
    </row>
    <row r="414" spans="7:17" x14ac:dyDescent="0.3">
      <c r="G414" s="2"/>
      <c r="N414" s="2"/>
      <c r="O414" s="2"/>
      <c r="P414" s="2"/>
      <c r="Q414" s="2"/>
    </row>
    <row r="415" spans="7:17" x14ac:dyDescent="0.3">
      <c r="G415" s="2"/>
      <c r="N415" s="2"/>
      <c r="O415" s="2"/>
      <c r="P415" s="2"/>
      <c r="Q415" s="2"/>
    </row>
    <row r="416" spans="7:17" x14ac:dyDescent="0.3">
      <c r="G416" s="2"/>
      <c r="N416" s="2"/>
      <c r="O416" s="2"/>
      <c r="P416" s="2"/>
      <c r="Q416" s="2"/>
    </row>
    <row r="417" spans="7:17" x14ac:dyDescent="0.3">
      <c r="G417" s="2"/>
      <c r="N417" s="2"/>
      <c r="O417" s="2"/>
      <c r="P417" s="2"/>
      <c r="Q417" s="2"/>
    </row>
    <row r="418" spans="7:17" x14ac:dyDescent="0.3">
      <c r="G418" s="2"/>
      <c r="N418" s="2"/>
      <c r="O418" s="2"/>
      <c r="P418" s="2"/>
      <c r="Q418" s="2"/>
    </row>
    <row r="419" spans="7:17" x14ac:dyDescent="0.3">
      <c r="G419" s="2"/>
      <c r="N419" s="2"/>
      <c r="O419" s="2"/>
      <c r="P419" s="2"/>
      <c r="Q419" s="2"/>
    </row>
    <row r="420" spans="7:17" x14ac:dyDescent="0.3">
      <c r="G420" s="2"/>
      <c r="N420" s="2"/>
      <c r="O420" s="2"/>
      <c r="P420" s="2"/>
      <c r="Q420" s="2"/>
    </row>
    <row r="421" spans="7:17" x14ac:dyDescent="0.3">
      <c r="G421" s="2"/>
      <c r="N421" s="2"/>
      <c r="O421" s="2"/>
      <c r="P421" s="2"/>
      <c r="Q421" s="2"/>
    </row>
    <row r="422" spans="7:17" x14ac:dyDescent="0.3">
      <c r="G422" s="2"/>
      <c r="N422" s="2"/>
      <c r="O422" s="2"/>
      <c r="P422" s="2"/>
      <c r="Q422" s="2"/>
    </row>
    <row r="423" spans="7:17" x14ac:dyDescent="0.3">
      <c r="G423" s="2"/>
      <c r="N423" s="2"/>
      <c r="O423" s="2"/>
      <c r="P423" s="2"/>
      <c r="Q423" s="2"/>
    </row>
    <row r="424" spans="7:17" x14ac:dyDescent="0.3">
      <c r="G424" s="2"/>
      <c r="N424" s="2"/>
      <c r="O424" s="2"/>
      <c r="P424" s="2"/>
      <c r="Q424" s="2"/>
    </row>
    <row r="425" spans="7:17" x14ac:dyDescent="0.3">
      <c r="G425" s="2"/>
      <c r="N425" s="2"/>
      <c r="O425" s="2"/>
      <c r="P425" s="2"/>
      <c r="Q425" s="2"/>
    </row>
    <row r="426" spans="7:17" x14ac:dyDescent="0.3">
      <c r="G426" s="2"/>
      <c r="N426" s="2"/>
      <c r="O426" s="2"/>
      <c r="P426" s="2"/>
      <c r="Q426" s="2"/>
    </row>
    <row r="427" spans="7:17" x14ac:dyDescent="0.3">
      <c r="G427" s="2"/>
      <c r="N427" s="2"/>
      <c r="O427" s="2"/>
      <c r="P427" s="2"/>
      <c r="Q427" s="2"/>
    </row>
    <row r="428" spans="7:17" x14ac:dyDescent="0.3">
      <c r="G428" s="2"/>
      <c r="N428" s="2"/>
      <c r="O428" s="2"/>
      <c r="P428" s="2"/>
      <c r="Q428" s="2"/>
    </row>
    <row r="429" spans="7:17" x14ac:dyDescent="0.3">
      <c r="G429" s="2"/>
      <c r="N429" s="2"/>
      <c r="O429" s="2"/>
      <c r="P429" s="2"/>
      <c r="Q429" s="2"/>
    </row>
    <row r="430" spans="7:17" x14ac:dyDescent="0.3">
      <c r="G430" s="2"/>
      <c r="N430" s="2"/>
      <c r="O430" s="2"/>
      <c r="P430" s="2"/>
      <c r="Q430" s="2"/>
    </row>
    <row r="431" spans="7:17" x14ac:dyDescent="0.3">
      <c r="G431" s="2"/>
      <c r="N431" s="2"/>
      <c r="O431" s="2"/>
      <c r="P431" s="2"/>
      <c r="Q431" s="2"/>
    </row>
    <row r="432" spans="7:17" x14ac:dyDescent="0.3">
      <c r="G432" s="2"/>
      <c r="N432" s="2"/>
      <c r="O432" s="2"/>
      <c r="P432" s="2"/>
      <c r="Q432" s="2"/>
    </row>
    <row r="433" spans="7:17" x14ac:dyDescent="0.3">
      <c r="G433" s="2"/>
      <c r="N433" s="2"/>
      <c r="O433" s="2"/>
      <c r="P433" s="2"/>
      <c r="Q433" s="2"/>
    </row>
    <row r="434" spans="7:17" x14ac:dyDescent="0.3">
      <c r="G434" s="2"/>
      <c r="N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59" priority="6">
      <formula>MONTH(B11)&lt;&gt;$A$2</formula>
    </cfRule>
  </conditionalFormatting>
  <conditionalFormatting sqref="B11:H28">
    <cfRule type="expression" dxfId="58" priority="5">
      <formula>B11="무지출"</formula>
    </cfRule>
  </conditionalFormatting>
  <conditionalFormatting sqref="U58:U78 U81:U84 U106:U165">
    <cfRule type="expression" dxfId="15" priority="4">
      <formula>$U58&lt;0</formula>
    </cfRule>
  </conditionalFormatting>
  <conditionalFormatting sqref="U86:U104">
    <cfRule type="expression" dxfId="14" priority="3">
      <formula>$U86&lt;0</formula>
    </cfRule>
  </conditionalFormatting>
  <conditionalFormatting sqref="U85">
    <cfRule type="expression" dxfId="13" priority="2">
      <formula>$U85&lt;0</formula>
    </cfRule>
  </conditionalFormatting>
  <conditionalFormatting sqref="U105">
    <cfRule type="expression" dxfId="12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4"/>
    <pageSetUpPr autoPageBreaks="0" fitToPage="1"/>
  </sheetPr>
  <dimension ref="A1:Y434"/>
  <sheetViews>
    <sheetView showGridLines="0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2" width="8.875" style="1" customWidth="1"/>
    <col min="33" max="16384" width="8.875" style="1"/>
  </cols>
  <sheetData>
    <row r="1" spans="1:21" ht="16.5" customHeight="1" x14ac:dyDescent="0.3">
      <c r="A1" s="407">
        <f>메인!$R$3</f>
        <v>2025</v>
      </c>
      <c r="B1" s="541" t="s">
        <v>122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1" ht="16.5" customHeight="1" x14ac:dyDescent="0.3">
      <c r="A2" s="408">
        <f>메인!$N$11</f>
        <v>10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1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1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52"/>
      <c r="R5" s="345"/>
      <c r="S5" s="38"/>
      <c r="T5" s="38"/>
    </row>
    <row r="6" spans="1:21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441" t="s">
        <v>80</v>
      </c>
      <c r="K6" s="394"/>
      <c r="L6" s="394"/>
      <c r="M6" s="394"/>
      <c r="N6" s="394"/>
      <c r="O6" s="394"/>
      <c r="P6" s="394"/>
      <c r="Q6" s="328"/>
      <c r="R6" s="394"/>
      <c r="S6" s="394"/>
      <c r="T6" s="394"/>
    </row>
    <row r="7" spans="1:21" ht="19.899999999999999" customHeight="1" x14ac:dyDescent="0.3">
      <c r="B7" s="62" t="s">
        <v>43</v>
      </c>
      <c r="C7" s="57">
        <f>$C$5-$C$6</f>
        <v>-2610100</v>
      </c>
      <c r="J7" s="442" t="s">
        <v>80</v>
      </c>
      <c r="K7" s="395"/>
      <c r="L7" s="395"/>
      <c r="M7" s="395"/>
      <c r="N7" s="395"/>
      <c r="O7" s="395"/>
      <c r="P7" s="395"/>
      <c r="Q7" s="326"/>
      <c r="R7" s="395"/>
      <c r="S7" s="395"/>
      <c r="T7" s="395"/>
    </row>
    <row r="8" spans="1:21" ht="19.899999999999999" customHeight="1" x14ac:dyDescent="0.3">
      <c r="E8" s="3"/>
      <c r="F8" s="3"/>
      <c r="G8" s="412" t="s">
        <v>257</v>
      </c>
      <c r="H8" s="413">
        <f ca="1">COUNTIF(B10:H28,"무지출")</f>
        <v>31</v>
      </c>
    </row>
    <row r="9" spans="1:21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</row>
    <row r="10" spans="1:21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</row>
    <row r="11" spans="1:21" ht="19.899999999999999" customHeight="1" x14ac:dyDescent="0.3">
      <c r="B11" s="404">
        <f>DATE($A$1,$A$2,1)-WEEKDAY(DATE($A$1,$A$2,1))+1</f>
        <v>45928</v>
      </c>
      <c r="C11" s="405">
        <f>B11+1</f>
        <v>45929</v>
      </c>
      <c r="D11" s="405">
        <f t="shared" ref="D11:H11" si="0">C11+1</f>
        <v>45930</v>
      </c>
      <c r="E11" s="405">
        <f t="shared" si="0"/>
        <v>45931</v>
      </c>
      <c r="F11" s="405">
        <f t="shared" si="0"/>
        <v>45932</v>
      </c>
      <c r="G11" s="405">
        <f t="shared" si="0"/>
        <v>45933</v>
      </c>
      <c r="H11" s="406">
        <f t="shared" si="0"/>
        <v>45934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VLOOKUP(J11,예산!$B$41:$N$53,11,FALSE)</f>
        <v>0</v>
      </c>
      <c r="M11" s="428">
        <f t="shared" ref="M11:M23" si="1">L11-K11</f>
        <v>0</v>
      </c>
      <c r="N11" s="437">
        <f>VLOOKUP(J11,'9월'!$J$10:$K$23,2,FALSE)</f>
        <v>0</v>
      </c>
      <c r="O11" s="439">
        <f t="shared" ref="O11:O23" si="2">K11-N11</f>
        <v>0</v>
      </c>
      <c r="P11" s="3"/>
    </row>
    <row r="12" spans="1:21" ht="19.899999999999999" customHeight="1" x14ac:dyDescent="0.3">
      <c r="B12" s="532" t="str">
        <f ca="1">IF(MONTH(B11)&lt;&gt;$A$2,"",IF(AND(SUMIF($J$81:$J$209,B11,$R$81:$R$209)=0,B11&lt;TODAY()),"무지출",SUMIF($J$81:$J$209,B11,$R$81:$R$209)))</f>
        <v/>
      </c>
      <c r="C12" s="533" t="str">
        <f t="shared" ref="C12:H12" ca="1" si="3">IF(MONTH(C11)&lt;&gt;$A$2,"",IF(AND(SUMIF($J$81:$J$209,C11,$R$81:$R$209)=0,C11&lt;TODAY()),"무지출",SUMIF($J$81:$J$209,C11,$R$81:$R$209)))</f>
        <v/>
      </c>
      <c r="D12" s="533" t="str">
        <f t="shared" ca="1" si="3"/>
        <v/>
      </c>
      <c r="E12" s="533" t="str">
        <f t="shared" ca="1" si="3"/>
        <v>무지출</v>
      </c>
      <c r="F12" s="533" t="str">
        <f t="shared" ca="1" si="3"/>
        <v>무지출</v>
      </c>
      <c r="G12" s="533" t="str">
        <f t="shared" ca="1" si="3"/>
        <v>무지출</v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VLOOKUP(J12,예산!$B$41:$N$53,11,FALSE)</f>
        <v>0</v>
      </c>
      <c r="M12" s="428">
        <f t="shared" si="1"/>
        <v>-212000</v>
      </c>
      <c r="N12" s="437">
        <f>VLOOKUP(J12,'9월'!$J$10:$K$23,2,FALSE)</f>
        <v>212000</v>
      </c>
      <c r="O12" s="439">
        <f t="shared" si="2"/>
        <v>0</v>
      </c>
      <c r="P12" s="3"/>
    </row>
    <row r="13" spans="1:21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VLOOKUP(J13,예산!$B$41:$N$53,11,FALSE)</f>
        <v>0</v>
      </c>
      <c r="M13" s="428">
        <f t="shared" si="1"/>
        <v>0</v>
      </c>
      <c r="N13" s="437">
        <f>VLOOKUP(J13,'9월'!$J$10:$K$23,2,FALSE)</f>
        <v>0</v>
      </c>
      <c r="O13" s="439">
        <f t="shared" si="2"/>
        <v>0</v>
      </c>
      <c r="P13" s="3"/>
    </row>
    <row r="14" spans="1:21" ht="19.899999999999999" customHeight="1" x14ac:dyDescent="0.3">
      <c r="B14" s="404">
        <f>B11+7</f>
        <v>45935</v>
      </c>
      <c r="C14" s="405">
        <f t="shared" ref="C14:H14" si="5">C11+7</f>
        <v>45936</v>
      </c>
      <c r="D14" s="405">
        <f t="shared" si="5"/>
        <v>45937</v>
      </c>
      <c r="E14" s="405">
        <f t="shared" si="5"/>
        <v>45938</v>
      </c>
      <c r="F14" s="405">
        <f t="shared" si="5"/>
        <v>45939</v>
      </c>
      <c r="G14" s="405">
        <f t="shared" si="5"/>
        <v>45940</v>
      </c>
      <c r="H14" s="406">
        <f t="shared" si="5"/>
        <v>45941</v>
      </c>
      <c r="J14" s="369" t="str">
        <f>항목!H$3</f>
        <v>반려동물비</v>
      </c>
      <c r="K14" s="426">
        <f t="shared" si="4"/>
        <v>0</v>
      </c>
      <c r="L14" s="426">
        <f>VLOOKUP(J14,예산!$B$41:$N$53,11,FALSE)</f>
        <v>0</v>
      </c>
      <c r="M14" s="428">
        <f t="shared" si="1"/>
        <v>0</v>
      </c>
      <c r="N14" s="437">
        <f>VLOOKUP(J14,'9월'!$J$10:$K$23,2,FALSE)</f>
        <v>0</v>
      </c>
      <c r="O14" s="439">
        <f t="shared" si="2"/>
        <v>0</v>
      </c>
      <c r="P14" s="3"/>
    </row>
    <row r="15" spans="1:21" ht="19.899999999999999" customHeight="1" x14ac:dyDescent="0.3">
      <c r="B15" s="532" t="str">
        <f ca="1">IF(MONTH(B14)&lt;&gt;$A$2,"",IF(AND(SUMIF($J$81:$J$209,B14,$R$81:$R$209)=0,B14&lt;TODAY()),"무지출",SUMIF($J$81:$J$209,B14,$R$81:$R$209)))</f>
        <v>무지출</v>
      </c>
      <c r="C15" s="533" t="str">
        <f t="shared" ref="C15:H15" ca="1" si="6">IF(MONTH(C14)&lt;&gt;$A$2,"",IF(AND(SUMIF($J$81:$J$209,C14,$R$81:$R$209)=0,C14&lt;TODAY()),"무지출",SUMIF($J$81:$J$209,C14,$R$81:$R$209)))</f>
        <v>무지출</v>
      </c>
      <c r="D15" s="533" t="str">
        <f t="shared" ca="1" si="6"/>
        <v>무지출</v>
      </c>
      <c r="E15" s="533" t="str">
        <f t="shared" ca="1" si="6"/>
        <v>무지출</v>
      </c>
      <c r="F15" s="533" t="str">
        <f t="shared" ca="1" si="6"/>
        <v>무지출</v>
      </c>
      <c r="G15" s="533" t="str">
        <f t="shared" ca="1" si="6"/>
        <v>무지출</v>
      </c>
      <c r="H15" s="534" t="str">
        <f t="shared" ca="1" si="6"/>
        <v>무지출</v>
      </c>
      <c r="J15" s="369" t="str">
        <f>항목!I$3</f>
        <v>의류미용비</v>
      </c>
      <c r="K15" s="426">
        <f t="shared" si="4"/>
        <v>0</v>
      </c>
      <c r="L15" s="426">
        <f>VLOOKUP(J15,예산!$B$41:$N$53,11,FALSE)</f>
        <v>0</v>
      </c>
      <c r="M15" s="428">
        <f t="shared" si="1"/>
        <v>0</v>
      </c>
      <c r="N15" s="437">
        <f>VLOOKUP(J15,'9월'!$J$10:$K$23,2,FALSE)</f>
        <v>0</v>
      </c>
      <c r="O15" s="439">
        <f t="shared" si="2"/>
        <v>0</v>
      </c>
      <c r="P15" s="3"/>
    </row>
    <row r="16" spans="1:21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VLOOKUP(J16,예산!$B$41:$N$53,11,FALSE)</f>
        <v>0</v>
      </c>
      <c r="M16" s="428">
        <f t="shared" si="1"/>
        <v>0</v>
      </c>
      <c r="N16" s="437">
        <f>VLOOKUP(J16,'9월'!$J$10:$K$23,2,FALSE)</f>
        <v>0</v>
      </c>
      <c r="O16" s="439">
        <f t="shared" si="2"/>
        <v>0</v>
      </c>
      <c r="P16" s="3"/>
    </row>
    <row r="17" spans="2:23" ht="19.899999999999999" customHeight="1" x14ac:dyDescent="0.3">
      <c r="B17" s="404">
        <f>B11+14</f>
        <v>45942</v>
      </c>
      <c r="C17" s="405">
        <f t="shared" ref="C17:H17" si="7">C11+14</f>
        <v>45943</v>
      </c>
      <c r="D17" s="405">
        <f t="shared" si="7"/>
        <v>45944</v>
      </c>
      <c r="E17" s="405">
        <f t="shared" si="7"/>
        <v>45945</v>
      </c>
      <c r="F17" s="405">
        <f t="shared" si="7"/>
        <v>45946</v>
      </c>
      <c r="G17" s="405">
        <f t="shared" si="7"/>
        <v>45947</v>
      </c>
      <c r="H17" s="406">
        <f t="shared" si="7"/>
        <v>45948</v>
      </c>
      <c r="J17" s="369" t="str">
        <f>항목!K$3</f>
        <v>문화생활비</v>
      </c>
      <c r="K17" s="426">
        <f t="shared" si="4"/>
        <v>63100</v>
      </c>
      <c r="L17" s="426">
        <f>VLOOKUP(J17,예산!$B$41:$N$53,11,FALSE)</f>
        <v>0</v>
      </c>
      <c r="M17" s="428">
        <f t="shared" si="1"/>
        <v>-63100</v>
      </c>
      <c r="N17" s="437">
        <f>VLOOKUP(J17,'9월'!$J$10:$K$23,2,FALSE)</f>
        <v>63100</v>
      </c>
      <c r="O17" s="439">
        <f t="shared" si="2"/>
        <v>0</v>
      </c>
      <c r="P17" s="3"/>
    </row>
    <row r="18" spans="2:23" ht="19.899999999999999" customHeight="1" x14ac:dyDescent="0.3">
      <c r="B18" s="532" t="str">
        <f ca="1">IF(MONTH(B17)&lt;&gt;$A$2,"",IF(AND(SUMIF($J$81:$J$209,B17,$R$81:$R$209)=0,B17&lt;TODAY()),"무지출",SUMIF($J$81:$J$209,B17,$R$81:$R$209)))</f>
        <v>무지출</v>
      </c>
      <c r="C18" s="532" t="str">
        <f t="shared" ref="C18:H18" ca="1" si="8">IF(MONTH(C17)&lt;&gt;$A$2,"",IF(AND(SUMIF($J$81:$J$209,C17,$R$81:$R$209)=0,C17&lt;TODAY()),"무지출",SUMIF($J$81:$J$209,C17,$R$81:$R$209)))</f>
        <v>무지출</v>
      </c>
      <c r="D18" s="532" t="str">
        <f t="shared" ca="1" si="8"/>
        <v>무지출</v>
      </c>
      <c r="E18" s="532" t="str">
        <f t="shared" ca="1" si="8"/>
        <v>무지출</v>
      </c>
      <c r="F18" s="532" t="str">
        <f t="shared" ca="1" si="8"/>
        <v>무지출</v>
      </c>
      <c r="G18" s="532" t="str">
        <f t="shared" ca="1" si="8"/>
        <v>무지출</v>
      </c>
      <c r="H18" s="534" t="str">
        <f t="shared" ca="1" si="8"/>
        <v>무지출</v>
      </c>
      <c r="J18" s="369" t="str">
        <f>항목!L$3</f>
        <v>의료비</v>
      </c>
      <c r="K18" s="426">
        <f t="shared" si="4"/>
        <v>0</v>
      </c>
      <c r="L18" s="426">
        <f>VLOOKUP(J18,예산!$B$41:$N$53,11,FALSE)</f>
        <v>0</v>
      </c>
      <c r="M18" s="428">
        <f t="shared" si="1"/>
        <v>0</v>
      </c>
      <c r="N18" s="437">
        <f>VLOOKUP(J18,'9월'!$J$10:$K$23,2,FALSE)</f>
        <v>0</v>
      </c>
      <c r="O18" s="439">
        <f t="shared" si="2"/>
        <v>0</v>
      </c>
      <c r="P18" s="3"/>
    </row>
    <row r="19" spans="2:23" ht="19.899999999999999" customHeight="1" x14ac:dyDescent="0.3">
      <c r="B19" s="540"/>
      <c r="C19" s="540"/>
      <c r="D19" s="540"/>
      <c r="E19" s="540"/>
      <c r="F19" s="540"/>
      <c r="G19" s="540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VLOOKUP(J19,예산!$B$41:$N$53,11,FALSE)</f>
        <v>0</v>
      </c>
      <c r="M19" s="428">
        <f t="shared" si="1"/>
        <v>0</v>
      </c>
      <c r="N19" s="437">
        <f>VLOOKUP(J19,'9월'!$J$10:$K$23,2,FALSE)</f>
        <v>0</v>
      </c>
      <c r="O19" s="439">
        <f t="shared" si="2"/>
        <v>0</v>
      </c>
      <c r="P19" s="3"/>
    </row>
    <row r="20" spans="2:23" ht="19.899999999999999" customHeight="1" x14ac:dyDescent="0.3">
      <c r="B20" s="404">
        <f>B11+21</f>
        <v>45949</v>
      </c>
      <c r="C20" s="405">
        <f t="shared" ref="C20:H20" si="9">C11+21</f>
        <v>45950</v>
      </c>
      <c r="D20" s="405">
        <f t="shared" si="9"/>
        <v>45951</v>
      </c>
      <c r="E20" s="405">
        <f t="shared" si="9"/>
        <v>45952</v>
      </c>
      <c r="F20" s="405">
        <f t="shared" si="9"/>
        <v>45953</v>
      </c>
      <c r="G20" s="405">
        <f t="shared" si="9"/>
        <v>45954</v>
      </c>
      <c r="H20" s="406">
        <f t="shared" si="9"/>
        <v>45955</v>
      </c>
      <c r="J20" s="369" t="str">
        <f>항목!N$3</f>
        <v>통신비</v>
      </c>
      <c r="K20" s="426">
        <f t="shared" si="4"/>
        <v>0</v>
      </c>
      <c r="L20" s="426">
        <f>VLOOKUP(J20,예산!$B$41:$N$53,11,FALSE)</f>
        <v>0</v>
      </c>
      <c r="M20" s="428">
        <f t="shared" si="1"/>
        <v>0</v>
      </c>
      <c r="N20" s="437">
        <f>VLOOKUP(J20,'9월'!$J$10:$K$23,2,FALSE)</f>
        <v>0</v>
      </c>
      <c r="O20" s="439">
        <f t="shared" si="2"/>
        <v>0</v>
      </c>
      <c r="P20" s="3"/>
    </row>
    <row r="21" spans="2:23" ht="19.899999999999999" customHeight="1" x14ac:dyDescent="0.3">
      <c r="B21" s="532" t="str">
        <f ca="1">IF(MONTH(B20)&lt;&gt;$A$2,"",IF(AND(SUMIF($J$81:$J$209,B20,$R$81:$R$209)=0,B20&lt;TODAY()),"무지출",SUMIF($J$81:$J$209,B20,$R$81:$R$209)))</f>
        <v>무지출</v>
      </c>
      <c r="C21" s="533" t="str">
        <f t="shared" ref="C21:H21" ca="1" si="10">IF(MONTH(C20)&lt;&gt;$A$2,"",IF(AND(SUMIF($J$81:$J$209,C20,$R$81:$R$209)=0,C20&lt;TODAY()),"무지출",SUMIF($J$81:$J$209,C20,$R$81:$R$209)))</f>
        <v>무지출</v>
      </c>
      <c r="D21" s="533" t="str">
        <f t="shared" ca="1" si="10"/>
        <v>무지출</v>
      </c>
      <c r="E21" s="533" t="str">
        <f t="shared" ca="1" si="10"/>
        <v>무지출</v>
      </c>
      <c r="F21" s="533" t="str">
        <f t="shared" ca="1" si="10"/>
        <v>무지출</v>
      </c>
      <c r="G21" s="533" t="str">
        <f t="shared" ca="1" si="10"/>
        <v>무지출</v>
      </c>
      <c r="H21" s="534" t="str">
        <f t="shared" ca="1" si="10"/>
        <v>무지출</v>
      </c>
      <c r="J21" s="369" t="str">
        <f>항목!O$3</f>
        <v>경조사회비</v>
      </c>
      <c r="K21" s="426">
        <f t="shared" si="4"/>
        <v>0</v>
      </c>
      <c r="L21" s="426">
        <f>VLOOKUP(J21,예산!$B$41:$N$53,11,FALSE)</f>
        <v>0</v>
      </c>
      <c r="M21" s="428">
        <f t="shared" si="1"/>
        <v>0</v>
      </c>
      <c r="N21" s="437">
        <f>VLOOKUP(J21,'9월'!$J$10:$K$23,2,FALSE)</f>
        <v>0</v>
      </c>
      <c r="O21" s="439">
        <f t="shared" si="2"/>
        <v>0</v>
      </c>
      <c r="P21" s="3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VLOOKUP(J22,예산!$B$41:$N$53,11,FALSE)</f>
        <v>0</v>
      </c>
      <c r="M22" s="428">
        <f t="shared" si="1"/>
        <v>0</v>
      </c>
      <c r="N22" s="437">
        <f>VLOOKUP(J22,'9월'!$J$10:$K$23,2,FALSE)</f>
        <v>0</v>
      </c>
      <c r="O22" s="439">
        <f t="shared" si="2"/>
        <v>0</v>
      </c>
      <c r="P22" s="3"/>
    </row>
    <row r="23" spans="2:23" ht="19.899999999999999" customHeight="1" x14ac:dyDescent="0.3">
      <c r="B23" s="404">
        <f>B11+28</f>
        <v>45956</v>
      </c>
      <c r="C23" s="405">
        <f t="shared" ref="C23:H23" si="11">C11+28</f>
        <v>45957</v>
      </c>
      <c r="D23" s="405">
        <f t="shared" si="11"/>
        <v>45958</v>
      </c>
      <c r="E23" s="405">
        <f t="shared" si="11"/>
        <v>45959</v>
      </c>
      <c r="F23" s="405">
        <f t="shared" si="11"/>
        <v>45960</v>
      </c>
      <c r="G23" s="405">
        <f t="shared" si="11"/>
        <v>45961</v>
      </c>
      <c r="H23" s="406">
        <f t="shared" si="11"/>
        <v>45962</v>
      </c>
      <c r="J23" s="332" t="str">
        <f>항목!Q$3</f>
        <v>추가항목</v>
      </c>
      <c r="K23" s="426">
        <f t="shared" si="4"/>
        <v>0</v>
      </c>
      <c r="L23" s="427">
        <f>VLOOKUP(J23,예산!$B$41:$N$53,11,FALSE)</f>
        <v>0</v>
      </c>
      <c r="M23" s="429">
        <f t="shared" si="1"/>
        <v>0</v>
      </c>
      <c r="N23" s="438">
        <f>VLOOKUP(J23,'9월'!$J$10:$K$23,2,FALSE)</f>
        <v>0</v>
      </c>
      <c r="O23" s="440">
        <f t="shared" si="2"/>
        <v>0</v>
      </c>
      <c r="P23" s="3"/>
    </row>
    <row r="24" spans="2:23" ht="19.899999999999999" customHeight="1" x14ac:dyDescent="0.3">
      <c r="B24" s="532" t="str">
        <f ca="1">IF(MONTH(B23)&lt;&gt;$A$2,"",IF(AND(SUMIF($J$81:$J$209,B23,$R$81:$R$209)=0,B23&lt;TODAY()),"무지출",SUMIF($J$81:$J$209,B23,$R$81:$R$209)))</f>
        <v>무지출</v>
      </c>
      <c r="C24" s="533" t="str">
        <f t="shared" ref="C24:H24" ca="1" si="12">IF(MONTH(C23)&lt;&gt;$A$2,"",IF(AND(SUMIF($J$81:$J$209,C23,$R$81:$R$209)=0,C23&lt;TODAY()),"무지출",SUMIF($J$81:$J$209,C23,$R$81:$R$209)))</f>
        <v>무지출</v>
      </c>
      <c r="D24" s="533" t="str">
        <f t="shared" ca="1" si="12"/>
        <v>무지출</v>
      </c>
      <c r="E24" s="533" t="str">
        <f t="shared" ca="1" si="12"/>
        <v>무지출</v>
      </c>
      <c r="F24" s="533" t="str">
        <f t="shared" ca="1" si="12"/>
        <v>무지출</v>
      </c>
      <c r="G24" s="533" t="str">
        <f t="shared" ca="1" si="12"/>
        <v>무지출</v>
      </c>
      <c r="H24" s="534" t="str">
        <f t="shared" ca="1" si="12"/>
        <v/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</row>
    <row r="26" spans="2:23" ht="19.899999999999999" customHeight="1" x14ac:dyDescent="0.3">
      <c r="B26" s="404">
        <f>B11+35</f>
        <v>45963</v>
      </c>
      <c r="C26" s="405">
        <f t="shared" ref="C26:H26" si="13">C11+35</f>
        <v>45964</v>
      </c>
      <c r="D26" s="405">
        <f t="shared" si="13"/>
        <v>45965</v>
      </c>
      <c r="E26" s="405">
        <f t="shared" si="13"/>
        <v>45966</v>
      </c>
      <c r="F26" s="405">
        <f t="shared" si="13"/>
        <v>45967</v>
      </c>
      <c r="G26" s="405">
        <f t="shared" si="13"/>
        <v>45968</v>
      </c>
      <c r="H26" s="406">
        <f t="shared" si="13"/>
        <v>45969</v>
      </c>
      <c r="J26" s="446"/>
      <c r="K26" s="368"/>
      <c r="L26" s="368"/>
      <c r="M26" s="368"/>
      <c r="N26" s="368"/>
      <c r="O26" s="368"/>
    </row>
    <row r="27" spans="2:23" ht="19.899999999999999" customHeight="1" x14ac:dyDescent="0.3">
      <c r="B27" s="532" t="str">
        <f ca="1">IF(MONTH(B26)&lt;&gt;$A$2,"",IF(AND(SUMIF($J$81:$J$209,B26,$R$81:$R$209)=0,B26&lt;TODAY()),"무지출",SUMIF($J$81:$J$209,B26,$R$81:$R$209)))</f>
        <v/>
      </c>
      <c r="C27" s="533" t="str">
        <f t="shared" ref="C27:H27" ca="1" si="14">IF(MONTH(C26)&lt;&gt;$A$2,"",IF(AND(SUMIF($J$81:$J$209,C26,$R$81:$R$209)=0,C26&lt;TODAY()),"무지출",SUMIF($J$81:$J$209,C26,$R$81:$R$209)))</f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368"/>
      <c r="K27" s="368"/>
      <c r="L27" s="368"/>
      <c r="M27" s="368"/>
      <c r="N27" s="368"/>
      <c r="O27" s="368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446"/>
      <c r="K28" s="368"/>
      <c r="L28" s="368"/>
      <c r="M28" s="368"/>
      <c r="N28" s="368"/>
      <c r="O28" s="368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G168" s="2"/>
      <c r="N168" s="2"/>
      <c r="O168" s="2"/>
      <c r="P168" s="2"/>
      <c r="Q168" s="2"/>
    </row>
    <row r="169" spans="1:23" ht="18" customHeight="1" x14ac:dyDescent="0.3">
      <c r="G169" s="2"/>
      <c r="N169" s="2"/>
      <c r="O169" s="2"/>
      <c r="P169" s="2"/>
      <c r="Q169" s="2"/>
    </row>
    <row r="170" spans="1:23" ht="18" customHeight="1" x14ac:dyDescent="0.3">
      <c r="G170" s="2"/>
      <c r="N170" s="2"/>
      <c r="O170" s="2"/>
      <c r="P170" s="2"/>
      <c r="Q170" s="2"/>
    </row>
    <row r="171" spans="1:23" ht="18" customHeight="1" x14ac:dyDescent="0.3">
      <c r="G171" s="2"/>
      <c r="N171" s="2"/>
      <c r="O171" s="2"/>
      <c r="P171" s="2"/>
      <c r="Q171" s="2"/>
    </row>
    <row r="172" spans="1:23" ht="18" customHeight="1" x14ac:dyDescent="0.3">
      <c r="G172" s="2"/>
      <c r="N172" s="2"/>
      <c r="O172" s="2"/>
      <c r="P172" s="2"/>
      <c r="Q172" s="2"/>
    </row>
    <row r="173" spans="1:23" ht="18" customHeight="1" x14ac:dyDescent="0.3">
      <c r="G173" s="2"/>
      <c r="N173" s="2"/>
      <c r="O173" s="2"/>
      <c r="P173" s="2"/>
      <c r="Q173" s="2"/>
    </row>
    <row r="174" spans="1:23" ht="18" customHeight="1" x14ac:dyDescent="0.3">
      <c r="G174" s="2"/>
      <c r="N174" s="2"/>
      <c r="O174" s="2"/>
      <c r="P174" s="2"/>
      <c r="Q174" s="2"/>
    </row>
    <row r="175" spans="1:23" ht="18" customHeight="1" x14ac:dyDescent="0.3">
      <c r="G175" s="2"/>
      <c r="N175" s="2"/>
      <c r="O175" s="2"/>
      <c r="P175" s="2"/>
      <c r="Q175" s="2"/>
    </row>
    <row r="176" spans="1:23" ht="18" customHeight="1" x14ac:dyDescent="0.3">
      <c r="G176" s="2"/>
      <c r="N176" s="2"/>
      <c r="O176" s="2"/>
      <c r="P176" s="2"/>
      <c r="Q176" s="2"/>
    </row>
    <row r="177" spans="7:17" ht="18" customHeight="1" x14ac:dyDescent="0.3">
      <c r="G177" s="2"/>
      <c r="N177" s="2"/>
      <c r="O177" s="2"/>
      <c r="P177" s="2"/>
      <c r="Q177" s="2"/>
    </row>
    <row r="178" spans="7:17" ht="18" customHeight="1" x14ac:dyDescent="0.3">
      <c r="G178" s="2"/>
      <c r="N178" s="2"/>
      <c r="O178" s="2"/>
      <c r="P178" s="2"/>
      <c r="Q178" s="2"/>
    </row>
    <row r="179" spans="7:17" ht="18" customHeight="1" x14ac:dyDescent="0.3">
      <c r="G179" s="2"/>
      <c r="N179" s="2"/>
      <c r="O179" s="2"/>
      <c r="P179" s="2"/>
      <c r="Q179" s="2"/>
    </row>
    <row r="180" spans="7:17" ht="18" customHeight="1" x14ac:dyDescent="0.3">
      <c r="G180" s="2"/>
      <c r="N180" s="2"/>
      <c r="O180" s="2"/>
      <c r="P180" s="2"/>
      <c r="Q180" s="2"/>
    </row>
    <row r="181" spans="7:17" ht="18" customHeight="1" x14ac:dyDescent="0.3">
      <c r="G181" s="2"/>
      <c r="N181" s="2"/>
      <c r="O181" s="2"/>
      <c r="P181" s="2"/>
      <c r="Q181" s="2"/>
    </row>
    <row r="182" spans="7:17" ht="18" customHeight="1" x14ac:dyDescent="0.3">
      <c r="G182" s="2"/>
      <c r="N182" s="2"/>
      <c r="O182" s="2"/>
      <c r="P182" s="2"/>
      <c r="Q182" s="2"/>
    </row>
    <row r="183" spans="7:17" ht="18" customHeight="1" x14ac:dyDescent="0.3">
      <c r="G183" s="2"/>
      <c r="N183" s="2"/>
      <c r="O183" s="2"/>
      <c r="P183" s="2"/>
      <c r="Q183" s="2"/>
    </row>
    <row r="184" spans="7:17" ht="18" customHeight="1" x14ac:dyDescent="0.3">
      <c r="G184" s="2"/>
      <c r="N184" s="2"/>
      <c r="O184" s="2"/>
      <c r="P184" s="2"/>
      <c r="Q184" s="2"/>
    </row>
    <row r="185" spans="7:17" ht="18" customHeight="1" x14ac:dyDescent="0.3">
      <c r="G185" s="2"/>
      <c r="N185" s="2"/>
      <c r="O185" s="2"/>
      <c r="P185" s="2"/>
      <c r="Q185" s="2"/>
    </row>
    <row r="186" spans="7:17" ht="18" customHeight="1" x14ac:dyDescent="0.3">
      <c r="G186" s="2"/>
      <c r="N186" s="2"/>
      <c r="O186" s="2"/>
      <c r="P186" s="2"/>
      <c r="Q186" s="2"/>
    </row>
    <row r="187" spans="7:17" ht="18" customHeight="1" x14ac:dyDescent="0.3">
      <c r="G187" s="2"/>
      <c r="N187" s="2"/>
      <c r="O187" s="2"/>
      <c r="P187" s="2"/>
      <c r="Q187" s="2"/>
    </row>
    <row r="188" spans="7:17" ht="18" customHeight="1" x14ac:dyDescent="0.3">
      <c r="G188" s="2"/>
      <c r="N188" s="2"/>
      <c r="O188" s="2"/>
      <c r="P188" s="2"/>
      <c r="Q188" s="2"/>
    </row>
    <row r="189" spans="7:17" ht="18" customHeight="1" x14ac:dyDescent="0.3">
      <c r="G189" s="2"/>
      <c r="N189" s="2"/>
      <c r="O189" s="2"/>
      <c r="P189" s="2"/>
      <c r="Q189" s="2"/>
    </row>
    <row r="190" spans="7:17" ht="18" customHeight="1" x14ac:dyDescent="0.3">
      <c r="G190" s="2"/>
      <c r="N190" s="2"/>
      <c r="O190" s="2"/>
      <c r="P190" s="2"/>
      <c r="Q190" s="2"/>
    </row>
    <row r="191" spans="7:17" ht="18" customHeight="1" x14ac:dyDescent="0.3">
      <c r="G191" s="2"/>
      <c r="N191" s="2"/>
      <c r="O191" s="2"/>
      <c r="P191" s="2"/>
      <c r="Q191" s="2"/>
    </row>
    <row r="192" spans="7:17" ht="18" customHeight="1" x14ac:dyDescent="0.3">
      <c r="G192" s="2"/>
      <c r="N192" s="2"/>
      <c r="O192" s="2"/>
      <c r="P192" s="2"/>
      <c r="Q192" s="2"/>
    </row>
    <row r="193" spans="7:17" ht="18" customHeight="1" x14ac:dyDescent="0.3">
      <c r="G193" s="2"/>
      <c r="N193" s="2"/>
      <c r="O193" s="2"/>
      <c r="P193" s="2"/>
      <c r="Q193" s="2"/>
    </row>
    <row r="194" spans="7:17" ht="18" customHeight="1" x14ac:dyDescent="0.3">
      <c r="G194" s="2"/>
      <c r="N194" s="2"/>
      <c r="O194" s="2"/>
      <c r="P194" s="2"/>
      <c r="Q194" s="2"/>
    </row>
    <row r="195" spans="7:17" ht="18" customHeight="1" x14ac:dyDescent="0.3">
      <c r="G195" s="2"/>
      <c r="N195" s="2"/>
      <c r="O195" s="2"/>
      <c r="P195" s="2"/>
      <c r="Q195" s="2"/>
    </row>
    <row r="196" spans="7:17" ht="18" customHeight="1" x14ac:dyDescent="0.3">
      <c r="G196" s="2"/>
      <c r="N196" s="2"/>
      <c r="O196" s="2"/>
      <c r="P196" s="2"/>
      <c r="Q196" s="2"/>
    </row>
    <row r="197" spans="7:17" ht="18" customHeight="1" x14ac:dyDescent="0.3">
      <c r="G197" s="2"/>
      <c r="N197" s="2"/>
      <c r="O197" s="2"/>
      <c r="P197" s="2"/>
      <c r="Q197" s="2"/>
    </row>
    <row r="198" spans="7:17" ht="18" customHeight="1" x14ac:dyDescent="0.3">
      <c r="G198" s="2"/>
      <c r="N198" s="2"/>
      <c r="O198" s="2"/>
      <c r="P198" s="2"/>
      <c r="Q198" s="2"/>
    </row>
    <row r="199" spans="7:17" ht="18" customHeight="1" x14ac:dyDescent="0.3">
      <c r="G199" s="2"/>
      <c r="N199" s="2"/>
      <c r="O199" s="2"/>
      <c r="P199" s="2"/>
      <c r="Q199" s="2"/>
    </row>
    <row r="200" spans="7:17" ht="18" customHeight="1" x14ac:dyDescent="0.3">
      <c r="G200" s="2"/>
      <c r="N200" s="2"/>
      <c r="O200" s="2"/>
      <c r="P200" s="2"/>
      <c r="Q200" s="2"/>
    </row>
    <row r="201" spans="7:17" ht="18" customHeight="1" x14ac:dyDescent="0.3">
      <c r="G201" s="2"/>
      <c r="N201" s="2"/>
      <c r="O201" s="2"/>
      <c r="P201" s="2"/>
      <c r="Q201" s="2"/>
    </row>
    <row r="202" spans="7:17" ht="18" customHeight="1" x14ac:dyDescent="0.3">
      <c r="G202" s="2"/>
      <c r="N202" s="2"/>
      <c r="O202" s="2"/>
      <c r="P202" s="2"/>
      <c r="Q202" s="2"/>
    </row>
    <row r="203" spans="7:17" ht="18" customHeight="1" x14ac:dyDescent="0.3">
      <c r="G203" s="2"/>
      <c r="N203" s="2"/>
      <c r="O203" s="2"/>
      <c r="P203" s="2"/>
      <c r="Q203" s="2"/>
    </row>
    <row r="204" spans="7:17" ht="18" customHeight="1" x14ac:dyDescent="0.3">
      <c r="G204" s="2"/>
      <c r="N204" s="2"/>
      <c r="O204" s="2"/>
      <c r="P204" s="2"/>
      <c r="Q204" s="2"/>
    </row>
    <row r="205" spans="7:17" ht="18" customHeight="1" x14ac:dyDescent="0.3">
      <c r="G205" s="2"/>
      <c r="N205" s="2"/>
      <c r="O205" s="2"/>
      <c r="P205" s="2"/>
      <c r="Q205" s="2"/>
    </row>
    <row r="206" spans="7:17" ht="18" customHeight="1" x14ac:dyDescent="0.3">
      <c r="G206" s="2"/>
      <c r="N206" s="2"/>
      <c r="O206" s="2"/>
      <c r="P206" s="2"/>
      <c r="Q206" s="2"/>
    </row>
    <row r="207" spans="7:17" ht="18" customHeight="1" x14ac:dyDescent="0.3">
      <c r="G207" s="2"/>
      <c r="N207" s="2"/>
      <c r="O207" s="2"/>
      <c r="P207" s="2"/>
      <c r="Q207" s="2"/>
    </row>
    <row r="208" spans="7:17" ht="18" customHeight="1" x14ac:dyDescent="0.3">
      <c r="G208" s="2"/>
      <c r="N208" s="2"/>
      <c r="O208" s="2"/>
      <c r="P208" s="2"/>
      <c r="Q208" s="2"/>
    </row>
    <row r="209" spans="7:17" ht="18" customHeight="1" x14ac:dyDescent="0.3">
      <c r="G209" s="2"/>
      <c r="N209" s="2"/>
      <c r="O209" s="2"/>
      <c r="P209" s="2"/>
      <c r="Q209" s="2"/>
    </row>
    <row r="210" spans="7:17" ht="18" customHeight="1" x14ac:dyDescent="0.3">
      <c r="G210" s="2"/>
      <c r="N210" s="2"/>
      <c r="O210" s="2"/>
      <c r="P210" s="2"/>
      <c r="Q210" s="2"/>
    </row>
    <row r="211" spans="7:17" ht="18" customHeight="1" x14ac:dyDescent="0.3">
      <c r="G211" s="2"/>
      <c r="N211" s="2"/>
      <c r="O211" s="2"/>
      <c r="P211" s="2"/>
      <c r="Q211" s="2"/>
    </row>
    <row r="212" spans="7:17" ht="18" customHeight="1" x14ac:dyDescent="0.3">
      <c r="G212" s="2"/>
      <c r="N212" s="2"/>
      <c r="O212" s="2"/>
      <c r="P212" s="2"/>
      <c r="Q212" s="2"/>
    </row>
    <row r="213" spans="7:17" ht="18" customHeight="1" x14ac:dyDescent="0.3">
      <c r="G213" s="2"/>
      <c r="N213" s="2"/>
      <c r="O213" s="2"/>
      <c r="P213" s="2"/>
      <c r="Q213" s="2"/>
    </row>
    <row r="214" spans="7:17" ht="18" customHeight="1" x14ac:dyDescent="0.3">
      <c r="G214" s="2"/>
      <c r="N214" s="2"/>
      <c r="O214" s="2"/>
      <c r="P214" s="2"/>
      <c r="Q214" s="2"/>
    </row>
    <row r="215" spans="7:17" ht="18" customHeight="1" x14ac:dyDescent="0.3">
      <c r="G215" s="2"/>
      <c r="N215" s="2"/>
      <c r="O215" s="2"/>
      <c r="P215" s="2"/>
      <c r="Q215" s="2"/>
    </row>
    <row r="216" spans="7:17" ht="18" customHeight="1" x14ac:dyDescent="0.3">
      <c r="G216" s="2"/>
      <c r="N216" s="2"/>
      <c r="O216" s="2"/>
      <c r="P216" s="2"/>
      <c r="Q216" s="2"/>
    </row>
    <row r="217" spans="7:17" ht="18" customHeight="1" x14ac:dyDescent="0.3">
      <c r="G217" s="2"/>
      <c r="N217" s="2"/>
      <c r="O217" s="2"/>
      <c r="P217" s="2"/>
      <c r="Q217" s="2"/>
    </row>
    <row r="218" spans="7:17" ht="18" customHeight="1" x14ac:dyDescent="0.3">
      <c r="G218" s="2"/>
      <c r="N218" s="2"/>
      <c r="O218" s="2"/>
      <c r="P218" s="2"/>
      <c r="Q218" s="2"/>
    </row>
    <row r="219" spans="7:17" ht="18" customHeight="1" x14ac:dyDescent="0.3">
      <c r="G219" s="2"/>
      <c r="N219" s="2"/>
      <c r="O219" s="2"/>
      <c r="P219" s="2"/>
      <c r="Q219" s="2"/>
    </row>
    <row r="220" spans="7:17" ht="18" customHeight="1" x14ac:dyDescent="0.3">
      <c r="G220" s="2"/>
      <c r="N220" s="2"/>
      <c r="O220" s="2"/>
      <c r="P220" s="2"/>
      <c r="Q220" s="2"/>
    </row>
    <row r="221" spans="7:17" ht="18" customHeight="1" x14ac:dyDescent="0.3">
      <c r="G221" s="2"/>
      <c r="N221" s="2"/>
      <c r="O221" s="2"/>
      <c r="P221" s="2"/>
      <c r="Q221" s="2"/>
    </row>
    <row r="222" spans="7:17" ht="18" customHeight="1" x14ac:dyDescent="0.3">
      <c r="G222" s="2"/>
      <c r="N222" s="2"/>
      <c r="O222" s="2"/>
      <c r="P222" s="2"/>
      <c r="Q222" s="2"/>
    </row>
    <row r="223" spans="7:17" ht="18" customHeight="1" x14ac:dyDescent="0.3">
      <c r="G223" s="2"/>
      <c r="N223" s="2"/>
      <c r="O223" s="2"/>
      <c r="P223" s="2"/>
      <c r="Q223" s="2"/>
    </row>
    <row r="224" spans="7:17" ht="18" customHeight="1" x14ac:dyDescent="0.3">
      <c r="G224" s="2"/>
      <c r="N224" s="2"/>
      <c r="O224" s="2"/>
      <c r="P224" s="2"/>
      <c r="Q224" s="2"/>
    </row>
    <row r="225" spans="7:17" ht="18" customHeight="1" x14ac:dyDescent="0.3">
      <c r="G225" s="2"/>
      <c r="N225" s="2"/>
      <c r="O225" s="2"/>
      <c r="P225" s="2"/>
      <c r="Q225" s="2"/>
    </row>
    <row r="226" spans="7:17" ht="18" customHeight="1" x14ac:dyDescent="0.3">
      <c r="G226" s="2"/>
      <c r="N226" s="2"/>
      <c r="O226" s="2"/>
      <c r="P226" s="2"/>
      <c r="Q226" s="2"/>
    </row>
    <row r="227" spans="7:17" ht="18" customHeight="1" x14ac:dyDescent="0.3">
      <c r="G227" s="2"/>
      <c r="N227" s="2"/>
      <c r="O227" s="2"/>
      <c r="P227" s="2"/>
      <c r="Q227" s="2"/>
    </row>
    <row r="228" spans="7:17" ht="18" customHeight="1" x14ac:dyDescent="0.3">
      <c r="G228" s="2"/>
      <c r="N228" s="2"/>
      <c r="O228" s="2"/>
      <c r="P228" s="2"/>
      <c r="Q228" s="2"/>
    </row>
    <row r="229" spans="7:17" ht="18" customHeight="1" x14ac:dyDescent="0.3">
      <c r="G229" s="2"/>
      <c r="N229" s="2"/>
      <c r="O229" s="2"/>
      <c r="P229" s="2"/>
      <c r="Q229" s="2"/>
    </row>
    <row r="230" spans="7:17" ht="18" customHeight="1" x14ac:dyDescent="0.3">
      <c r="G230" s="2"/>
      <c r="N230" s="2"/>
      <c r="O230" s="2"/>
      <c r="P230" s="2"/>
      <c r="Q230" s="2"/>
    </row>
    <row r="231" spans="7:17" ht="18" customHeight="1" x14ac:dyDescent="0.3">
      <c r="G231" s="2"/>
      <c r="N231" s="2"/>
      <c r="O231" s="2"/>
      <c r="P231" s="2"/>
      <c r="Q231" s="2"/>
    </row>
    <row r="232" spans="7:17" ht="18" customHeight="1" x14ac:dyDescent="0.3">
      <c r="G232" s="2"/>
      <c r="N232" s="2"/>
      <c r="O232" s="2"/>
      <c r="P232" s="2"/>
      <c r="Q232" s="2"/>
    </row>
    <row r="233" spans="7:17" ht="18" customHeight="1" x14ac:dyDescent="0.3">
      <c r="G233" s="2"/>
      <c r="N233" s="2"/>
      <c r="O233" s="2"/>
      <c r="P233" s="2"/>
      <c r="Q233" s="2"/>
    </row>
    <row r="234" spans="7:17" ht="18" customHeight="1" x14ac:dyDescent="0.3">
      <c r="G234" s="2"/>
      <c r="N234" s="2"/>
      <c r="O234" s="2"/>
      <c r="P234" s="2"/>
      <c r="Q234" s="2"/>
    </row>
    <row r="235" spans="7:17" ht="18" customHeight="1" x14ac:dyDescent="0.3">
      <c r="G235" s="2"/>
      <c r="N235" s="2"/>
      <c r="O235" s="2"/>
      <c r="P235" s="2"/>
      <c r="Q235" s="2"/>
    </row>
    <row r="236" spans="7:17" ht="18" customHeight="1" x14ac:dyDescent="0.3">
      <c r="G236" s="2"/>
      <c r="N236" s="2"/>
      <c r="O236" s="2"/>
      <c r="P236" s="2"/>
      <c r="Q236" s="2"/>
    </row>
    <row r="237" spans="7:17" ht="18" customHeight="1" x14ac:dyDescent="0.3">
      <c r="G237" s="2"/>
      <c r="N237" s="2"/>
      <c r="O237" s="2"/>
      <c r="P237" s="2"/>
      <c r="Q237" s="2"/>
    </row>
    <row r="238" spans="7:17" ht="18" customHeight="1" x14ac:dyDescent="0.3">
      <c r="G238" s="2"/>
      <c r="N238" s="2"/>
      <c r="O238" s="2"/>
      <c r="P238" s="2"/>
      <c r="Q238" s="2"/>
    </row>
    <row r="239" spans="7:17" ht="18" customHeight="1" x14ac:dyDescent="0.3">
      <c r="G239" s="2"/>
      <c r="N239" s="2"/>
      <c r="O239" s="2"/>
      <c r="P239" s="2"/>
      <c r="Q239" s="2"/>
    </row>
    <row r="240" spans="7:17" ht="18" customHeight="1" x14ac:dyDescent="0.3">
      <c r="G240" s="2"/>
      <c r="N240" s="2"/>
      <c r="O240" s="2"/>
      <c r="P240" s="2"/>
      <c r="Q240" s="2"/>
    </row>
    <row r="241" spans="7:17" ht="18" customHeight="1" x14ac:dyDescent="0.3">
      <c r="G241" s="2"/>
      <c r="N241" s="2"/>
      <c r="O241" s="2"/>
      <c r="P241" s="2"/>
      <c r="Q241" s="2"/>
    </row>
    <row r="242" spans="7:17" ht="18" customHeight="1" x14ac:dyDescent="0.3">
      <c r="G242" s="2"/>
      <c r="N242" s="2"/>
      <c r="O242" s="2"/>
      <c r="P242" s="2"/>
      <c r="Q242" s="2"/>
    </row>
    <row r="243" spans="7:17" ht="18" customHeight="1" x14ac:dyDescent="0.3">
      <c r="G243" s="2"/>
      <c r="N243" s="2"/>
      <c r="O243" s="2"/>
      <c r="P243" s="2"/>
      <c r="Q243" s="2"/>
    </row>
    <row r="244" spans="7:17" ht="18" customHeight="1" x14ac:dyDescent="0.3">
      <c r="G244" s="2"/>
      <c r="N244" s="2"/>
      <c r="O244" s="2"/>
      <c r="P244" s="2"/>
      <c r="Q244" s="2"/>
    </row>
    <row r="245" spans="7:17" ht="18" customHeight="1" x14ac:dyDescent="0.3">
      <c r="G245" s="2"/>
      <c r="N245" s="2"/>
      <c r="O245" s="2"/>
      <c r="P245" s="2"/>
      <c r="Q245" s="2"/>
    </row>
    <row r="246" spans="7:17" ht="18" customHeight="1" x14ac:dyDescent="0.3">
      <c r="G246" s="2"/>
      <c r="N246" s="2"/>
      <c r="O246" s="2"/>
      <c r="P246" s="2"/>
      <c r="Q246" s="2"/>
    </row>
    <row r="247" spans="7:17" ht="18" customHeight="1" x14ac:dyDescent="0.3">
      <c r="G247" s="2"/>
      <c r="N247" s="2"/>
      <c r="O247" s="2"/>
      <c r="P247" s="2"/>
      <c r="Q247" s="2"/>
    </row>
    <row r="248" spans="7:17" ht="18" customHeight="1" x14ac:dyDescent="0.3">
      <c r="G248" s="2"/>
      <c r="N248" s="2"/>
      <c r="O248" s="2"/>
      <c r="P248" s="2"/>
      <c r="Q248" s="2"/>
    </row>
    <row r="249" spans="7:17" ht="18" customHeight="1" x14ac:dyDescent="0.3">
      <c r="G249" s="2"/>
      <c r="N249" s="2"/>
      <c r="O249" s="2"/>
      <c r="P249" s="2"/>
      <c r="Q249" s="2"/>
    </row>
    <row r="250" spans="7:17" ht="18" customHeight="1" x14ac:dyDescent="0.3">
      <c r="G250" s="2"/>
      <c r="N250" s="2"/>
      <c r="O250" s="2"/>
      <c r="P250" s="2"/>
      <c r="Q250" s="2"/>
    </row>
    <row r="251" spans="7:17" ht="18" customHeight="1" x14ac:dyDescent="0.3">
      <c r="G251" s="2"/>
      <c r="N251" s="2"/>
      <c r="O251" s="2"/>
      <c r="P251" s="2"/>
      <c r="Q251" s="2"/>
    </row>
    <row r="252" spans="7:17" ht="18" customHeight="1" x14ac:dyDescent="0.3">
      <c r="G252" s="2"/>
      <c r="N252" s="2"/>
      <c r="O252" s="2"/>
      <c r="P252" s="2"/>
      <c r="Q252" s="2"/>
    </row>
    <row r="253" spans="7:17" ht="18" customHeight="1" x14ac:dyDescent="0.3">
      <c r="G253" s="2"/>
      <c r="N253" s="2"/>
      <c r="O253" s="2"/>
      <c r="P253" s="2"/>
      <c r="Q253" s="2"/>
    </row>
    <row r="254" spans="7:17" ht="18" customHeight="1" x14ac:dyDescent="0.3">
      <c r="G254" s="2"/>
      <c r="N254" s="2"/>
      <c r="O254" s="2"/>
      <c r="P254" s="2"/>
      <c r="Q254" s="2"/>
    </row>
    <row r="255" spans="7:17" ht="18" customHeight="1" x14ac:dyDescent="0.3">
      <c r="G255" s="2"/>
      <c r="N255" s="2"/>
      <c r="O255" s="2"/>
      <c r="P255" s="2"/>
      <c r="Q255" s="2"/>
    </row>
    <row r="256" spans="7:17" ht="18" customHeight="1" x14ac:dyDescent="0.3">
      <c r="G256" s="2"/>
      <c r="N256" s="2"/>
      <c r="O256" s="2"/>
      <c r="P256" s="2"/>
      <c r="Q256" s="2"/>
    </row>
    <row r="257" spans="7:17" ht="18" customHeight="1" x14ac:dyDescent="0.3">
      <c r="G257" s="2"/>
      <c r="N257" s="2"/>
      <c r="O257" s="2"/>
      <c r="P257" s="2"/>
      <c r="Q257" s="2"/>
    </row>
    <row r="258" spans="7:17" ht="18" customHeight="1" x14ac:dyDescent="0.3">
      <c r="G258" s="2"/>
      <c r="N258" s="2"/>
      <c r="O258" s="2"/>
      <c r="P258" s="2"/>
      <c r="Q258" s="2"/>
    </row>
    <row r="259" spans="7:17" ht="18" customHeight="1" x14ac:dyDescent="0.3">
      <c r="G259" s="2"/>
      <c r="N259" s="2"/>
      <c r="O259" s="2"/>
      <c r="P259" s="2"/>
      <c r="Q259" s="2"/>
    </row>
    <row r="260" spans="7:17" ht="18" customHeight="1" x14ac:dyDescent="0.3">
      <c r="G260" s="2"/>
      <c r="N260" s="2"/>
      <c r="O260" s="2"/>
      <c r="P260" s="2"/>
      <c r="Q260" s="2"/>
    </row>
    <row r="261" spans="7:17" ht="18" customHeight="1" x14ac:dyDescent="0.3">
      <c r="G261" s="2"/>
      <c r="N261" s="2"/>
      <c r="O261" s="2"/>
      <c r="P261" s="2"/>
      <c r="Q261" s="2"/>
    </row>
    <row r="262" spans="7:17" ht="18" customHeight="1" x14ac:dyDescent="0.3">
      <c r="G262" s="2"/>
      <c r="N262" s="2"/>
      <c r="O262" s="2"/>
      <c r="P262" s="2"/>
      <c r="Q262" s="2"/>
    </row>
    <row r="263" spans="7:17" ht="18" customHeight="1" x14ac:dyDescent="0.3">
      <c r="G263" s="2"/>
      <c r="N263" s="2"/>
      <c r="O263" s="2"/>
      <c r="P263" s="2"/>
      <c r="Q263" s="2"/>
    </row>
    <row r="264" spans="7:17" ht="18" customHeight="1" x14ac:dyDescent="0.3">
      <c r="G264" s="2"/>
      <c r="N264" s="2"/>
      <c r="O264" s="2"/>
      <c r="P264" s="2"/>
      <c r="Q264" s="2"/>
    </row>
    <row r="265" spans="7:17" ht="18" customHeight="1" x14ac:dyDescent="0.3">
      <c r="G265" s="2"/>
      <c r="N265" s="2"/>
      <c r="O265" s="2"/>
      <c r="P265" s="2"/>
      <c r="Q265" s="2"/>
    </row>
    <row r="266" spans="7:17" ht="18" customHeight="1" x14ac:dyDescent="0.3">
      <c r="G266" s="2"/>
      <c r="N266" s="2"/>
      <c r="O266" s="2"/>
      <c r="P266" s="2"/>
      <c r="Q266" s="2"/>
    </row>
    <row r="267" spans="7:17" ht="18" customHeight="1" x14ac:dyDescent="0.3">
      <c r="G267" s="2"/>
      <c r="N267" s="2"/>
      <c r="O267" s="2"/>
      <c r="P267" s="2"/>
      <c r="Q267" s="2"/>
    </row>
    <row r="268" spans="7:17" ht="18" customHeight="1" x14ac:dyDescent="0.3">
      <c r="G268" s="2"/>
      <c r="N268" s="2"/>
      <c r="O268" s="2"/>
      <c r="P268" s="2"/>
      <c r="Q268" s="2"/>
    </row>
    <row r="269" spans="7:17" ht="18" customHeight="1" x14ac:dyDescent="0.3">
      <c r="G269" s="2"/>
      <c r="N269" s="2"/>
      <c r="O269" s="2"/>
      <c r="P269" s="2"/>
      <c r="Q269" s="2"/>
    </row>
    <row r="270" spans="7:17" ht="18" customHeight="1" x14ac:dyDescent="0.3">
      <c r="G270" s="2"/>
      <c r="N270" s="2"/>
      <c r="O270" s="2"/>
      <c r="P270" s="2"/>
      <c r="Q270" s="2"/>
    </row>
    <row r="271" spans="7:17" ht="18" customHeight="1" x14ac:dyDescent="0.3">
      <c r="G271" s="2"/>
      <c r="N271" s="2"/>
      <c r="O271" s="2"/>
      <c r="P271" s="2"/>
      <c r="Q271" s="2"/>
    </row>
    <row r="272" spans="7:17" ht="18" customHeight="1" x14ac:dyDescent="0.3">
      <c r="G272" s="2"/>
      <c r="N272" s="2"/>
      <c r="O272" s="2"/>
      <c r="P272" s="2"/>
      <c r="Q272" s="2"/>
    </row>
    <row r="273" spans="7:17" ht="18" customHeight="1" x14ac:dyDescent="0.3">
      <c r="G273" s="2"/>
      <c r="N273" s="2"/>
      <c r="O273" s="2"/>
      <c r="P273" s="2"/>
      <c r="Q273" s="2"/>
    </row>
    <row r="274" spans="7:17" ht="18" customHeight="1" x14ac:dyDescent="0.3">
      <c r="G274" s="2"/>
      <c r="N274" s="2"/>
      <c r="O274" s="2"/>
      <c r="P274" s="2"/>
      <c r="Q274" s="2"/>
    </row>
    <row r="275" spans="7:17" ht="18" customHeight="1" x14ac:dyDescent="0.3">
      <c r="G275" s="2"/>
      <c r="N275" s="2"/>
      <c r="O275" s="2"/>
      <c r="P275" s="2"/>
      <c r="Q275" s="2"/>
    </row>
    <row r="276" spans="7:17" ht="18" customHeight="1" x14ac:dyDescent="0.3">
      <c r="G276" s="2"/>
      <c r="N276" s="2"/>
      <c r="O276" s="2"/>
      <c r="P276" s="2"/>
      <c r="Q276" s="2"/>
    </row>
    <row r="277" spans="7:17" ht="18" customHeight="1" x14ac:dyDescent="0.3">
      <c r="G277" s="2"/>
      <c r="N277" s="2"/>
      <c r="O277" s="2"/>
      <c r="P277" s="2"/>
      <c r="Q277" s="2"/>
    </row>
    <row r="278" spans="7:17" ht="18" customHeight="1" x14ac:dyDescent="0.3">
      <c r="G278" s="2"/>
      <c r="N278" s="2"/>
      <c r="O278" s="2"/>
      <c r="P278" s="2"/>
      <c r="Q278" s="2"/>
    </row>
    <row r="279" spans="7:17" ht="18" customHeight="1" x14ac:dyDescent="0.3">
      <c r="G279" s="2"/>
      <c r="N279" s="2"/>
      <c r="O279" s="2"/>
      <c r="P279" s="2"/>
      <c r="Q279" s="2"/>
    </row>
    <row r="280" spans="7:17" ht="18" customHeight="1" x14ac:dyDescent="0.3">
      <c r="G280" s="2"/>
      <c r="N280" s="2"/>
      <c r="O280" s="2"/>
      <c r="P280" s="2"/>
      <c r="Q280" s="2"/>
    </row>
    <row r="281" spans="7:17" ht="18" customHeight="1" x14ac:dyDescent="0.3">
      <c r="G281" s="2"/>
      <c r="N281" s="2"/>
      <c r="O281" s="2"/>
      <c r="P281" s="2"/>
      <c r="Q281" s="2"/>
    </row>
    <row r="282" spans="7:17" ht="18" customHeight="1" x14ac:dyDescent="0.3">
      <c r="G282" s="2"/>
      <c r="N282" s="2"/>
      <c r="O282" s="2"/>
      <c r="P282" s="2"/>
      <c r="Q282" s="2"/>
    </row>
    <row r="283" spans="7:17" ht="18" customHeight="1" x14ac:dyDescent="0.3">
      <c r="G283" s="2"/>
      <c r="N283" s="2"/>
      <c r="O283" s="2"/>
      <c r="P283" s="2"/>
      <c r="Q283" s="2"/>
    </row>
    <row r="284" spans="7:17" ht="18" customHeight="1" x14ac:dyDescent="0.3">
      <c r="G284" s="2"/>
      <c r="N284" s="2"/>
      <c r="O284" s="2"/>
      <c r="P284" s="2"/>
      <c r="Q284" s="2"/>
    </row>
    <row r="285" spans="7:17" ht="18" customHeight="1" x14ac:dyDescent="0.3">
      <c r="G285" s="2"/>
      <c r="N285" s="2"/>
      <c r="O285" s="2"/>
      <c r="P285" s="2"/>
      <c r="Q285" s="2"/>
    </row>
    <row r="286" spans="7:17" ht="18" customHeight="1" x14ac:dyDescent="0.3">
      <c r="G286" s="2"/>
      <c r="N286" s="2"/>
      <c r="O286" s="2"/>
      <c r="P286" s="2"/>
      <c r="Q286" s="2"/>
    </row>
    <row r="287" spans="7:17" ht="18" customHeight="1" x14ac:dyDescent="0.3">
      <c r="G287" s="2"/>
      <c r="N287" s="2"/>
      <c r="O287" s="2"/>
      <c r="P287" s="2"/>
      <c r="Q287" s="2"/>
    </row>
    <row r="288" spans="7:17" ht="18" customHeight="1" x14ac:dyDescent="0.3">
      <c r="G288" s="2"/>
      <c r="N288" s="2"/>
      <c r="O288" s="2"/>
      <c r="P288" s="2"/>
      <c r="Q288" s="2"/>
    </row>
    <row r="289" spans="7:17" ht="18" customHeight="1" x14ac:dyDescent="0.3">
      <c r="G289" s="2"/>
      <c r="N289" s="2"/>
      <c r="O289" s="2"/>
      <c r="P289" s="2"/>
      <c r="Q289" s="2"/>
    </row>
    <row r="290" spans="7:17" ht="18" customHeight="1" x14ac:dyDescent="0.3">
      <c r="G290" s="2"/>
      <c r="N290" s="2"/>
      <c r="O290" s="2"/>
      <c r="P290" s="2"/>
      <c r="Q290" s="2"/>
    </row>
    <row r="291" spans="7:17" ht="18" customHeight="1" x14ac:dyDescent="0.3">
      <c r="G291" s="2"/>
      <c r="N291" s="2"/>
      <c r="O291" s="2"/>
      <c r="P291" s="2"/>
      <c r="Q291" s="2"/>
    </row>
    <row r="292" spans="7:17" ht="18" customHeight="1" x14ac:dyDescent="0.3">
      <c r="G292" s="2"/>
      <c r="N292" s="2"/>
      <c r="O292" s="2"/>
      <c r="P292" s="2"/>
      <c r="Q292" s="2"/>
    </row>
    <row r="293" spans="7:17" ht="18" customHeight="1" x14ac:dyDescent="0.3">
      <c r="G293" s="2"/>
      <c r="N293" s="2"/>
      <c r="O293" s="2"/>
      <c r="P293" s="2"/>
      <c r="Q293" s="2"/>
    </row>
    <row r="294" spans="7:17" ht="18" customHeight="1" x14ac:dyDescent="0.3">
      <c r="G294" s="2"/>
      <c r="N294" s="2"/>
      <c r="O294" s="2"/>
      <c r="P294" s="2"/>
      <c r="Q294" s="2"/>
    </row>
    <row r="295" spans="7:17" ht="18" customHeight="1" x14ac:dyDescent="0.3">
      <c r="G295" s="2"/>
      <c r="N295" s="2"/>
      <c r="O295" s="2"/>
      <c r="P295" s="2"/>
      <c r="Q295" s="2"/>
    </row>
    <row r="296" spans="7:17" ht="18" customHeight="1" x14ac:dyDescent="0.3">
      <c r="G296" s="2"/>
      <c r="N296" s="2"/>
      <c r="O296" s="2"/>
      <c r="P296" s="2"/>
      <c r="Q296" s="2"/>
    </row>
    <row r="297" spans="7:17" ht="18" customHeight="1" x14ac:dyDescent="0.3">
      <c r="G297" s="2"/>
      <c r="N297" s="2"/>
      <c r="O297" s="2"/>
      <c r="P297" s="2"/>
      <c r="Q297" s="2"/>
    </row>
    <row r="298" spans="7:17" ht="18" customHeight="1" x14ac:dyDescent="0.3">
      <c r="G298" s="2"/>
      <c r="N298" s="2"/>
      <c r="O298" s="2"/>
      <c r="P298" s="2"/>
      <c r="Q298" s="2"/>
    </row>
    <row r="299" spans="7:17" ht="18" customHeight="1" x14ac:dyDescent="0.3">
      <c r="G299" s="2"/>
      <c r="N299" s="2"/>
      <c r="O299" s="2"/>
      <c r="P299" s="2"/>
      <c r="Q299" s="2"/>
    </row>
    <row r="300" spans="7:17" ht="18" customHeight="1" x14ac:dyDescent="0.3">
      <c r="G300" s="2"/>
      <c r="N300" s="2"/>
      <c r="O300" s="2"/>
      <c r="P300" s="2"/>
      <c r="Q300" s="2"/>
    </row>
    <row r="301" spans="7:17" ht="18" customHeight="1" x14ac:dyDescent="0.3">
      <c r="G301" s="2"/>
      <c r="N301" s="2"/>
      <c r="O301" s="2"/>
      <c r="P301" s="2"/>
      <c r="Q301" s="2"/>
    </row>
    <row r="302" spans="7:17" ht="18" customHeight="1" x14ac:dyDescent="0.3">
      <c r="G302" s="2"/>
      <c r="N302" s="2"/>
      <c r="O302" s="2"/>
      <c r="P302" s="2"/>
      <c r="Q302" s="2"/>
    </row>
    <row r="303" spans="7:17" ht="18" customHeight="1" x14ac:dyDescent="0.3">
      <c r="G303" s="2"/>
      <c r="N303" s="2"/>
      <c r="O303" s="2"/>
      <c r="P303" s="2"/>
      <c r="Q303" s="2"/>
    </row>
    <row r="304" spans="7:17" ht="18" customHeight="1" x14ac:dyDescent="0.3">
      <c r="G304" s="2"/>
      <c r="N304" s="2"/>
      <c r="O304" s="2"/>
      <c r="P304" s="2"/>
      <c r="Q304" s="2"/>
    </row>
    <row r="305" spans="7:17" ht="18" customHeight="1" x14ac:dyDescent="0.3">
      <c r="G305" s="2"/>
      <c r="N305" s="2"/>
      <c r="O305" s="2"/>
      <c r="P305" s="2"/>
      <c r="Q305" s="2"/>
    </row>
    <row r="306" spans="7:17" ht="18" customHeight="1" x14ac:dyDescent="0.3">
      <c r="G306" s="2"/>
      <c r="N306" s="2"/>
      <c r="O306" s="2"/>
      <c r="P306" s="2"/>
      <c r="Q306" s="2"/>
    </row>
    <row r="307" spans="7:17" ht="18" customHeight="1" x14ac:dyDescent="0.3">
      <c r="G307" s="2"/>
      <c r="N307" s="2"/>
      <c r="O307" s="2"/>
      <c r="P307" s="2"/>
      <c r="Q307" s="2"/>
    </row>
    <row r="308" spans="7:17" ht="18" customHeight="1" x14ac:dyDescent="0.3">
      <c r="G308" s="2"/>
      <c r="N308" s="2"/>
      <c r="O308" s="2"/>
      <c r="P308" s="2"/>
      <c r="Q308" s="2"/>
    </row>
    <row r="309" spans="7:17" ht="18" customHeight="1" x14ac:dyDescent="0.3">
      <c r="G309" s="2"/>
      <c r="N309" s="2"/>
      <c r="O309" s="2"/>
      <c r="P309" s="2"/>
      <c r="Q309" s="2"/>
    </row>
    <row r="310" spans="7:17" ht="18" customHeight="1" x14ac:dyDescent="0.3">
      <c r="G310" s="2"/>
      <c r="N310" s="2"/>
      <c r="O310" s="2"/>
      <c r="P310" s="2"/>
      <c r="Q310" s="2"/>
    </row>
    <row r="311" spans="7:17" ht="18" customHeight="1" x14ac:dyDescent="0.3">
      <c r="G311" s="2"/>
      <c r="N311" s="2"/>
      <c r="O311" s="2"/>
      <c r="P311" s="2"/>
      <c r="Q311" s="2"/>
    </row>
    <row r="312" spans="7:17" ht="18" customHeight="1" x14ac:dyDescent="0.3">
      <c r="G312" s="2"/>
      <c r="N312" s="2"/>
      <c r="O312" s="2"/>
      <c r="P312" s="2"/>
      <c r="Q312" s="2"/>
    </row>
    <row r="313" spans="7:17" ht="18" customHeight="1" x14ac:dyDescent="0.3">
      <c r="G313" s="2"/>
      <c r="N313" s="2"/>
      <c r="O313" s="2"/>
      <c r="P313" s="2"/>
      <c r="Q313" s="2"/>
    </row>
    <row r="314" spans="7:17" ht="18" customHeight="1" x14ac:dyDescent="0.3">
      <c r="G314" s="2"/>
      <c r="N314" s="2"/>
      <c r="O314" s="2"/>
      <c r="P314" s="2"/>
      <c r="Q314" s="2"/>
    </row>
    <row r="315" spans="7:17" ht="18" customHeight="1" x14ac:dyDescent="0.3">
      <c r="G315" s="2"/>
      <c r="N315" s="2"/>
      <c r="O315" s="2"/>
      <c r="P315" s="2"/>
      <c r="Q315" s="2"/>
    </row>
    <row r="316" spans="7:17" ht="18" customHeight="1" x14ac:dyDescent="0.3">
      <c r="G316" s="2"/>
      <c r="N316" s="2"/>
      <c r="O316" s="2"/>
      <c r="P316" s="2"/>
      <c r="Q316" s="2"/>
    </row>
    <row r="317" spans="7:17" ht="18" customHeight="1" x14ac:dyDescent="0.3">
      <c r="G317" s="2"/>
      <c r="N317" s="2"/>
      <c r="O317" s="2"/>
      <c r="P317" s="2"/>
      <c r="Q317" s="2"/>
    </row>
    <row r="318" spans="7:17" ht="18" customHeight="1" x14ac:dyDescent="0.3">
      <c r="G318" s="2"/>
      <c r="N318" s="2"/>
      <c r="O318" s="2"/>
      <c r="P318" s="2"/>
      <c r="Q318" s="2"/>
    </row>
    <row r="319" spans="7:17" ht="18" customHeight="1" x14ac:dyDescent="0.3">
      <c r="G319" s="2"/>
      <c r="N319" s="2"/>
      <c r="O319" s="2"/>
      <c r="P319" s="2"/>
      <c r="Q319" s="2"/>
    </row>
    <row r="320" spans="7:17" ht="18" customHeight="1" x14ac:dyDescent="0.3">
      <c r="G320" s="2"/>
      <c r="N320" s="2"/>
      <c r="O320" s="2"/>
      <c r="P320" s="2"/>
      <c r="Q320" s="2"/>
    </row>
    <row r="321" spans="7:17" ht="18" customHeight="1" x14ac:dyDescent="0.3">
      <c r="G321" s="2"/>
      <c r="N321" s="2"/>
      <c r="O321" s="2"/>
      <c r="P321" s="2"/>
      <c r="Q321" s="2"/>
    </row>
    <row r="322" spans="7:17" ht="18" customHeight="1" x14ac:dyDescent="0.3">
      <c r="G322" s="2"/>
      <c r="N322" s="2"/>
      <c r="O322" s="2"/>
      <c r="P322" s="2"/>
      <c r="Q322" s="2"/>
    </row>
    <row r="323" spans="7:17" ht="18" customHeight="1" x14ac:dyDescent="0.3">
      <c r="G323" s="2"/>
      <c r="N323" s="2"/>
      <c r="O323" s="2"/>
      <c r="P323" s="2"/>
      <c r="Q323" s="2"/>
    </row>
    <row r="324" spans="7:17" ht="18" customHeight="1" x14ac:dyDescent="0.3">
      <c r="G324" s="2"/>
      <c r="N324" s="2"/>
      <c r="O324" s="2"/>
      <c r="P324" s="2"/>
      <c r="Q324" s="2"/>
    </row>
    <row r="325" spans="7:17" ht="18" customHeight="1" x14ac:dyDescent="0.3">
      <c r="G325" s="2"/>
      <c r="N325" s="2"/>
      <c r="O325" s="2"/>
      <c r="P325" s="2"/>
      <c r="Q325" s="2"/>
    </row>
    <row r="326" spans="7:17" ht="18" customHeight="1" x14ac:dyDescent="0.3">
      <c r="G326" s="2"/>
      <c r="N326" s="2"/>
      <c r="O326" s="2"/>
      <c r="P326" s="2"/>
      <c r="Q326" s="2"/>
    </row>
    <row r="327" spans="7:17" ht="18" customHeight="1" x14ac:dyDescent="0.3">
      <c r="G327" s="2"/>
      <c r="N327" s="2"/>
      <c r="O327" s="2"/>
      <c r="P327" s="2"/>
      <c r="Q327" s="2"/>
    </row>
    <row r="328" spans="7:17" ht="18" customHeight="1" x14ac:dyDescent="0.3">
      <c r="G328" s="2"/>
      <c r="N328" s="2"/>
      <c r="O328" s="2"/>
      <c r="P328" s="2"/>
      <c r="Q328" s="2"/>
    </row>
    <row r="329" spans="7:17" ht="18" customHeight="1" x14ac:dyDescent="0.3">
      <c r="G329" s="2"/>
      <c r="N329" s="2"/>
      <c r="O329" s="2"/>
      <c r="P329" s="2"/>
      <c r="Q329" s="2"/>
    </row>
    <row r="330" spans="7:17" ht="18" customHeight="1" x14ac:dyDescent="0.3">
      <c r="G330" s="2"/>
      <c r="N330" s="2"/>
      <c r="O330" s="2"/>
      <c r="P330" s="2"/>
      <c r="Q330" s="2"/>
    </row>
    <row r="331" spans="7:17" ht="18" customHeight="1" x14ac:dyDescent="0.3">
      <c r="G331" s="2"/>
      <c r="N331" s="2"/>
      <c r="O331" s="2"/>
      <c r="P331" s="2"/>
      <c r="Q331" s="2"/>
    </row>
    <row r="332" spans="7:17" ht="18" customHeight="1" x14ac:dyDescent="0.3">
      <c r="G332" s="2"/>
      <c r="N332" s="2"/>
      <c r="O332" s="2"/>
      <c r="P332" s="2"/>
      <c r="Q332" s="2"/>
    </row>
    <row r="333" spans="7:17" ht="18" customHeight="1" x14ac:dyDescent="0.3">
      <c r="G333" s="2"/>
      <c r="N333" s="2"/>
      <c r="O333" s="2"/>
      <c r="P333" s="2"/>
      <c r="Q333" s="2"/>
    </row>
    <row r="334" spans="7:17" ht="18" customHeight="1" x14ac:dyDescent="0.3">
      <c r="G334" s="2"/>
      <c r="N334" s="2"/>
      <c r="O334" s="2"/>
      <c r="P334" s="2"/>
      <c r="Q334" s="2"/>
    </row>
    <row r="335" spans="7:17" ht="18" customHeight="1" x14ac:dyDescent="0.3">
      <c r="G335" s="2"/>
      <c r="N335" s="2"/>
      <c r="O335" s="2"/>
      <c r="P335" s="2"/>
      <c r="Q335" s="2"/>
    </row>
    <row r="336" spans="7:17" ht="18" customHeight="1" x14ac:dyDescent="0.3">
      <c r="G336" s="2"/>
      <c r="N336" s="2"/>
      <c r="O336" s="2"/>
      <c r="P336" s="2"/>
      <c r="Q336" s="2"/>
    </row>
    <row r="337" spans="7:17" ht="18" customHeight="1" x14ac:dyDescent="0.3">
      <c r="G337" s="2"/>
      <c r="N337" s="2"/>
      <c r="O337" s="2"/>
      <c r="P337" s="2"/>
      <c r="Q337" s="2"/>
    </row>
    <row r="338" spans="7:17" ht="18" customHeight="1" x14ac:dyDescent="0.3">
      <c r="G338" s="2"/>
      <c r="N338" s="2"/>
      <c r="O338" s="2"/>
      <c r="P338" s="2"/>
      <c r="Q338" s="2"/>
    </row>
    <row r="339" spans="7:17" ht="18" customHeight="1" x14ac:dyDescent="0.3">
      <c r="G339" s="2"/>
      <c r="N339" s="2"/>
      <c r="O339" s="2"/>
      <c r="P339" s="2"/>
      <c r="Q339" s="2"/>
    </row>
    <row r="340" spans="7:17" ht="18" customHeight="1" x14ac:dyDescent="0.3">
      <c r="G340" s="2"/>
      <c r="N340" s="2"/>
      <c r="O340" s="2"/>
      <c r="P340" s="2"/>
      <c r="Q340" s="2"/>
    </row>
    <row r="341" spans="7:17" ht="18" customHeight="1" x14ac:dyDescent="0.3">
      <c r="G341" s="2"/>
      <c r="N341" s="2"/>
      <c r="O341" s="2"/>
      <c r="P341" s="2"/>
      <c r="Q341" s="2"/>
    </row>
    <row r="342" spans="7:17" ht="18" customHeight="1" x14ac:dyDescent="0.3">
      <c r="G342" s="2"/>
      <c r="N342" s="2"/>
      <c r="O342" s="2"/>
      <c r="P342" s="2"/>
      <c r="Q342" s="2"/>
    </row>
    <row r="343" spans="7:17" ht="18" customHeight="1" x14ac:dyDescent="0.3">
      <c r="G343" s="2"/>
      <c r="N343" s="2"/>
      <c r="O343" s="2"/>
      <c r="P343" s="2"/>
      <c r="Q343" s="2"/>
    </row>
    <row r="344" spans="7:17" ht="18" customHeight="1" x14ac:dyDescent="0.3">
      <c r="G344" s="2"/>
      <c r="N344" s="2"/>
      <c r="O344" s="2"/>
      <c r="P344" s="2"/>
      <c r="Q344" s="2"/>
    </row>
    <row r="345" spans="7:17" ht="18" customHeight="1" x14ac:dyDescent="0.3">
      <c r="G345" s="2"/>
      <c r="N345" s="2"/>
      <c r="O345" s="2"/>
      <c r="P345" s="2"/>
      <c r="Q345" s="2"/>
    </row>
    <row r="346" spans="7:17" ht="18" customHeight="1" x14ac:dyDescent="0.3">
      <c r="G346" s="2"/>
      <c r="N346" s="2"/>
      <c r="O346" s="2"/>
      <c r="P346" s="2"/>
      <c r="Q346" s="2"/>
    </row>
    <row r="347" spans="7:17" ht="18" customHeight="1" x14ac:dyDescent="0.3">
      <c r="G347" s="2"/>
      <c r="N347" s="2"/>
      <c r="O347" s="2"/>
      <c r="P347" s="2"/>
      <c r="Q347" s="2"/>
    </row>
    <row r="348" spans="7:17" ht="18" customHeight="1" x14ac:dyDescent="0.3">
      <c r="G348" s="2"/>
      <c r="N348" s="2"/>
      <c r="O348" s="2"/>
      <c r="P348" s="2"/>
      <c r="Q348" s="2"/>
    </row>
    <row r="349" spans="7:17" ht="18" customHeight="1" x14ac:dyDescent="0.3">
      <c r="G349" s="2"/>
      <c r="N349" s="2"/>
      <c r="O349" s="2"/>
      <c r="P349" s="2"/>
      <c r="Q349" s="2"/>
    </row>
    <row r="350" spans="7:17" ht="18" customHeight="1" x14ac:dyDescent="0.3">
      <c r="G350" s="2"/>
      <c r="N350" s="2"/>
      <c r="O350" s="2"/>
      <c r="P350" s="2"/>
      <c r="Q350" s="2"/>
    </row>
    <row r="351" spans="7:17" ht="18" customHeight="1" x14ac:dyDescent="0.3">
      <c r="G351" s="2"/>
      <c r="N351" s="2"/>
      <c r="O351" s="2"/>
      <c r="P351" s="2"/>
      <c r="Q351" s="2"/>
    </row>
    <row r="352" spans="7:17" ht="18" customHeight="1" x14ac:dyDescent="0.3">
      <c r="G352" s="2"/>
      <c r="N352" s="2"/>
      <c r="O352" s="2"/>
      <c r="P352" s="2"/>
      <c r="Q352" s="2"/>
    </row>
    <row r="353" spans="7:17" ht="18" customHeight="1" x14ac:dyDescent="0.3">
      <c r="G353" s="2"/>
      <c r="N353" s="2"/>
      <c r="O353" s="2"/>
      <c r="P353" s="2"/>
      <c r="Q353" s="2"/>
    </row>
    <row r="354" spans="7:17" ht="18" customHeight="1" x14ac:dyDescent="0.3">
      <c r="G354" s="2"/>
      <c r="N354" s="2"/>
      <c r="O354" s="2"/>
      <c r="P354" s="2"/>
      <c r="Q354" s="2"/>
    </row>
    <row r="355" spans="7:17" ht="18" customHeight="1" x14ac:dyDescent="0.3">
      <c r="G355" s="2"/>
      <c r="N355" s="2"/>
      <c r="O355" s="2"/>
      <c r="P355" s="2"/>
      <c r="Q355" s="2"/>
    </row>
    <row r="356" spans="7:17" ht="18" customHeight="1" x14ac:dyDescent="0.3">
      <c r="G356" s="2"/>
      <c r="N356" s="2"/>
      <c r="O356" s="2"/>
      <c r="P356" s="2"/>
      <c r="Q356" s="2"/>
    </row>
    <row r="357" spans="7:17" ht="18" customHeight="1" x14ac:dyDescent="0.3">
      <c r="G357" s="2"/>
      <c r="N357" s="2"/>
      <c r="O357" s="2"/>
      <c r="P357" s="2"/>
      <c r="Q357" s="2"/>
    </row>
    <row r="358" spans="7:17" ht="18" customHeight="1" x14ac:dyDescent="0.3">
      <c r="G358" s="2"/>
      <c r="N358" s="2"/>
      <c r="O358" s="2"/>
      <c r="P358" s="2"/>
      <c r="Q358" s="2"/>
    </row>
    <row r="359" spans="7:17" ht="18" customHeight="1" x14ac:dyDescent="0.3">
      <c r="G359" s="2"/>
      <c r="N359" s="2"/>
      <c r="O359" s="2"/>
      <c r="P359" s="2"/>
      <c r="Q359" s="2"/>
    </row>
    <row r="360" spans="7:17" ht="18" customHeight="1" x14ac:dyDescent="0.3">
      <c r="G360" s="2"/>
      <c r="N360" s="2"/>
      <c r="O360" s="2"/>
      <c r="P360" s="2"/>
      <c r="Q360" s="2"/>
    </row>
    <row r="361" spans="7:17" ht="18" customHeight="1" x14ac:dyDescent="0.3">
      <c r="G361" s="2"/>
      <c r="N361" s="2"/>
      <c r="O361" s="2"/>
      <c r="P361" s="2"/>
      <c r="Q361" s="2"/>
    </row>
    <row r="362" spans="7:17" ht="18" customHeight="1" x14ac:dyDescent="0.3">
      <c r="G362" s="2"/>
      <c r="N362" s="2"/>
      <c r="O362" s="2"/>
      <c r="P362" s="2"/>
      <c r="Q362" s="2"/>
    </row>
    <row r="363" spans="7:17" ht="18" customHeight="1" x14ac:dyDescent="0.3">
      <c r="G363" s="2"/>
      <c r="N363" s="2"/>
      <c r="O363" s="2"/>
      <c r="P363" s="2"/>
      <c r="Q363" s="2"/>
    </row>
    <row r="364" spans="7:17" ht="18" customHeight="1" x14ac:dyDescent="0.3">
      <c r="G364" s="2"/>
      <c r="N364" s="2"/>
      <c r="O364" s="2"/>
      <c r="P364" s="2"/>
      <c r="Q364" s="2"/>
    </row>
    <row r="365" spans="7:17" ht="18" customHeight="1" x14ac:dyDescent="0.3">
      <c r="G365" s="2"/>
      <c r="N365" s="2"/>
      <c r="O365" s="2"/>
      <c r="P365" s="2"/>
      <c r="Q365" s="2"/>
    </row>
    <row r="366" spans="7:17" ht="18" customHeight="1" x14ac:dyDescent="0.3">
      <c r="G366" s="2"/>
      <c r="N366" s="2"/>
      <c r="O366" s="2"/>
      <c r="P366" s="2"/>
      <c r="Q366" s="2"/>
    </row>
    <row r="367" spans="7:17" ht="18" customHeight="1" x14ac:dyDescent="0.3">
      <c r="G367" s="2"/>
      <c r="N367" s="2"/>
      <c r="O367" s="2"/>
      <c r="P367" s="2"/>
      <c r="Q367" s="2"/>
    </row>
    <row r="368" spans="7:17" ht="18" customHeight="1" x14ac:dyDescent="0.3">
      <c r="G368" s="2"/>
      <c r="N368" s="2"/>
      <c r="O368" s="2"/>
      <c r="P368" s="2"/>
      <c r="Q368" s="2"/>
    </row>
    <row r="369" spans="7:17" ht="18" customHeight="1" x14ac:dyDescent="0.3">
      <c r="G369" s="2"/>
      <c r="N369" s="2"/>
      <c r="O369" s="2"/>
      <c r="P369" s="2"/>
      <c r="Q369" s="2"/>
    </row>
    <row r="370" spans="7:17" ht="18" customHeight="1" x14ac:dyDescent="0.3">
      <c r="G370" s="2"/>
      <c r="N370" s="2"/>
      <c r="O370" s="2"/>
      <c r="P370" s="2"/>
      <c r="Q370" s="2"/>
    </row>
    <row r="371" spans="7:17" ht="18" customHeight="1" x14ac:dyDescent="0.3">
      <c r="G371" s="2"/>
      <c r="N371" s="2"/>
      <c r="O371" s="2"/>
      <c r="P371" s="2"/>
      <c r="Q371" s="2"/>
    </row>
    <row r="372" spans="7:17" ht="18" customHeight="1" x14ac:dyDescent="0.3">
      <c r="G372" s="2"/>
      <c r="N372" s="2"/>
      <c r="O372" s="2"/>
      <c r="P372" s="2"/>
      <c r="Q372" s="2"/>
    </row>
    <row r="373" spans="7:17" ht="18" customHeight="1" x14ac:dyDescent="0.3">
      <c r="G373" s="2"/>
      <c r="N373" s="2"/>
      <c r="O373" s="2"/>
      <c r="P373" s="2"/>
      <c r="Q373" s="2"/>
    </row>
    <row r="374" spans="7:17" ht="18" customHeight="1" x14ac:dyDescent="0.3">
      <c r="G374" s="2"/>
      <c r="N374" s="2"/>
      <c r="O374" s="2"/>
      <c r="P374" s="2"/>
      <c r="Q374" s="2"/>
    </row>
    <row r="375" spans="7:17" ht="18" customHeight="1" x14ac:dyDescent="0.3">
      <c r="G375" s="2"/>
      <c r="N375" s="2"/>
      <c r="O375" s="2"/>
      <c r="P375" s="2"/>
      <c r="Q375" s="2"/>
    </row>
    <row r="376" spans="7:17" ht="18" customHeight="1" x14ac:dyDescent="0.3">
      <c r="G376" s="2"/>
      <c r="N376" s="2"/>
      <c r="O376" s="2"/>
      <c r="P376" s="2"/>
      <c r="Q376" s="2"/>
    </row>
    <row r="377" spans="7:17" ht="18" customHeight="1" x14ac:dyDescent="0.3">
      <c r="G377" s="2"/>
      <c r="N377" s="2"/>
      <c r="O377" s="2"/>
      <c r="P377" s="2"/>
      <c r="Q377" s="2"/>
    </row>
    <row r="378" spans="7:17" ht="18" customHeight="1" x14ac:dyDescent="0.3">
      <c r="G378" s="2"/>
      <c r="N378" s="2"/>
      <c r="O378" s="2"/>
      <c r="P378" s="2"/>
      <c r="Q378" s="2"/>
    </row>
    <row r="379" spans="7:17" ht="18" customHeight="1" x14ac:dyDescent="0.3">
      <c r="G379" s="2"/>
      <c r="N379" s="2"/>
      <c r="O379" s="2"/>
      <c r="P379" s="2"/>
      <c r="Q379" s="2"/>
    </row>
    <row r="380" spans="7:17" ht="18" customHeight="1" x14ac:dyDescent="0.3">
      <c r="G380" s="2"/>
      <c r="N380" s="2"/>
      <c r="O380" s="2"/>
      <c r="P380" s="2"/>
      <c r="Q380" s="2"/>
    </row>
    <row r="381" spans="7:17" ht="18" customHeight="1" x14ac:dyDescent="0.3">
      <c r="G381" s="2"/>
      <c r="N381" s="2"/>
      <c r="O381" s="2"/>
      <c r="P381" s="2"/>
      <c r="Q381" s="2"/>
    </row>
    <row r="382" spans="7:17" ht="18" customHeight="1" x14ac:dyDescent="0.3">
      <c r="G382" s="2"/>
      <c r="N382" s="2"/>
      <c r="O382" s="2"/>
      <c r="P382" s="2"/>
      <c r="Q382" s="2"/>
    </row>
    <row r="383" spans="7:17" ht="18" customHeight="1" x14ac:dyDescent="0.3">
      <c r="G383" s="2"/>
      <c r="N383" s="2"/>
      <c r="O383" s="2"/>
      <c r="P383" s="2"/>
      <c r="Q383" s="2"/>
    </row>
    <row r="384" spans="7:17" ht="18" customHeight="1" x14ac:dyDescent="0.3">
      <c r="G384" s="2"/>
      <c r="N384" s="2"/>
      <c r="O384" s="2"/>
      <c r="P384" s="2"/>
      <c r="Q384" s="2"/>
    </row>
    <row r="385" spans="7:17" ht="18" customHeight="1" x14ac:dyDescent="0.3">
      <c r="G385" s="2"/>
      <c r="N385" s="2"/>
      <c r="O385" s="2"/>
      <c r="P385" s="2"/>
      <c r="Q385" s="2"/>
    </row>
    <row r="386" spans="7:17" ht="18" customHeight="1" x14ac:dyDescent="0.3">
      <c r="G386" s="2"/>
      <c r="N386" s="2"/>
      <c r="O386" s="2"/>
      <c r="P386" s="2"/>
      <c r="Q386" s="2"/>
    </row>
    <row r="387" spans="7:17" ht="18" customHeight="1" x14ac:dyDescent="0.3">
      <c r="G387" s="2"/>
      <c r="N387" s="2"/>
      <c r="O387" s="2"/>
      <c r="P387" s="2"/>
      <c r="Q387" s="2"/>
    </row>
    <row r="388" spans="7:17" ht="18" customHeight="1" x14ac:dyDescent="0.3">
      <c r="G388" s="2"/>
      <c r="N388" s="2"/>
      <c r="O388" s="2"/>
      <c r="P388" s="2"/>
      <c r="Q388" s="2"/>
    </row>
    <row r="389" spans="7:17" ht="18" customHeight="1" x14ac:dyDescent="0.3">
      <c r="G389" s="2"/>
      <c r="N389" s="2"/>
      <c r="O389" s="2"/>
      <c r="P389" s="2"/>
      <c r="Q389" s="2"/>
    </row>
    <row r="390" spans="7:17" ht="18" customHeight="1" x14ac:dyDescent="0.3">
      <c r="G390" s="2"/>
      <c r="N390" s="2"/>
      <c r="O390" s="2"/>
      <c r="P390" s="2"/>
      <c r="Q390" s="2"/>
    </row>
    <row r="391" spans="7:17" ht="18" customHeight="1" x14ac:dyDescent="0.3">
      <c r="G391" s="2"/>
      <c r="N391" s="2"/>
      <c r="O391" s="2"/>
      <c r="P391" s="2"/>
      <c r="Q391" s="2"/>
    </row>
    <row r="392" spans="7:17" ht="18" customHeight="1" x14ac:dyDescent="0.3">
      <c r="G392" s="2"/>
      <c r="N392" s="2"/>
      <c r="O392" s="2"/>
      <c r="P392" s="2"/>
      <c r="Q392" s="2"/>
    </row>
    <row r="393" spans="7:17" ht="18" customHeight="1" x14ac:dyDescent="0.3">
      <c r="G393" s="2"/>
      <c r="N393" s="2"/>
      <c r="O393" s="2"/>
      <c r="P393" s="2"/>
      <c r="Q393" s="2"/>
    </row>
    <row r="394" spans="7:17" ht="18" customHeight="1" x14ac:dyDescent="0.3">
      <c r="G394" s="2"/>
      <c r="N394" s="2"/>
      <c r="O394" s="2"/>
      <c r="P394" s="2"/>
      <c r="Q394" s="2"/>
    </row>
    <row r="395" spans="7:17" ht="18" customHeight="1" x14ac:dyDescent="0.3">
      <c r="G395" s="2"/>
      <c r="N395" s="2"/>
      <c r="O395" s="2"/>
      <c r="P395" s="2"/>
      <c r="Q395" s="2"/>
    </row>
    <row r="396" spans="7:17" ht="18" customHeight="1" x14ac:dyDescent="0.3">
      <c r="G396" s="2"/>
      <c r="N396" s="2"/>
      <c r="O396" s="2"/>
      <c r="P396" s="2"/>
      <c r="Q396" s="2"/>
    </row>
    <row r="397" spans="7:17" ht="18" customHeight="1" x14ac:dyDescent="0.3">
      <c r="G397" s="2"/>
      <c r="N397" s="2"/>
      <c r="O397" s="2"/>
      <c r="P397" s="2"/>
      <c r="Q397" s="2"/>
    </row>
    <row r="398" spans="7:17" ht="18" customHeight="1" x14ac:dyDescent="0.3">
      <c r="G398" s="2"/>
      <c r="N398" s="2"/>
      <c r="O398" s="2"/>
      <c r="P398" s="2"/>
      <c r="Q398" s="2"/>
    </row>
    <row r="399" spans="7:17" ht="18" customHeight="1" x14ac:dyDescent="0.3">
      <c r="G399" s="2"/>
      <c r="N399" s="2"/>
      <c r="O399" s="2"/>
      <c r="P399" s="2"/>
      <c r="Q399" s="2"/>
    </row>
    <row r="400" spans="7:17" ht="18" customHeight="1" x14ac:dyDescent="0.3">
      <c r="G400" s="2"/>
      <c r="N400" s="2"/>
      <c r="O400" s="2"/>
      <c r="P400" s="2"/>
      <c r="Q400" s="2"/>
    </row>
    <row r="401" spans="7:17" ht="18" customHeight="1" x14ac:dyDescent="0.3">
      <c r="G401" s="2"/>
      <c r="N401" s="2"/>
      <c r="O401" s="2"/>
      <c r="P401" s="2"/>
      <c r="Q401" s="2"/>
    </row>
    <row r="402" spans="7:17" ht="18" customHeight="1" x14ac:dyDescent="0.3">
      <c r="G402" s="2"/>
      <c r="N402" s="2"/>
      <c r="O402" s="2"/>
      <c r="P402" s="2"/>
      <c r="Q402" s="2"/>
    </row>
    <row r="403" spans="7:17" ht="18" customHeight="1" x14ac:dyDescent="0.3">
      <c r="G403" s="2"/>
      <c r="N403" s="2"/>
      <c r="O403" s="2"/>
      <c r="P403" s="2"/>
      <c r="Q403" s="2"/>
    </row>
    <row r="404" spans="7:17" ht="18" customHeight="1" x14ac:dyDescent="0.3">
      <c r="G404" s="2"/>
      <c r="N404" s="2"/>
      <c r="O404" s="2"/>
      <c r="P404" s="2"/>
      <c r="Q404" s="2"/>
    </row>
    <row r="405" spans="7:17" ht="18" customHeight="1" x14ac:dyDescent="0.3">
      <c r="G405" s="2"/>
      <c r="N405" s="2"/>
      <c r="O405" s="2"/>
      <c r="P405" s="2"/>
      <c r="Q405" s="2"/>
    </row>
    <row r="406" spans="7:17" ht="18" customHeight="1" x14ac:dyDescent="0.3">
      <c r="G406" s="2"/>
      <c r="N406" s="2"/>
      <c r="O406" s="2"/>
      <c r="P406" s="2"/>
      <c r="Q406" s="2"/>
    </row>
    <row r="407" spans="7:17" ht="18" customHeight="1" x14ac:dyDescent="0.3">
      <c r="G407" s="2"/>
      <c r="N407" s="2"/>
      <c r="O407" s="2"/>
      <c r="P407" s="2"/>
      <c r="Q407" s="2"/>
    </row>
    <row r="408" spans="7:17" ht="18" customHeight="1" x14ac:dyDescent="0.3">
      <c r="G408" s="2"/>
      <c r="N408" s="2"/>
      <c r="O408" s="2"/>
      <c r="P408" s="2"/>
      <c r="Q408" s="2"/>
    </row>
    <row r="409" spans="7:17" ht="18" customHeight="1" x14ac:dyDescent="0.3">
      <c r="G409" s="2"/>
      <c r="N409" s="2"/>
      <c r="O409" s="2"/>
      <c r="P409" s="2"/>
      <c r="Q409" s="2"/>
    </row>
    <row r="410" spans="7:17" ht="18" customHeight="1" x14ac:dyDescent="0.3">
      <c r="G410" s="2"/>
      <c r="N410" s="2"/>
      <c r="O410" s="2"/>
      <c r="P410" s="2"/>
      <c r="Q410" s="2"/>
    </row>
    <row r="411" spans="7:17" ht="18" customHeight="1" x14ac:dyDescent="0.3">
      <c r="G411" s="2"/>
      <c r="N411" s="2"/>
      <c r="O411" s="2"/>
      <c r="P411" s="2"/>
      <c r="Q411" s="2"/>
    </row>
    <row r="412" spans="7:17" ht="18" customHeight="1" x14ac:dyDescent="0.3">
      <c r="G412" s="2"/>
      <c r="N412" s="2"/>
      <c r="O412" s="2"/>
      <c r="P412" s="2"/>
      <c r="Q412" s="2"/>
    </row>
    <row r="413" spans="7:17" ht="18" customHeight="1" x14ac:dyDescent="0.3">
      <c r="G413" s="2"/>
      <c r="N413" s="2"/>
      <c r="O413" s="2"/>
      <c r="P413" s="2"/>
      <c r="Q413" s="2"/>
    </row>
    <row r="414" spans="7:17" ht="18" customHeight="1" x14ac:dyDescent="0.3">
      <c r="G414" s="2"/>
      <c r="N414" s="2"/>
      <c r="O414" s="2"/>
      <c r="P414" s="2"/>
      <c r="Q414" s="2"/>
    </row>
    <row r="415" spans="7:17" ht="18" customHeight="1" x14ac:dyDescent="0.3">
      <c r="G415" s="2"/>
      <c r="N415" s="2"/>
      <c r="O415" s="2"/>
      <c r="P415" s="2"/>
      <c r="Q415" s="2"/>
    </row>
    <row r="416" spans="7:17" ht="18" customHeight="1" x14ac:dyDescent="0.3">
      <c r="G416" s="2"/>
      <c r="N416" s="2"/>
      <c r="O416" s="2"/>
      <c r="P416" s="2"/>
      <c r="Q416" s="2"/>
    </row>
    <row r="417" spans="7:17" ht="18" customHeight="1" x14ac:dyDescent="0.3">
      <c r="G417" s="2"/>
      <c r="N417" s="2"/>
      <c r="O417" s="2"/>
      <c r="P417" s="2"/>
      <c r="Q417" s="2"/>
    </row>
    <row r="418" spans="7:17" ht="18" customHeight="1" x14ac:dyDescent="0.3">
      <c r="G418" s="2"/>
      <c r="N418" s="2"/>
      <c r="O418" s="2"/>
      <c r="P418" s="2"/>
      <c r="Q418" s="2"/>
    </row>
    <row r="419" spans="7:17" ht="18" customHeight="1" x14ac:dyDescent="0.3">
      <c r="G419" s="2"/>
      <c r="N419" s="2"/>
      <c r="O419" s="2"/>
      <c r="P419" s="2"/>
      <c r="Q419" s="2"/>
    </row>
    <row r="420" spans="7:17" ht="18" customHeight="1" x14ac:dyDescent="0.3">
      <c r="G420" s="2"/>
      <c r="N420" s="2"/>
      <c r="O420" s="2"/>
      <c r="P420" s="2"/>
      <c r="Q420" s="2"/>
    </row>
    <row r="421" spans="7:17" ht="18" customHeight="1" x14ac:dyDescent="0.3">
      <c r="G421" s="2"/>
      <c r="N421" s="2"/>
      <c r="O421" s="2"/>
      <c r="P421" s="2"/>
      <c r="Q421" s="2"/>
    </row>
    <row r="422" spans="7:17" ht="18" customHeight="1" x14ac:dyDescent="0.3">
      <c r="G422" s="2"/>
      <c r="N422" s="2"/>
      <c r="O422" s="2"/>
      <c r="P422" s="2"/>
      <c r="Q422" s="2"/>
    </row>
    <row r="423" spans="7:17" ht="18" customHeight="1" x14ac:dyDescent="0.3">
      <c r="G423" s="2"/>
      <c r="N423" s="2"/>
      <c r="O423" s="2"/>
      <c r="P423" s="2"/>
      <c r="Q423" s="2"/>
    </row>
    <row r="424" spans="7:17" ht="18" customHeight="1" x14ac:dyDescent="0.3">
      <c r="G424" s="2"/>
      <c r="N424" s="2"/>
      <c r="O424" s="2"/>
      <c r="P424" s="2"/>
      <c r="Q424" s="2"/>
    </row>
    <row r="425" spans="7:17" ht="18" customHeight="1" x14ac:dyDescent="0.3">
      <c r="G425" s="2"/>
      <c r="N425" s="2"/>
      <c r="O425" s="2"/>
      <c r="P425" s="2"/>
      <c r="Q425" s="2"/>
    </row>
    <row r="426" spans="7:17" ht="18" customHeight="1" x14ac:dyDescent="0.3">
      <c r="G426" s="2"/>
      <c r="N426" s="2"/>
      <c r="O426" s="2"/>
      <c r="P426" s="2"/>
      <c r="Q426" s="2"/>
    </row>
    <row r="427" spans="7:17" x14ac:dyDescent="0.3">
      <c r="G427" s="2"/>
      <c r="N427" s="2"/>
      <c r="O427" s="2"/>
      <c r="P427" s="2"/>
      <c r="Q427" s="2"/>
    </row>
    <row r="428" spans="7:17" x14ac:dyDescent="0.3">
      <c r="G428" s="2"/>
      <c r="N428" s="2"/>
      <c r="O428" s="2"/>
      <c r="P428" s="2"/>
      <c r="Q428" s="2"/>
    </row>
    <row r="429" spans="7:17" x14ac:dyDescent="0.3">
      <c r="G429" s="2"/>
      <c r="N429" s="2"/>
      <c r="O429" s="2"/>
      <c r="P429" s="2"/>
      <c r="Q429" s="2"/>
    </row>
    <row r="430" spans="7:17" x14ac:dyDescent="0.3">
      <c r="G430" s="2"/>
      <c r="N430" s="2"/>
      <c r="O430" s="2"/>
      <c r="P430" s="2"/>
      <c r="Q430" s="2"/>
    </row>
    <row r="431" spans="7:17" x14ac:dyDescent="0.3">
      <c r="G431" s="2"/>
      <c r="N431" s="2"/>
      <c r="O431" s="2"/>
      <c r="P431" s="2"/>
      <c r="Q431" s="2"/>
    </row>
    <row r="432" spans="7:17" x14ac:dyDescent="0.3">
      <c r="G432" s="2"/>
      <c r="N432" s="2"/>
      <c r="O432" s="2"/>
      <c r="P432" s="2"/>
      <c r="Q432" s="2"/>
    </row>
    <row r="433" spans="7:17" x14ac:dyDescent="0.3">
      <c r="G433" s="2"/>
      <c r="N433" s="2"/>
      <c r="O433" s="2"/>
      <c r="P433" s="2"/>
      <c r="Q433" s="2"/>
    </row>
    <row r="434" spans="7:17" x14ac:dyDescent="0.3">
      <c r="G434" s="2"/>
      <c r="N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56" priority="6">
      <formula>MONTH(B11)&lt;&gt;$A$2</formula>
    </cfRule>
  </conditionalFormatting>
  <conditionalFormatting sqref="B11:H28">
    <cfRule type="expression" dxfId="55" priority="5">
      <formula>B11="무지출"</formula>
    </cfRule>
  </conditionalFormatting>
  <conditionalFormatting sqref="U58:U78 U81:U84 U106:U165">
    <cfRule type="expression" dxfId="11" priority="4">
      <formula>$U58&lt;0</formula>
    </cfRule>
  </conditionalFormatting>
  <conditionalFormatting sqref="U86:U104">
    <cfRule type="expression" dxfId="10" priority="3">
      <formula>$U86&lt;0</formula>
    </cfRule>
  </conditionalFormatting>
  <conditionalFormatting sqref="U85">
    <cfRule type="expression" dxfId="9" priority="2">
      <formula>$U85&lt;0</formula>
    </cfRule>
  </conditionalFormatting>
  <conditionalFormatting sqref="U105">
    <cfRule type="expression" dxfId="8" priority="1">
      <formula>$U105&lt;0</formula>
    </cfRule>
  </conditionalFormatting>
  <dataValidations count="5"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/>
    <pageSetUpPr autoPageBreaks="0" fitToPage="1"/>
  </sheetPr>
  <dimension ref="A1:Y434"/>
  <sheetViews>
    <sheetView showGridLines="0" topLeftCell="A64" zoomScale="90" zoomScaleNormal="90" zoomScaleSheetLayoutView="40" workbookViewId="0">
      <selection activeCell="A30" sqref="A30:XFD167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21" ht="16.5" customHeight="1" x14ac:dyDescent="0.3">
      <c r="A1" s="407">
        <f>메인!$R$3</f>
        <v>2025</v>
      </c>
      <c r="B1" s="541" t="s">
        <v>123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1" ht="16.5" customHeight="1" x14ac:dyDescent="0.3">
      <c r="A2" s="408">
        <f>메인!$O$11</f>
        <v>11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1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1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R5" s="450"/>
      <c r="S5" s="38"/>
      <c r="T5" s="38"/>
    </row>
    <row r="6" spans="1:21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441" t="s">
        <v>80</v>
      </c>
      <c r="K6" s="394"/>
      <c r="L6" s="394"/>
      <c r="M6" s="394"/>
      <c r="N6" s="394"/>
      <c r="O6" s="394"/>
      <c r="P6" s="394"/>
      <c r="Q6" s="394"/>
      <c r="R6" s="394"/>
      <c r="S6" s="394"/>
      <c r="T6" s="394"/>
    </row>
    <row r="7" spans="1:21" ht="19.899999999999999" customHeight="1" x14ac:dyDescent="0.3">
      <c r="B7" s="62" t="s">
        <v>43</v>
      </c>
      <c r="C7" s="57">
        <f>$C$5-$C$6</f>
        <v>-2610100</v>
      </c>
      <c r="J7" s="442" t="s">
        <v>80</v>
      </c>
      <c r="K7" s="395"/>
      <c r="L7" s="395"/>
      <c r="M7" s="395"/>
      <c r="N7" s="395"/>
      <c r="O7" s="395"/>
      <c r="P7" s="395"/>
      <c r="Q7" s="395"/>
      <c r="R7" s="395"/>
      <c r="S7" s="395"/>
      <c r="T7" s="395"/>
    </row>
    <row r="8" spans="1:21" ht="19.899999999999999" customHeight="1" x14ac:dyDescent="0.3">
      <c r="E8" s="3"/>
      <c r="F8" s="3"/>
      <c r="G8" s="412" t="s">
        <v>257</v>
      </c>
      <c r="H8" s="413">
        <f ca="1">COUNTIF(B10:H28,"무지출")</f>
        <v>5</v>
      </c>
    </row>
    <row r="9" spans="1:21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</row>
    <row r="10" spans="1:21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</row>
    <row r="11" spans="1:21" ht="19.899999999999999" customHeight="1" x14ac:dyDescent="0.3">
      <c r="B11" s="404">
        <f>DATE($A$1,$A$2,1)-WEEKDAY(DATE($A$1,$A$2,1))+1</f>
        <v>45956</v>
      </c>
      <c r="C11" s="405">
        <f>B11+1</f>
        <v>45957</v>
      </c>
      <c r="D11" s="405">
        <f t="shared" ref="D11:H11" si="0">C11+1</f>
        <v>45958</v>
      </c>
      <c r="E11" s="405">
        <f t="shared" si="0"/>
        <v>45959</v>
      </c>
      <c r="F11" s="405">
        <f t="shared" si="0"/>
        <v>45960</v>
      </c>
      <c r="G11" s="405">
        <f t="shared" si="0"/>
        <v>45961</v>
      </c>
      <c r="H11" s="406">
        <f t="shared" si="0"/>
        <v>45962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VLOOKUP(J11,예산!$B$41:$N$53,12,FALSE)</f>
        <v>0</v>
      </c>
      <c r="M11" s="428">
        <f t="shared" ref="M11:M23" si="1">L11-K11</f>
        <v>0</v>
      </c>
      <c r="N11" s="437">
        <f>VLOOKUP(J11,'10월'!$J$10:$K$23,2,FALSE)</f>
        <v>0</v>
      </c>
      <c r="O11" s="439">
        <f t="shared" ref="O11:O23" si="2">K11-N11</f>
        <v>0</v>
      </c>
      <c r="P11" s="3"/>
    </row>
    <row r="12" spans="1:21" ht="19.899999999999999" customHeight="1" x14ac:dyDescent="0.3">
      <c r="B12" s="532" t="str">
        <f ca="1">IF(MONTH(B11)&lt;&gt;$A$2,"",IF(AND(SUMIF($J$81:$J$217,B11,$R$81:$R$217)=0,B11&lt;TODAY()),"무지출",SUMIF($J$81:$J$217,B11,$R$81:$R$217)))</f>
        <v/>
      </c>
      <c r="C12" s="533" t="str">
        <f t="shared" ref="C12:H12" ca="1" si="3">IF(MONTH(C11)&lt;&gt;$A$2,"",IF(AND(SUMIF($J$81:$J$217,C11,$R$81:$R$217)=0,C11&lt;TODAY()),"무지출",SUMIF($J$81:$J$217,C11,$R$81:$R$217)))</f>
        <v/>
      </c>
      <c r="D12" s="533" t="str">
        <f t="shared" ca="1" si="3"/>
        <v/>
      </c>
      <c r="E12" s="533" t="str">
        <f t="shared" ca="1" si="3"/>
        <v/>
      </c>
      <c r="F12" s="533" t="str">
        <f t="shared" ca="1" si="3"/>
        <v/>
      </c>
      <c r="G12" s="533" t="str">
        <f t="shared" ca="1" si="3"/>
        <v/>
      </c>
      <c r="H12" s="534" t="str">
        <f t="shared" ca="1" si="3"/>
        <v>무지출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VLOOKUP(J12,예산!$B$41:$N$53,12,FALSE)</f>
        <v>0</v>
      </c>
      <c r="M12" s="428">
        <f t="shared" si="1"/>
        <v>-212000</v>
      </c>
      <c r="N12" s="437">
        <f>VLOOKUP(J12,'10월'!$J$10:$K$23,2,FALSE)</f>
        <v>212000</v>
      </c>
      <c r="O12" s="439">
        <f t="shared" si="2"/>
        <v>0</v>
      </c>
      <c r="P12" s="3"/>
    </row>
    <row r="13" spans="1:21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VLOOKUP(J13,예산!$B$41:$N$53,12,FALSE)</f>
        <v>0</v>
      </c>
      <c r="M13" s="428">
        <f t="shared" si="1"/>
        <v>0</v>
      </c>
      <c r="N13" s="437">
        <f>VLOOKUP(J13,'10월'!$J$10:$K$23,2,FALSE)</f>
        <v>0</v>
      </c>
      <c r="O13" s="439">
        <f t="shared" si="2"/>
        <v>0</v>
      </c>
      <c r="P13" s="3"/>
    </row>
    <row r="14" spans="1:21" ht="19.899999999999999" customHeight="1" x14ac:dyDescent="0.3">
      <c r="B14" s="404">
        <f>B11+7</f>
        <v>45963</v>
      </c>
      <c r="C14" s="405">
        <f t="shared" ref="C14:H14" si="5">C11+7</f>
        <v>45964</v>
      </c>
      <c r="D14" s="405">
        <f t="shared" si="5"/>
        <v>45965</v>
      </c>
      <c r="E14" s="405">
        <f t="shared" si="5"/>
        <v>45966</v>
      </c>
      <c r="F14" s="405">
        <f t="shared" si="5"/>
        <v>45967</v>
      </c>
      <c r="G14" s="405">
        <f t="shared" si="5"/>
        <v>45968</v>
      </c>
      <c r="H14" s="406">
        <f t="shared" si="5"/>
        <v>45969</v>
      </c>
      <c r="J14" s="369" t="str">
        <f>항목!H$3</f>
        <v>반려동물비</v>
      </c>
      <c r="K14" s="426">
        <f t="shared" si="4"/>
        <v>0</v>
      </c>
      <c r="L14" s="426">
        <f>VLOOKUP(J14,예산!$B$41:$N$53,12,FALSE)</f>
        <v>0</v>
      </c>
      <c r="M14" s="428">
        <f t="shared" si="1"/>
        <v>0</v>
      </c>
      <c r="N14" s="437">
        <f>VLOOKUP(J14,'10월'!$J$10:$K$23,2,FALSE)</f>
        <v>0</v>
      </c>
      <c r="O14" s="439">
        <f t="shared" si="2"/>
        <v>0</v>
      </c>
      <c r="P14" s="3"/>
    </row>
    <row r="15" spans="1:21" ht="19.899999999999999" customHeight="1" x14ac:dyDescent="0.3">
      <c r="B15" s="532" t="str">
        <f ca="1">IF(MONTH(B14)&lt;&gt;$A$2,"",IF(AND(SUMIF($J$81:$J$217,B14,$R$81:$R$217)=0,B14&lt;TODAY()),"무지출",SUMIF($J$81:$J$217,B14,$R$81:$R$217)))</f>
        <v>무지출</v>
      </c>
      <c r="C15" s="533" t="str">
        <f t="shared" ref="C15:H15" ca="1" si="6">IF(MONTH(C14)&lt;&gt;$A$2,"",IF(AND(SUMIF($J$81:$J$217,C14,$R$81:$R$217)=0,C14&lt;TODAY()),"무지출",SUMIF($J$81:$J$217,C14,$R$81:$R$217)))</f>
        <v>무지출</v>
      </c>
      <c r="D15" s="533" t="str">
        <f t="shared" ca="1" si="6"/>
        <v>무지출</v>
      </c>
      <c r="E15" s="533" t="str">
        <f t="shared" ca="1" si="6"/>
        <v>무지출</v>
      </c>
      <c r="F15" s="533">
        <f t="shared" ca="1" si="6"/>
        <v>0</v>
      </c>
      <c r="G15" s="533">
        <f t="shared" ca="1" si="6"/>
        <v>0</v>
      </c>
      <c r="H15" s="534">
        <f t="shared" ca="1" si="6"/>
        <v>0</v>
      </c>
      <c r="J15" s="369" t="str">
        <f>항목!I$3</f>
        <v>의류미용비</v>
      </c>
      <c r="K15" s="426">
        <f t="shared" si="4"/>
        <v>0</v>
      </c>
      <c r="L15" s="426">
        <f>VLOOKUP(J15,예산!$B$41:$N$53,12,FALSE)</f>
        <v>0</v>
      </c>
      <c r="M15" s="428">
        <f t="shared" si="1"/>
        <v>0</v>
      </c>
      <c r="N15" s="437">
        <f>VLOOKUP(J15,'10월'!$J$10:$K$23,2,FALSE)</f>
        <v>0</v>
      </c>
      <c r="O15" s="439">
        <f t="shared" si="2"/>
        <v>0</v>
      </c>
      <c r="P15" s="3"/>
    </row>
    <row r="16" spans="1:21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VLOOKUP(J16,예산!$B$41:$N$53,12,FALSE)</f>
        <v>0</v>
      </c>
      <c r="M16" s="428">
        <f t="shared" si="1"/>
        <v>0</v>
      </c>
      <c r="N16" s="437">
        <f>VLOOKUP(J16,'10월'!$J$10:$K$23,2,FALSE)</f>
        <v>0</v>
      </c>
      <c r="O16" s="439">
        <f t="shared" si="2"/>
        <v>0</v>
      </c>
      <c r="P16" s="3"/>
    </row>
    <row r="17" spans="2:23" ht="19.899999999999999" customHeight="1" x14ac:dyDescent="0.3">
      <c r="B17" s="404">
        <f>B11+14</f>
        <v>45970</v>
      </c>
      <c r="C17" s="405">
        <f t="shared" ref="C17:H17" si="7">C11+14</f>
        <v>45971</v>
      </c>
      <c r="D17" s="405">
        <f t="shared" si="7"/>
        <v>45972</v>
      </c>
      <c r="E17" s="405">
        <f t="shared" si="7"/>
        <v>45973</v>
      </c>
      <c r="F17" s="405">
        <f t="shared" si="7"/>
        <v>45974</v>
      </c>
      <c r="G17" s="405">
        <f t="shared" si="7"/>
        <v>45975</v>
      </c>
      <c r="H17" s="406">
        <f t="shared" si="7"/>
        <v>45976</v>
      </c>
      <c r="J17" s="369" t="str">
        <f>항목!K$3</f>
        <v>문화생활비</v>
      </c>
      <c r="K17" s="426">
        <f t="shared" si="4"/>
        <v>63100</v>
      </c>
      <c r="L17" s="426">
        <f>VLOOKUP(J17,예산!$B$41:$N$53,12,FALSE)</f>
        <v>0</v>
      </c>
      <c r="M17" s="428">
        <f t="shared" si="1"/>
        <v>-63100</v>
      </c>
      <c r="N17" s="437">
        <f>VLOOKUP(J17,'10월'!$J$10:$K$23,2,FALSE)</f>
        <v>63100</v>
      </c>
      <c r="O17" s="439">
        <f t="shared" si="2"/>
        <v>0</v>
      </c>
      <c r="P17" s="3"/>
    </row>
    <row r="18" spans="2:23" ht="19.899999999999999" customHeight="1" x14ac:dyDescent="0.3">
      <c r="B18" s="532">
        <f ca="1">IF(MONTH(B17)&lt;&gt;$A$2,"",IF(AND(SUMIF($J$81:$J$217,B17,$R$81:$R$217)=0,B17&lt;TODAY()),"무지출",SUMIF($J$81:$J$217,B17,$R$81:$R$217)))</f>
        <v>0</v>
      </c>
      <c r="C18" s="533">
        <f t="shared" ref="C18:H18" ca="1" si="8">IF(MONTH(C17)&lt;&gt;$A$2,"",IF(AND(SUMIF($J$81:$J$217,C17,$R$81:$R$217)=0,C17&lt;TODAY()),"무지출",SUMIF($J$81:$J$217,C17,$R$81:$R$217)))</f>
        <v>0</v>
      </c>
      <c r="D18" s="533">
        <f t="shared" ca="1" si="8"/>
        <v>0</v>
      </c>
      <c r="E18" s="533">
        <f t="shared" ca="1" si="8"/>
        <v>0</v>
      </c>
      <c r="F18" s="533">
        <f t="shared" ca="1" si="8"/>
        <v>0</v>
      </c>
      <c r="G18" s="533">
        <f t="shared" ca="1" si="8"/>
        <v>0</v>
      </c>
      <c r="H18" s="534">
        <f t="shared" ca="1" si="8"/>
        <v>0</v>
      </c>
      <c r="J18" s="369" t="str">
        <f>항목!L$3</f>
        <v>의료비</v>
      </c>
      <c r="K18" s="426">
        <f t="shared" si="4"/>
        <v>0</v>
      </c>
      <c r="L18" s="426">
        <f>VLOOKUP(J18,예산!$B$41:$N$53,12,FALSE)</f>
        <v>0</v>
      </c>
      <c r="M18" s="428">
        <f t="shared" si="1"/>
        <v>0</v>
      </c>
      <c r="N18" s="437">
        <f>VLOOKUP(J18,'10월'!$J$10:$K$23,2,FALSE)</f>
        <v>0</v>
      </c>
      <c r="O18" s="439">
        <f t="shared" si="2"/>
        <v>0</v>
      </c>
      <c r="P18" s="3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VLOOKUP(J19,예산!$B$41:$N$53,12,FALSE)</f>
        <v>0</v>
      </c>
      <c r="M19" s="428">
        <f t="shared" si="1"/>
        <v>0</v>
      </c>
      <c r="N19" s="437">
        <f>VLOOKUP(J19,'10월'!$J$10:$K$23,2,FALSE)</f>
        <v>0</v>
      </c>
      <c r="O19" s="439">
        <f t="shared" si="2"/>
        <v>0</v>
      </c>
      <c r="P19" s="3"/>
    </row>
    <row r="20" spans="2:23" ht="19.899999999999999" customHeight="1" x14ac:dyDescent="0.3">
      <c r="B20" s="404">
        <f>B11+21</f>
        <v>45977</v>
      </c>
      <c r="C20" s="405">
        <f t="shared" ref="C20:H20" si="9">C11+21</f>
        <v>45978</v>
      </c>
      <c r="D20" s="405">
        <f t="shared" si="9"/>
        <v>45979</v>
      </c>
      <c r="E20" s="405">
        <f t="shared" si="9"/>
        <v>45980</v>
      </c>
      <c r="F20" s="405">
        <f t="shared" si="9"/>
        <v>45981</v>
      </c>
      <c r="G20" s="405">
        <f t="shared" si="9"/>
        <v>45982</v>
      </c>
      <c r="H20" s="406">
        <f t="shared" si="9"/>
        <v>45983</v>
      </c>
      <c r="J20" s="369" t="str">
        <f>항목!N$3</f>
        <v>통신비</v>
      </c>
      <c r="K20" s="426">
        <f t="shared" si="4"/>
        <v>0</v>
      </c>
      <c r="L20" s="426">
        <f>VLOOKUP(J20,예산!$B$41:$N$53,12,FALSE)</f>
        <v>0</v>
      </c>
      <c r="M20" s="428">
        <f t="shared" si="1"/>
        <v>0</v>
      </c>
      <c r="N20" s="437">
        <f>VLOOKUP(J20,'10월'!$J$10:$K$23,2,FALSE)</f>
        <v>0</v>
      </c>
      <c r="O20" s="439">
        <f t="shared" si="2"/>
        <v>0</v>
      </c>
      <c r="P20" s="3"/>
    </row>
    <row r="21" spans="2:23" ht="19.899999999999999" customHeight="1" x14ac:dyDescent="0.3">
      <c r="B21" s="532">
        <f ca="1">IF(MONTH(B20)&lt;&gt;$A$2,"",IF(AND(SUMIF($J$81:$J$217,B20,$R$81:$R$217)=0,B20&lt;TODAY()),"무지출",SUMIF($J$81:$J$217,B20,$R$81:$R$217)))</f>
        <v>0</v>
      </c>
      <c r="C21" s="533">
        <f t="shared" ref="C21:H21" ca="1" si="10">IF(MONTH(C20)&lt;&gt;$A$2,"",IF(AND(SUMIF($J$81:$J$217,C20,$R$81:$R$217)=0,C20&lt;TODAY()),"무지출",SUMIF($J$81:$J$217,C20,$R$81:$R$217)))</f>
        <v>0</v>
      </c>
      <c r="D21" s="533">
        <f t="shared" ca="1" si="10"/>
        <v>0</v>
      </c>
      <c r="E21" s="533">
        <f t="shared" ca="1" si="10"/>
        <v>0</v>
      </c>
      <c r="F21" s="533">
        <f t="shared" ca="1" si="10"/>
        <v>0</v>
      </c>
      <c r="G21" s="533">
        <f t="shared" ca="1" si="10"/>
        <v>0</v>
      </c>
      <c r="H21" s="534">
        <f t="shared" ca="1" si="10"/>
        <v>0</v>
      </c>
      <c r="J21" s="369" t="str">
        <f>항목!O$3</f>
        <v>경조사회비</v>
      </c>
      <c r="K21" s="426">
        <f t="shared" si="4"/>
        <v>0</v>
      </c>
      <c r="L21" s="426">
        <f>VLOOKUP(J21,예산!$B$41:$N$53,12,FALSE)</f>
        <v>0</v>
      </c>
      <c r="M21" s="428">
        <f t="shared" si="1"/>
        <v>0</v>
      </c>
      <c r="N21" s="437">
        <f>VLOOKUP(J21,'10월'!$J$10:$K$23,2,FALSE)</f>
        <v>0</v>
      </c>
      <c r="O21" s="439">
        <f t="shared" si="2"/>
        <v>0</v>
      </c>
      <c r="P21" s="3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VLOOKUP(J22,예산!$B$41:$N$53,12,FALSE)</f>
        <v>0</v>
      </c>
      <c r="M22" s="428">
        <f t="shared" si="1"/>
        <v>0</v>
      </c>
      <c r="N22" s="437">
        <f>VLOOKUP(J22,'10월'!$J$10:$K$23,2,FALSE)</f>
        <v>0</v>
      </c>
      <c r="O22" s="439">
        <f t="shared" si="2"/>
        <v>0</v>
      </c>
      <c r="P22" s="3"/>
    </row>
    <row r="23" spans="2:23" ht="19.899999999999999" customHeight="1" x14ac:dyDescent="0.3">
      <c r="B23" s="404">
        <f>B11+28</f>
        <v>45984</v>
      </c>
      <c r="C23" s="405">
        <f t="shared" ref="C23:H23" si="11">C11+28</f>
        <v>45985</v>
      </c>
      <c r="D23" s="405">
        <f t="shared" si="11"/>
        <v>45986</v>
      </c>
      <c r="E23" s="405">
        <f t="shared" si="11"/>
        <v>45987</v>
      </c>
      <c r="F23" s="405">
        <f t="shared" si="11"/>
        <v>45988</v>
      </c>
      <c r="G23" s="405">
        <f t="shared" si="11"/>
        <v>45989</v>
      </c>
      <c r="H23" s="406">
        <f t="shared" si="11"/>
        <v>45990</v>
      </c>
      <c r="J23" s="332" t="str">
        <f>항목!Q$3</f>
        <v>추가항목</v>
      </c>
      <c r="K23" s="426">
        <f t="shared" si="4"/>
        <v>0</v>
      </c>
      <c r="L23" s="427">
        <f>VLOOKUP(J23,예산!$B$41:$N$53,12,FALSE)</f>
        <v>0</v>
      </c>
      <c r="M23" s="429">
        <f t="shared" si="1"/>
        <v>0</v>
      </c>
      <c r="N23" s="438">
        <f>VLOOKUP(J23,'10월'!$J$10:$K$23,2,FALSE)</f>
        <v>0</v>
      </c>
      <c r="O23" s="440">
        <f t="shared" si="2"/>
        <v>0</v>
      </c>
      <c r="P23" s="3"/>
    </row>
    <row r="24" spans="2:23" ht="19.899999999999999" customHeight="1" x14ac:dyDescent="0.3">
      <c r="B24" s="532">
        <f ca="1">IF(MONTH(B23)&lt;&gt;$A$2,"",IF(AND(SUMIF($J$81:$J$217,B23,$R$81:$R$217)=0,B23&lt;TODAY()),"무지출",SUMIF($J$81:$J$217,B23,$R$81:$R$217)))</f>
        <v>0</v>
      </c>
      <c r="C24" s="533">
        <f t="shared" ref="C24:H24" ca="1" si="12">IF(MONTH(C23)&lt;&gt;$A$2,"",IF(AND(SUMIF($J$81:$J$217,C23,$R$81:$R$217)=0,C23&lt;TODAY()),"무지출",SUMIF($J$81:$J$217,C23,$R$81:$R$217)))</f>
        <v>0</v>
      </c>
      <c r="D24" s="533">
        <f t="shared" ca="1" si="12"/>
        <v>0</v>
      </c>
      <c r="E24" s="533">
        <f t="shared" ca="1" si="12"/>
        <v>0</v>
      </c>
      <c r="F24" s="533">
        <f t="shared" ca="1" si="12"/>
        <v>0</v>
      </c>
      <c r="G24" s="533">
        <f t="shared" ca="1" si="12"/>
        <v>0</v>
      </c>
      <c r="H24" s="534">
        <f t="shared" ca="1" si="12"/>
        <v>0</v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</row>
    <row r="26" spans="2:23" ht="19.899999999999999" customHeight="1" x14ac:dyDescent="0.3">
      <c r="B26" s="404">
        <f>B11+35</f>
        <v>45991</v>
      </c>
      <c r="C26" s="405">
        <f t="shared" ref="C26:H26" si="13">C11+35</f>
        <v>45992</v>
      </c>
      <c r="D26" s="405">
        <f t="shared" si="13"/>
        <v>45993</v>
      </c>
      <c r="E26" s="405">
        <f t="shared" si="13"/>
        <v>45994</v>
      </c>
      <c r="F26" s="405">
        <f t="shared" si="13"/>
        <v>45995</v>
      </c>
      <c r="G26" s="405">
        <f t="shared" si="13"/>
        <v>45996</v>
      </c>
      <c r="H26" s="406">
        <f t="shared" si="13"/>
        <v>45997</v>
      </c>
      <c r="J26" s="446"/>
      <c r="K26" s="368"/>
      <c r="L26" s="368"/>
      <c r="M26" s="368"/>
      <c r="N26" s="368"/>
      <c r="O26" s="368"/>
    </row>
    <row r="27" spans="2:23" ht="19.899999999999999" customHeight="1" x14ac:dyDescent="0.3">
      <c r="B27" s="532">
        <f ca="1">IF(MONTH(B26)&lt;&gt;$A$2,"",IF(AND(SUMIF($J$81:$J$217,B26,$R$81:$R$217)=0,B26&lt;TODAY()),"무지출",SUMIF($J$81:$J$217,B26,$R$81:$R$217)))</f>
        <v>0</v>
      </c>
      <c r="C27" s="533" t="str">
        <f t="shared" ref="C27:H27" ca="1" si="14">IF(MONTH(C26)&lt;&gt;$A$2,"",IF(AND(SUMIF($J$81:$J$217,C26,$R$81:$R$217)=0,C26&lt;TODAY()),"무지출",SUMIF($J$81:$J$217,C26,$R$81:$R$217)))</f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G168" s="2"/>
      <c r="N168" s="2"/>
      <c r="O168" s="2"/>
      <c r="P168" s="2"/>
      <c r="Q168" s="2"/>
    </row>
    <row r="169" spans="1:23" ht="18" customHeight="1" x14ac:dyDescent="0.3">
      <c r="G169" s="2"/>
      <c r="N169" s="2"/>
      <c r="O169" s="2"/>
      <c r="P169" s="2"/>
      <c r="Q169" s="2"/>
    </row>
    <row r="170" spans="1:23" ht="18" customHeight="1" x14ac:dyDescent="0.3">
      <c r="G170" s="2"/>
      <c r="N170" s="2"/>
      <c r="O170" s="2"/>
      <c r="P170" s="2"/>
      <c r="Q170" s="2"/>
    </row>
    <row r="171" spans="1:23" ht="18" customHeight="1" x14ac:dyDescent="0.3">
      <c r="G171" s="2"/>
      <c r="N171" s="2"/>
      <c r="O171" s="2"/>
      <c r="P171" s="2"/>
      <c r="Q171" s="2"/>
    </row>
    <row r="172" spans="1:23" ht="18" customHeight="1" x14ac:dyDescent="0.3">
      <c r="G172" s="2"/>
      <c r="N172" s="2"/>
      <c r="O172" s="2"/>
      <c r="P172" s="2"/>
      <c r="Q172" s="2"/>
    </row>
    <row r="173" spans="1:23" ht="18" customHeight="1" x14ac:dyDescent="0.3">
      <c r="G173" s="2"/>
      <c r="N173" s="2"/>
      <c r="O173" s="2"/>
      <c r="P173" s="2"/>
      <c r="Q173" s="2"/>
    </row>
    <row r="174" spans="1:23" ht="18" customHeight="1" x14ac:dyDescent="0.3">
      <c r="G174" s="2"/>
      <c r="N174" s="2"/>
      <c r="O174" s="2"/>
      <c r="P174" s="2"/>
      <c r="Q174" s="2"/>
    </row>
    <row r="175" spans="1:23" ht="18" customHeight="1" x14ac:dyDescent="0.3">
      <c r="G175" s="2"/>
      <c r="N175" s="2"/>
      <c r="O175" s="2"/>
      <c r="P175" s="2"/>
      <c r="Q175" s="2"/>
    </row>
    <row r="176" spans="1:23" ht="18" customHeight="1" x14ac:dyDescent="0.3">
      <c r="G176" s="2"/>
      <c r="N176" s="2"/>
      <c r="O176" s="2"/>
      <c r="P176" s="2"/>
      <c r="Q176" s="2"/>
    </row>
    <row r="177" spans="7:17" ht="18" customHeight="1" x14ac:dyDescent="0.3">
      <c r="G177" s="2"/>
      <c r="N177" s="2"/>
      <c r="O177" s="2"/>
      <c r="P177" s="2"/>
      <c r="Q177" s="2"/>
    </row>
    <row r="178" spans="7:17" ht="18" customHeight="1" x14ac:dyDescent="0.3">
      <c r="G178" s="2"/>
      <c r="N178" s="2"/>
      <c r="O178" s="2"/>
      <c r="P178" s="2"/>
      <c r="Q178" s="2"/>
    </row>
    <row r="179" spans="7:17" ht="18" customHeight="1" x14ac:dyDescent="0.3">
      <c r="G179" s="2"/>
      <c r="N179" s="2"/>
      <c r="O179" s="2"/>
      <c r="P179" s="2"/>
      <c r="Q179" s="2"/>
    </row>
    <row r="180" spans="7:17" ht="18" customHeight="1" x14ac:dyDescent="0.3">
      <c r="G180" s="2"/>
      <c r="N180" s="2"/>
      <c r="O180" s="2"/>
      <c r="P180" s="2"/>
      <c r="Q180" s="2"/>
    </row>
    <row r="181" spans="7:17" ht="18" customHeight="1" x14ac:dyDescent="0.3">
      <c r="G181" s="2"/>
      <c r="N181" s="2"/>
      <c r="O181" s="2"/>
      <c r="P181" s="2"/>
      <c r="Q181" s="2"/>
    </row>
    <row r="182" spans="7:17" ht="18" customHeight="1" x14ac:dyDescent="0.3">
      <c r="G182" s="2"/>
      <c r="N182" s="2"/>
      <c r="O182" s="2"/>
      <c r="P182" s="2"/>
      <c r="Q182" s="2"/>
    </row>
    <row r="183" spans="7:17" ht="18" customHeight="1" x14ac:dyDescent="0.3">
      <c r="G183" s="2"/>
      <c r="N183" s="2"/>
      <c r="O183" s="2"/>
      <c r="P183" s="2"/>
      <c r="Q183" s="2"/>
    </row>
    <row r="184" spans="7:17" ht="18" customHeight="1" x14ac:dyDescent="0.3">
      <c r="G184" s="2"/>
      <c r="N184" s="2"/>
      <c r="O184" s="2"/>
      <c r="P184" s="2"/>
      <c r="Q184" s="2"/>
    </row>
    <row r="185" spans="7:17" ht="18" customHeight="1" x14ac:dyDescent="0.3">
      <c r="G185" s="2"/>
      <c r="N185" s="2"/>
      <c r="O185" s="2"/>
      <c r="P185" s="2"/>
      <c r="Q185" s="2"/>
    </row>
    <row r="186" spans="7:17" ht="18" customHeight="1" x14ac:dyDescent="0.3">
      <c r="G186" s="2"/>
      <c r="N186" s="2"/>
      <c r="O186" s="2"/>
      <c r="P186" s="2"/>
      <c r="Q186" s="2"/>
    </row>
    <row r="187" spans="7:17" ht="18" customHeight="1" x14ac:dyDescent="0.3">
      <c r="G187" s="2"/>
      <c r="N187" s="2"/>
      <c r="O187" s="2"/>
      <c r="P187" s="2"/>
      <c r="Q187" s="2"/>
    </row>
    <row r="188" spans="7:17" ht="18" customHeight="1" x14ac:dyDescent="0.3">
      <c r="G188" s="2"/>
      <c r="N188" s="2"/>
      <c r="O188" s="2"/>
      <c r="P188" s="2"/>
      <c r="Q188" s="2"/>
    </row>
    <row r="189" spans="7:17" ht="18" customHeight="1" x14ac:dyDescent="0.3">
      <c r="G189" s="2"/>
      <c r="N189" s="2"/>
      <c r="O189" s="2"/>
      <c r="P189" s="2"/>
      <c r="Q189" s="2"/>
    </row>
    <row r="190" spans="7:17" ht="18" customHeight="1" x14ac:dyDescent="0.3">
      <c r="G190" s="2"/>
      <c r="N190" s="2"/>
      <c r="O190" s="2"/>
      <c r="P190" s="2"/>
      <c r="Q190" s="2"/>
    </row>
    <row r="191" spans="7:17" ht="18" customHeight="1" x14ac:dyDescent="0.3">
      <c r="G191" s="2"/>
      <c r="N191" s="2"/>
      <c r="O191" s="2"/>
      <c r="P191" s="2"/>
      <c r="Q191" s="2"/>
    </row>
    <row r="192" spans="7:17" ht="18" customHeight="1" x14ac:dyDescent="0.3">
      <c r="G192" s="2"/>
      <c r="N192" s="2"/>
      <c r="O192" s="2"/>
      <c r="P192" s="2"/>
      <c r="Q192" s="2"/>
    </row>
    <row r="193" spans="7:17" ht="18" customHeight="1" x14ac:dyDescent="0.3">
      <c r="G193" s="2"/>
      <c r="N193" s="2"/>
      <c r="O193" s="2"/>
      <c r="P193" s="2"/>
      <c r="Q193" s="2"/>
    </row>
    <row r="194" spans="7:17" ht="18" customHeight="1" x14ac:dyDescent="0.3">
      <c r="G194" s="2"/>
      <c r="N194" s="2"/>
      <c r="O194" s="2"/>
      <c r="P194" s="2"/>
      <c r="Q194" s="2"/>
    </row>
    <row r="195" spans="7:17" ht="18" customHeight="1" x14ac:dyDescent="0.3">
      <c r="G195" s="2"/>
      <c r="N195" s="2"/>
      <c r="O195" s="2"/>
      <c r="P195" s="2"/>
      <c r="Q195" s="2"/>
    </row>
    <row r="196" spans="7:17" ht="18" customHeight="1" x14ac:dyDescent="0.3">
      <c r="G196" s="2"/>
      <c r="N196" s="2"/>
      <c r="O196" s="2"/>
      <c r="P196" s="2"/>
      <c r="Q196" s="2"/>
    </row>
    <row r="197" spans="7:17" ht="18" customHeight="1" x14ac:dyDescent="0.3">
      <c r="G197" s="2"/>
      <c r="N197" s="2"/>
      <c r="O197" s="2"/>
      <c r="P197" s="2"/>
      <c r="Q197" s="2"/>
    </row>
    <row r="198" spans="7:17" ht="18" customHeight="1" x14ac:dyDescent="0.3">
      <c r="G198" s="2"/>
      <c r="N198" s="2"/>
      <c r="O198" s="2"/>
      <c r="P198" s="2"/>
      <c r="Q198" s="2"/>
    </row>
    <row r="199" spans="7:17" ht="18" customHeight="1" x14ac:dyDescent="0.3">
      <c r="G199" s="2"/>
      <c r="N199" s="2"/>
      <c r="O199" s="2"/>
      <c r="P199" s="2"/>
      <c r="Q199" s="2"/>
    </row>
    <row r="200" spans="7:17" ht="18" customHeight="1" x14ac:dyDescent="0.3">
      <c r="G200" s="2"/>
      <c r="N200" s="2"/>
      <c r="O200" s="2"/>
      <c r="P200" s="2"/>
      <c r="Q200" s="2"/>
    </row>
    <row r="201" spans="7:17" ht="18" customHeight="1" x14ac:dyDescent="0.3">
      <c r="G201" s="2"/>
      <c r="N201" s="2"/>
      <c r="O201" s="2"/>
      <c r="P201" s="2"/>
      <c r="Q201" s="2"/>
    </row>
    <row r="202" spans="7:17" ht="18" customHeight="1" x14ac:dyDescent="0.3">
      <c r="G202" s="2"/>
      <c r="N202" s="2"/>
      <c r="O202" s="2"/>
      <c r="P202" s="2"/>
      <c r="Q202" s="2"/>
    </row>
    <row r="203" spans="7:17" ht="18" customHeight="1" x14ac:dyDescent="0.3">
      <c r="G203" s="2"/>
      <c r="N203" s="2"/>
      <c r="O203" s="2"/>
      <c r="P203" s="2"/>
      <c r="Q203" s="2"/>
    </row>
    <row r="204" spans="7:17" ht="18" customHeight="1" x14ac:dyDescent="0.3">
      <c r="G204" s="2"/>
      <c r="N204" s="2"/>
      <c r="O204" s="2"/>
      <c r="P204" s="2"/>
      <c r="Q204" s="2"/>
    </row>
    <row r="205" spans="7:17" ht="18" customHeight="1" x14ac:dyDescent="0.3">
      <c r="G205" s="2"/>
      <c r="N205" s="2"/>
      <c r="O205" s="2"/>
      <c r="P205" s="2"/>
      <c r="Q205" s="2"/>
    </row>
    <row r="206" spans="7:17" ht="18" customHeight="1" x14ac:dyDescent="0.3">
      <c r="G206" s="2"/>
      <c r="N206" s="2"/>
      <c r="O206" s="2"/>
      <c r="P206" s="2"/>
      <c r="Q206" s="2"/>
    </row>
    <row r="207" spans="7:17" ht="18" customHeight="1" x14ac:dyDescent="0.3">
      <c r="G207" s="2"/>
      <c r="N207" s="2"/>
      <c r="O207" s="2"/>
      <c r="P207" s="2"/>
      <c r="Q207" s="2"/>
    </row>
    <row r="208" spans="7:17" ht="18" customHeight="1" x14ac:dyDescent="0.3">
      <c r="G208" s="2"/>
      <c r="N208" s="2"/>
      <c r="O208" s="2"/>
      <c r="P208" s="2"/>
      <c r="Q208" s="2"/>
    </row>
    <row r="209" spans="7:17" ht="18" customHeight="1" x14ac:dyDescent="0.3">
      <c r="G209" s="2"/>
      <c r="N209" s="2"/>
      <c r="O209" s="2"/>
      <c r="P209" s="2"/>
      <c r="Q209" s="2"/>
    </row>
    <row r="210" spans="7:17" ht="18" customHeight="1" x14ac:dyDescent="0.3">
      <c r="G210" s="2"/>
      <c r="N210" s="2"/>
      <c r="O210" s="2"/>
      <c r="P210" s="2"/>
      <c r="Q210" s="2"/>
    </row>
    <row r="211" spans="7:17" ht="18" customHeight="1" x14ac:dyDescent="0.3">
      <c r="G211" s="2"/>
      <c r="N211" s="2"/>
      <c r="O211" s="2"/>
      <c r="P211" s="2"/>
      <c r="Q211" s="2"/>
    </row>
    <row r="212" spans="7:17" ht="18" customHeight="1" x14ac:dyDescent="0.3">
      <c r="G212" s="2"/>
      <c r="N212" s="2"/>
      <c r="O212" s="2"/>
      <c r="P212" s="2"/>
      <c r="Q212" s="2"/>
    </row>
    <row r="213" spans="7:17" ht="18" customHeight="1" x14ac:dyDescent="0.3">
      <c r="G213" s="2"/>
      <c r="N213" s="2"/>
      <c r="O213" s="2"/>
      <c r="P213" s="2"/>
      <c r="Q213" s="2"/>
    </row>
    <row r="214" spans="7:17" ht="18" customHeight="1" x14ac:dyDescent="0.3">
      <c r="G214" s="2"/>
      <c r="N214" s="2"/>
      <c r="O214" s="2"/>
      <c r="P214" s="2"/>
      <c r="Q214" s="2"/>
    </row>
    <row r="215" spans="7:17" ht="18" customHeight="1" x14ac:dyDescent="0.3">
      <c r="G215" s="2"/>
      <c r="N215" s="2"/>
      <c r="O215" s="2"/>
      <c r="P215" s="2"/>
      <c r="Q215" s="2"/>
    </row>
    <row r="216" spans="7:17" ht="18" customHeight="1" x14ac:dyDescent="0.3">
      <c r="G216" s="2"/>
      <c r="N216" s="2"/>
      <c r="O216" s="2"/>
      <c r="P216" s="2"/>
      <c r="Q216" s="2"/>
    </row>
    <row r="217" spans="7:17" ht="18" customHeight="1" x14ac:dyDescent="0.3">
      <c r="G217" s="2"/>
      <c r="N217" s="2"/>
      <c r="O217" s="2"/>
      <c r="P217" s="2"/>
      <c r="Q217" s="2"/>
    </row>
    <row r="218" spans="7:17" ht="18" customHeight="1" x14ac:dyDescent="0.3">
      <c r="G218" s="2"/>
      <c r="N218" s="2"/>
      <c r="O218" s="2"/>
      <c r="P218" s="2"/>
      <c r="Q218" s="2"/>
    </row>
    <row r="219" spans="7:17" ht="18" customHeight="1" x14ac:dyDescent="0.3">
      <c r="G219" s="2"/>
      <c r="N219" s="2"/>
      <c r="O219" s="2"/>
      <c r="P219" s="2"/>
      <c r="Q219" s="2"/>
    </row>
    <row r="220" spans="7:17" ht="18" customHeight="1" x14ac:dyDescent="0.3">
      <c r="G220" s="2"/>
      <c r="N220" s="2"/>
      <c r="O220" s="2"/>
      <c r="P220" s="2"/>
      <c r="Q220" s="2"/>
    </row>
    <row r="221" spans="7:17" ht="18" customHeight="1" x14ac:dyDescent="0.3">
      <c r="G221" s="2"/>
      <c r="N221" s="2"/>
      <c r="O221" s="2"/>
      <c r="P221" s="2"/>
      <c r="Q221" s="2"/>
    </row>
    <row r="222" spans="7:17" ht="18" customHeight="1" x14ac:dyDescent="0.3">
      <c r="G222" s="2"/>
      <c r="N222" s="2"/>
      <c r="O222" s="2"/>
      <c r="P222" s="2"/>
      <c r="Q222" s="2"/>
    </row>
    <row r="223" spans="7:17" ht="18" customHeight="1" x14ac:dyDescent="0.3">
      <c r="G223" s="2"/>
      <c r="N223" s="2"/>
      <c r="O223" s="2"/>
      <c r="P223" s="2"/>
      <c r="Q223" s="2"/>
    </row>
    <row r="224" spans="7:17" ht="18" customHeight="1" x14ac:dyDescent="0.3">
      <c r="G224" s="2"/>
      <c r="N224" s="2"/>
      <c r="O224" s="2"/>
      <c r="P224" s="2"/>
      <c r="Q224" s="2"/>
    </row>
    <row r="225" spans="7:17" ht="18" customHeight="1" x14ac:dyDescent="0.3">
      <c r="G225" s="2"/>
      <c r="N225" s="2"/>
      <c r="O225" s="2"/>
      <c r="P225" s="2"/>
      <c r="Q225" s="2"/>
    </row>
    <row r="226" spans="7:17" ht="18" customHeight="1" x14ac:dyDescent="0.3">
      <c r="G226" s="2"/>
      <c r="N226" s="2"/>
      <c r="O226" s="2"/>
      <c r="P226" s="2"/>
      <c r="Q226" s="2"/>
    </row>
    <row r="227" spans="7:17" ht="18" customHeight="1" x14ac:dyDescent="0.3">
      <c r="G227" s="2"/>
      <c r="N227" s="2"/>
      <c r="O227" s="2"/>
      <c r="P227" s="2"/>
      <c r="Q227" s="2"/>
    </row>
    <row r="228" spans="7:17" ht="18" customHeight="1" x14ac:dyDescent="0.3">
      <c r="G228" s="2"/>
      <c r="N228" s="2"/>
      <c r="O228" s="2"/>
      <c r="P228" s="2"/>
      <c r="Q228" s="2"/>
    </row>
    <row r="229" spans="7:17" ht="18" customHeight="1" x14ac:dyDescent="0.3">
      <c r="G229" s="2"/>
      <c r="N229" s="2"/>
      <c r="O229" s="2"/>
      <c r="P229" s="2"/>
      <c r="Q229" s="2"/>
    </row>
    <row r="230" spans="7:17" ht="18" customHeight="1" x14ac:dyDescent="0.3">
      <c r="G230" s="2"/>
      <c r="N230" s="2"/>
      <c r="O230" s="2"/>
      <c r="P230" s="2"/>
      <c r="Q230" s="2"/>
    </row>
    <row r="231" spans="7:17" ht="18" customHeight="1" x14ac:dyDescent="0.3">
      <c r="G231" s="2"/>
      <c r="N231" s="2"/>
      <c r="O231" s="2"/>
      <c r="P231" s="2"/>
      <c r="Q231" s="2"/>
    </row>
    <row r="232" spans="7:17" ht="18" customHeight="1" x14ac:dyDescent="0.3">
      <c r="G232" s="2"/>
      <c r="N232" s="2"/>
      <c r="O232" s="2"/>
      <c r="P232" s="2"/>
      <c r="Q232" s="2"/>
    </row>
    <row r="233" spans="7:17" ht="18" customHeight="1" x14ac:dyDescent="0.3">
      <c r="G233" s="2"/>
      <c r="N233" s="2"/>
      <c r="O233" s="2"/>
      <c r="P233" s="2"/>
      <c r="Q233" s="2"/>
    </row>
    <row r="234" spans="7:17" ht="18" customHeight="1" x14ac:dyDescent="0.3">
      <c r="G234" s="2"/>
      <c r="N234" s="2"/>
      <c r="O234" s="2"/>
      <c r="P234" s="2"/>
      <c r="Q234" s="2"/>
    </row>
    <row r="235" spans="7:17" ht="18" customHeight="1" x14ac:dyDescent="0.3">
      <c r="G235" s="2"/>
      <c r="N235" s="2"/>
      <c r="O235" s="2"/>
      <c r="P235" s="2"/>
      <c r="Q235" s="2"/>
    </row>
    <row r="236" spans="7:17" ht="18" customHeight="1" x14ac:dyDescent="0.3">
      <c r="G236" s="2"/>
      <c r="N236" s="2"/>
      <c r="O236" s="2"/>
      <c r="P236" s="2"/>
      <c r="Q236" s="2"/>
    </row>
    <row r="237" spans="7:17" ht="18" customHeight="1" x14ac:dyDescent="0.3">
      <c r="G237" s="2"/>
      <c r="N237" s="2"/>
      <c r="O237" s="2"/>
      <c r="P237" s="2"/>
      <c r="Q237" s="2"/>
    </row>
    <row r="238" spans="7:17" ht="18" customHeight="1" x14ac:dyDescent="0.3">
      <c r="G238" s="2"/>
      <c r="N238" s="2"/>
      <c r="O238" s="2"/>
      <c r="P238" s="2"/>
      <c r="Q238" s="2"/>
    </row>
    <row r="239" spans="7:17" ht="18" customHeight="1" x14ac:dyDescent="0.3">
      <c r="G239" s="2"/>
      <c r="N239" s="2"/>
      <c r="O239" s="2"/>
      <c r="P239" s="2"/>
      <c r="Q239" s="2"/>
    </row>
    <row r="240" spans="7:17" ht="18" customHeight="1" x14ac:dyDescent="0.3">
      <c r="G240" s="2"/>
      <c r="N240" s="2"/>
      <c r="O240" s="2"/>
      <c r="P240" s="2"/>
      <c r="Q240" s="2"/>
    </row>
    <row r="241" spans="7:17" ht="18" customHeight="1" x14ac:dyDescent="0.3">
      <c r="G241" s="2"/>
      <c r="N241" s="2"/>
      <c r="O241" s="2"/>
      <c r="P241" s="2"/>
      <c r="Q241" s="2"/>
    </row>
    <row r="242" spans="7:17" ht="18" customHeight="1" x14ac:dyDescent="0.3">
      <c r="G242" s="2"/>
      <c r="N242" s="2"/>
      <c r="O242" s="2"/>
      <c r="P242" s="2"/>
      <c r="Q242" s="2"/>
    </row>
    <row r="243" spans="7:17" ht="18" customHeight="1" x14ac:dyDescent="0.3">
      <c r="G243" s="2"/>
      <c r="N243" s="2"/>
      <c r="O243" s="2"/>
      <c r="P243" s="2"/>
      <c r="Q243" s="2"/>
    </row>
    <row r="244" spans="7:17" ht="18" customHeight="1" x14ac:dyDescent="0.3">
      <c r="G244" s="2"/>
      <c r="N244" s="2"/>
      <c r="O244" s="2"/>
      <c r="P244" s="2"/>
      <c r="Q244" s="2"/>
    </row>
    <row r="245" spans="7:17" ht="18" customHeight="1" x14ac:dyDescent="0.3">
      <c r="G245" s="2"/>
      <c r="N245" s="2"/>
      <c r="O245" s="2"/>
      <c r="P245" s="2"/>
      <c r="Q245" s="2"/>
    </row>
    <row r="246" spans="7:17" ht="18" customHeight="1" x14ac:dyDescent="0.3">
      <c r="G246" s="2"/>
      <c r="N246" s="2"/>
      <c r="O246" s="2"/>
      <c r="P246" s="2"/>
      <c r="Q246" s="2"/>
    </row>
    <row r="247" spans="7:17" ht="18" customHeight="1" x14ac:dyDescent="0.3">
      <c r="G247" s="2"/>
      <c r="N247" s="2"/>
      <c r="O247" s="2"/>
      <c r="P247" s="2"/>
      <c r="Q247" s="2"/>
    </row>
    <row r="248" spans="7:17" ht="18" customHeight="1" x14ac:dyDescent="0.3">
      <c r="G248" s="2"/>
      <c r="N248" s="2"/>
      <c r="O248" s="2"/>
      <c r="P248" s="2"/>
      <c r="Q248" s="2"/>
    </row>
    <row r="249" spans="7:17" ht="18" customHeight="1" x14ac:dyDescent="0.3">
      <c r="G249" s="2"/>
      <c r="N249" s="2"/>
      <c r="O249" s="2"/>
      <c r="P249" s="2"/>
      <c r="Q249" s="2"/>
    </row>
    <row r="250" spans="7:17" ht="18" customHeight="1" x14ac:dyDescent="0.3">
      <c r="G250" s="2"/>
      <c r="N250" s="2"/>
      <c r="O250" s="2"/>
      <c r="P250" s="2"/>
      <c r="Q250" s="2"/>
    </row>
    <row r="251" spans="7:17" ht="18" customHeight="1" x14ac:dyDescent="0.3">
      <c r="G251" s="2"/>
      <c r="N251" s="2"/>
      <c r="O251" s="2"/>
      <c r="P251" s="2"/>
      <c r="Q251" s="2"/>
    </row>
    <row r="252" spans="7:17" ht="18" customHeight="1" x14ac:dyDescent="0.3">
      <c r="G252" s="2"/>
      <c r="N252" s="2"/>
      <c r="O252" s="2"/>
      <c r="P252" s="2"/>
      <c r="Q252" s="2"/>
    </row>
    <row r="253" spans="7:17" ht="18" customHeight="1" x14ac:dyDescent="0.3">
      <c r="G253" s="2"/>
      <c r="N253" s="2"/>
      <c r="O253" s="2"/>
      <c r="P253" s="2"/>
      <c r="Q253" s="2"/>
    </row>
    <row r="254" spans="7:17" ht="18" customHeight="1" x14ac:dyDescent="0.3">
      <c r="G254" s="2"/>
      <c r="N254" s="2"/>
      <c r="O254" s="2"/>
      <c r="P254" s="2"/>
      <c r="Q254" s="2"/>
    </row>
    <row r="255" spans="7:17" ht="18" customHeight="1" x14ac:dyDescent="0.3">
      <c r="G255" s="2"/>
      <c r="N255" s="2"/>
      <c r="O255" s="2"/>
      <c r="P255" s="2"/>
      <c r="Q255" s="2"/>
    </row>
    <row r="256" spans="7:17" ht="18" customHeight="1" x14ac:dyDescent="0.3">
      <c r="G256" s="2"/>
      <c r="N256" s="2"/>
      <c r="O256" s="2"/>
      <c r="P256" s="2"/>
      <c r="Q256" s="2"/>
    </row>
    <row r="257" spans="7:17" ht="18" customHeight="1" x14ac:dyDescent="0.3">
      <c r="G257" s="2"/>
      <c r="N257" s="2"/>
      <c r="O257" s="2"/>
      <c r="P257" s="2"/>
      <c r="Q257" s="2"/>
    </row>
    <row r="258" spans="7:17" ht="18" customHeight="1" x14ac:dyDescent="0.3">
      <c r="G258" s="2"/>
      <c r="N258" s="2"/>
      <c r="O258" s="2"/>
      <c r="P258" s="2"/>
      <c r="Q258" s="2"/>
    </row>
    <row r="259" spans="7:17" ht="18" customHeight="1" x14ac:dyDescent="0.3">
      <c r="G259" s="2"/>
      <c r="N259" s="2"/>
      <c r="O259" s="2"/>
      <c r="P259" s="2"/>
      <c r="Q259" s="2"/>
    </row>
    <row r="260" spans="7:17" ht="18" customHeight="1" x14ac:dyDescent="0.3">
      <c r="G260" s="2"/>
      <c r="N260" s="2"/>
      <c r="O260" s="2"/>
      <c r="P260" s="2"/>
      <c r="Q260" s="2"/>
    </row>
    <row r="261" spans="7:17" ht="18" customHeight="1" x14ac:dyDescent="0.3">
      <c r="G261" s="2"/>
      <c r="N261" s="2"/>
      <c r="O261" s="2"/>
      <c r="P261" s="2"/>
      <c r="Q261" s="2"/>
    </row>
    <row r="262" spans="7:17" ht="18" customHeight="1" x14ac:dyDescent="0.3">
      <c r="G262" s="2"/>
      <c r="N262" s="2"/>
      <c r="O262" s="2"/>
      <c r="P262" s="2"/>
      <c r="Q262" s="2"/>
    </row>
    <row r="263" spans="7:17" ht="18" customHeight="1" x14ac:dyDescent="0.3">
      <c r="G263" s="2"/>
      <c r="N263" s="2"/>
      <c r="O263" s="2"/>
      <c r="P263" s="2"/>
      <c r="Q263" s="2"/>
    </row>
    <row r="264" spans="7:17" ht="18" customHeight="1" x14ac:dyDescent="0.3">
      <c r="G264" s="2"/>
      <c r="N264" s="2"/>
      <c r="O264" s="2"/>
      <c r="P264" s="2"/>
      <c r="Q264" s="2"/>
    </row>
    <row r="265" spans="7:17" ht="18" customHeight="1" x14ac:dyDescent="0.3">
      <c r="G265" s="2"/>
      <c r="N265" s="2"/>
      <c r="O265" s="2"/>
      <c r="P265" s="2"/>
      <c r="Q265" s="2"/>
    </row>
    <row r="266" spans="7:17" ht="18" customHeight="1" x14ac:dyDescent="0.3">
      <c r="G266" s="2"/>
      <c r="N266" s="2"/>
      <c r="O266" s="2"/>
      <c r="P266" s="2"/>
      <c r="Q266" s="2"/>
    </row>
    <row r="267" spans="7:17" ht="18" customHeight="1" x14ac:dyDescent="0.3">
      <c r="G267" s="2"/>
      <c r="N267" s="2"/>
      <c r="O267" s="2"/>
      <c r="P267" s="2"/>
      <c r="Q267" s="2"/>
    </row>
    <row r="268" spans="7:17" ht="18" customHeight="1" x14ac:dyDescent="0.3">
      <c r="G268" s="2"/>
      <c r="N268" s="2"/>
      <c r="O268" s="2"/>
      <c r="P268" s="2"/>
      <c r="Q268" s="2"/>
    </row>
    <row r="269" spans="7:17" ht="18" customHeight="1" x14ac:dyDescent="0.3">
      <c r="G269" s="2"/>
      <c r="N269" s="2"/>
      <c r="O269" s="2"/>
      <c r="P269" s="2"/>
      <c r="Q269" s="2"/>
    </row>
    <row r="270" spans="7:17" ht="18" customHeight="1" x14ac:dyDescent="0.3">
      <c r="G270" s="2"/>
      <c r="N270" s="2"/>
      <c r="O270" s="2"/>
      <c r="P270" s="2"/>
      <c r="Q270" s="2"/>
    </row>
    <row r="271" spans="7:17" ht="18" customHeight="1" x14ac:dyDescent="0.3">
      <c r="G271" s="2"/>
      <c r="N271" s="2"/>
      <c r="O271" s="2"/>
      <c r="P271" s="2"/>
      <c r="Q271" s="2"/>
    </row>
    <row r="272" spans="7:17" ht="18" customHeight="1" x14ac:dyDescent="0.3">
      <c r="G272" s="2"/>
      <c r="N272" s="2"/>
      <c r="O272" s="2"/>
      <c r="P272" s="2"/>
      <c r="Q272" s="2"/>
    </row>
    <row r="273" spans="7:17" ht="18" customHeight="1" x14ac:dyDescent="0.3">
      <c r="G273" s="2"/>
      <c r="N273" s="2"/>
      <c r="O273" s="2"/>
      <c r="P273" s="2"/>
      <c r="Q273" s="2"/>
    </row>
    <row r="274" spans="7:17" ht="18" customHeight="1" x14ac:dyDescent="0.3">
      <c r="G274" s="2"/>
      <c r="N274" s="2"/>
      <c r="O274" s="2"/>
      <c r="P274" s="2"/>
      <c r="Q274" s="2"/>
    </row>
    <row r="275" spans="7:17" ht="18" customHeight="1" x14ac:dyDescent="0.3">
      <c r="G275" s="2"/>
      <c r="N275" s="2"/>
      <c r="O275" s="2"/>
      <c r="P275" s="2"/>
      <c r="Q275" s="2"/>
    </row>
    <row r="276" spans="7:17" ht="18" customHeight="1" x14ac:dyDescent="0.3">
      <c r="G276" s="2"/>
      <c r="N276" s="2"/>
      <c r="O276" s="2"/>
      <c r="P276" s="2"/>
      <c r="Q276" s="2"/>
    </row>
    <row r="277" spans="7:17" ht="18" customHeight="1" x14ac:dyDescent="0.3">
      <c r="G277" s="2"/>
      <c r="N277" s="2"/>
      <c r="O277" s="2"/>
      <c r="P277" s="2"/>
      <c r="Q277" s="2"/>
    </row>
    <row r="278" spans="7:17" ht="18" customHeight="1" x14ac:dyDescent="0.3">
      <c r="G278" s="2"/>
      <c r="N278" s="2"/>
      <c r="O278" s="2"/>
      <c r="P278" s="2"/>
      <c r="Q278" s="2"/>
    </row>
    <row r="279" spans="7:17" ht="18" customHeight="1" x14ac:dyDescent="0.3">
      <c r="G279" s="2"/>
      <c r="N279" s="2"/>
      <c r="O279" s="2"/>
      <c r="P279" s="2"/>
      <c r="Q279" s="2"/>
    </row>
    <row r="280" spans="7:17" ht="18" customHeight="1" x14ac:dyDescent="0.3">
      <c r="G280" s="2"/>
      <c r="N280" s="2"/>
      <c r="O280" s="2"/>
      <c r="P280" s="2"/>
      <c r="Q280" s="2"/>
    </row>
    <row r="281" spans="7:17" ht="18" customHeight="1" x14ac:dyDescent="0.3">
      <c r="G281" s="2"/>
      <c r="N281" s="2"/>
      <c r="O281" s="2"/>
      <c r="P281" s="2"/>
      <c r="Q281" s="2"/>
    </row>
    <row r="282" spans="7:17" ht="18" customHeight="1" x14ac:dyDescent="0.3">
      <c r="G282" s="2"/>
      <c r="N282" s="2"/>
      <c r="O282" s="2"/>
      <c r="P282" s="2"/>
      <c r="Q282" s="2"/>
    </row>
    <row r="283" spans="7:17" ht="18" customHeight="1" x14ac:dyDescent="0.3">
      <c r="G283" s="2"/>
      <c r="N283" s="2"/>
      <c r="O283" s="2"/>
      <c r="P283" s="2"/>
      <c r="Q283" s="2"/>
    </row>
    <row r="284" spans="7:17" ht="18" customHeight="1" x14ac:dyDescent="0.3">
      <c r="G284" s="2"/>
      <c r="N284" s="2"/>
      <c r="O284" s="2"/>
      <c r="P284" s="2"/>
      <c r="Q284" s="2"/>
    </row>
    <row r="285" spans="7:17" ht="18" customHeight="1" x14ac:dyDescent="0.3">
      <c r="G285" s="2"/>
      <c r="N285" s="2"/>
      <c r="O285" s="2"/>
      <c r="P285" s="2"/>
      <c r="Q285" s="2"/>
    </row>
    <row r="286" spans="7:17" ht="18" customHeight="1" x14ac:dyDescent="0.3">
      <c r="G286" s="2"/>
      <c r="N286" s="2"/>
      <c r="O286" s="2"/>
      <c r="P286" s="2"/>
      <c r="Q286" s="2"/>
    </row>
    <row r="287" spans="7:17" ht="18" customHeight="1" x14ac:dyDescent="0.3">
      <c r="G287" s="2"/>
      <c r="N287" s="2"/>
      <c r="O287" s="2"/>
      <c r="P287" s="2"/>
      <c r="Q287" s="2"/>
    </row>
    <row r="288" spans="7:17" ht="18" customHeight="1" x14ac:dyDescent="0.3">
      <c r="G288" s="2"/>
      <c r="N288" s="2"/>
      <c r="O288" s="2"/>
      <c r="P288" s="2"/>
      <c r="Q288" s="2"/>
    </row>
    <row r="289" spans="7:17" ht="18" customHeight="1" x14ac:dyDescent="0.3">
      <c r="G289" s="2"/>
      <c r="N289" s="2"/>
      <c r="O289" s="2"/>
      <c r="P289" s="2"/>
      <c r="Q289" s="2"/>
    </row>
    <row r="290" spans="7:17" ht="18" customHeight="1" x14ac:dyDescent="0.3">
      <c r="G290" s="2"/>
      <c r="N290" s="2"/>
      <c r="O290" s="2"/>
      <c r="P290" s="2"/>
      <c r="Q290" s="2"/>
    </row>
    <row r="291" spans="7:17" ht="18" customHeight="1" x14ac:dyDescent="0.3">
      <c r="G291" s="2"/>
      <c r="N291" s="2"/>
      <c r="O291" s="2"/>
      <c r="P291" s="2"/>
      <c r="Q291" s="2"/>
    </row>
    <row r="292" spans="7:17" ht="18" customHeight="1" x14ac:dyDescent="0.3">
      <c r="G292" s="2"/>
      <c r="N292" s="2"/>
      <c r="O292" s="2"/>
      <c r="P292" s="2"/>
      <c r="Q292" s="2"/>
    </row>
    <row r="293" spans="7:17" ht="18" customHeight="1" x14ac:dyDescent="0.3">
      <c r="G293" s="2"/>
      <c r="N293" s="2"/>
      <c r="O293" s="2"/>
      <c r="P293" s="2"/>
      <c r="Q293" s="2"/>
    </row>
    <row r="294" spans="7:17" ht="18" customHeight="1" x14ac:dyDescent="0.3">
      <c r="G294" s="2"/>
      <c r="N294" s="2"/>
      <c r="O294" s="2"/>
      <c r="P294" s="2"/>
      <c r="Q294" s="2"/>
    </row>
    <row r="295" spans="7:17" ht="18" customHeight="1" x14ac:dyDescent="0.3">
      <c r="G295" s="2"/>
      <c r="N295" s="2"/>
      <c r="O295" s="2"/>
      <c r="P295" s="2"/>
      <c r="Q295" s="2"/>
    </row>
    <row r="296" spans="7:17" ht="18" customHeight="1" x14ac:dyDescent="0.3">
      <c r="G296" s="2"/>
      <c r="N296" s="2"/>
      <c r="O296" s="2"/>
      <c r="P296" s="2"/>
      <c r="Q296" s="2"/>
    </row>
    <row r="297" spans="7:17" ht="18" customHeight="1" x14ac:dyDescent="0.3">
      <c r="G297" s="2"/>
      <c r="N297" s="2"/>
      <c r="O297" s="2"/>
      <c r="P297" s="2"/>
      <c r="Q297" s="2"/>
    </row>
    <row r="298" spans="7:17" ht="18" customHeight="1" x14ac:dyDescent="0.3">
      <c r="G298" s="2"/>
      <c r="N298" s="2"/>
      <c r="O298" s="2"/>
      <c r="P298" s="2"/>
      <c r="Q298" s="2"/>
    </row>
    <row r="299" spans="7:17" ht="18" customHeight="1" x14ac:dyDescent="0.3">
      <c r="G299" s="2"/>
      <c r="N299" s="2"/>
      <c r="O299" s="2"/>
      <c r="P299" s="2"/>
      <c r="Q299" s="2"/>
    </row>
    <row r="300" spans="7:17" ht="18" customHeight="1" x14ac:dyDescent="0.3">
      <c r="G300" s="2"/>
      <c r="N300" s="2"/>
      <c r="O300" s="2"/>
      <c r="P300" s="2"/>
      <c r="Q300" s="2"/>
    </row>
    <row r="301" spans="7:17" ht="18" customHeight="1" x14ac:dyDescent="0.3">
      <c r="G301" s="2"/>
      <c r="N301" s="2"/>
      <c r="O301" s="2"/>
      <c r="P301" s="2"/>
      <c r="Q301" s="2"/>
    </row>
    <row r="302" spans="7:17" ht="18" customHeight="1" x14ac:dyDescent="0.3">
      <c r="G302" s="2"/>
      <c r="N302" s="2"/>
      <c r="O302" s="2"/>
      <c r="P302" s="2"/>
      <c r="Q302" s="2"/>
    </row>
    <row r="303" spans="7:17" ht="18" customHeight="1" x14ac:dyDescent="0.3">
      <c r="G303" s="2"/>
      <c r="N303" s="2"/>
      <c r="O303" s="2"/>
      <c r="P303" s="2"/>
      <c r="Q303" s="2"/>
    </row>
    <row r="304" spans="7:17" ht="18" customHeight="1" x14ac:dyDescent="0.3">
      <c r="G304" s="2"/>
      <c r="N304" s="2"/>
      <c r="O304" s="2"/>
      <c r="P304" s="2"/>
      <c r="Q304" s="2"/>
    </row>
    <row r="305" spans="7:17" ht="18" customHeight="1" x14ac:dyDescent="0.3">
      <c r="G305" s="2"/>
      <c r="N305" s="2"/>
      <c r="O305" s="2"/>
      <c r="P305" s="2"/>
      <c r="Q305" s="2"/>
    </row>
    <row r="306" spans="7:17" ht="18" customHeight="1" x14ac:dyDescent="0.3">
      <c r="G306" s="2"/>
      <c r="N306" s="2"/>
      <c r="O306" s="2"/>
      <c r="P306" s="2"/>
      <c r="Q306" s="2"/>
    </row>
    <row r="307" spans="7:17" ht="18" customHeight="1" x14ac:dyDescent="0.3">
      <c r="G307" s="2"/>
      <c r="N307" s="2"/>
      <c r="O307" s="2"/>
      <c r="P307" s="2"/>
      <c r="Q307" s="2"/>
    </row>
    <row r="308" spans="7:17" ht="18" customHeight="1" x14ac:dyDescent="0.3">
      <c r="G308" s="2"/>
      <c r="N308" s="2"/>
      <c r="O308" s="2"/>
      <c r="P308" s="2"/>
      <c r="Q308" s="2"/>
    </row>
    <row r="309" spans="7:17" ht="18" customHeight="1" x14ac:dyDescent="0.3">
      <c r="G309" s="2"/>
      <c r="N309" s="2"/>
      <c r="O309" s="2"/>
      <c r="P309" s="2"/>
      <c r="Q309" s="2"/>
    </row>
    <row r="310" spans="7:17" ht="18" customHeight="1" x14ac:dyDescent="0.3">
      <c r="G310" s="2"/>
      <c r="N310" s="2"/>
      <c r="O310" s="2"/>
      <c r="P310" s="2"/>
      <c r="Q310" s="2"/>
    </row>
    <row r="311" spans="7:17" ht="18" customHeight="1" x14ac:dyDescent="0.3">
      <c r="G311" s="2"/>
      <c r="N311" s="2"/>
      <c r="O311" s="2"/>
      <c r="P311" s="2"/>
      <c r="Q311" s="2"/>
    </row>
    <row r="312" spans="7:17" ht="18" customHeight="1" x14ac:dyDescent="0.3">
      <c r="G312" s="2"/>
      <c r="N312" s="2"/>
      <c r="O312" s="2"/>
      <c r="P312" s="2"/>
      <c r="Q312" s="2"/>
    </row>
    <row r="313" spans="7:17" ht="18" customHeight="1" x14ac:dyDescent="0.3">
      <c r="G313" s="2"/>
      <c r="N313" s="2"/>
      <c r="O313" s="2"/>
      <c r="P313" s="2"/>
      <c r="Q313" s="2"/>
    </row>
    <row r="314" spans="7:17" ht="18" customHeight="1" x14ac:dyDescent="0.3">
      <c r="G314" s="2"/>
      <c r="N314" s="2"/>
      <c r="O314" s="2"/>
      <c r="P314" s="2"/>
      <c r="Q314" s="2"/>
    </row>
    <row r="315" spans="7:17" ht="18" customHeight="1" x14ac:dyDescent="0.3">
      <c r="G315" s="2"/>
      <c r="N315" s="2"/>
      <c r="O315" s="2"/>
      <c r="P315" s="2"/>
      <c r="Q315" s="2"/>
    </row>
    <row r="316" spans="7:17" ht="18" customHeight="1" x14ac:dyDescent="0.3">
      <c r="G316" s="2"/>
      <c r="N316" s="2"/>
      <c r="O316" s="2"/>
      <c r="P316" s="2"/>
      <c r="Q316" s="2"/>
    </row>
    <row r="317" spans="7:17" ht="18" customHeight="1" x14ac:dyDescent="0.3">
      <c r="G317" s="2"/>
      <c r="N317" s="2"/>
      <c r="O317" s="2"/>
      <c r="P317" s="2"/>
      <c r="Q317" s="2"/>
    </row>
    <row r="318" spans="7:17" ht="18" customHeight="1" x14ac:dyDescent="0.3">
      <c r="G318" s="2"/>
      <c r="N318" s="2"/>
      <c r="O318" s="2"/>
      <c r="P318" s="2"/>
      <c r="Q318" s="2"/>
    </row>
    <row r="319" spans="7:17" ht="18" customHeight="1" x14ac:dyDescent="0.3">
      <c r="G319" s="2"/>
      <c r="N319" s="2"/>
      <c r="O319" s="2"/>
      <c r="P319" s="2"/>
      <c r="Q319" s="2"/>
    </row>
    <row r="320" spans="7:17" ht="18" customHeight="1" x14ac:dyDescent="0.3">
      <c r="G320" s="2"/>
      <c r="N320" s="2"/>
      <c r="O320" s="2"/>
      <c r="P320" s="2"/>
      <c r="Q320" s="2"/>
    </row>
    <row r="321" spans="7:17" ht="18" customHeight="1" x14ac:dyDescent="0.3">
      <c r="G321" s="2"/>
      <c r="N321" s="2"/>
      <c r="O321" s="2"/>
      <c r="P321" s="2"/>
      <c r="Q321" s="2"/>
    </row>
    <row r="322" spans="7:17" ht="18" customHeight="1" x14ac:dyDescent="0.3">
      <c r="G322" s="2"/>
      <c r="N322" s="2"/>
      <c r="O322" s="2"/>
      <c r="P322" s="2"/>
      <c r="Q322" s="2"/>
    </row>
    <row r="323" spans="7:17" ht="18" customHeight="1" x14ac:dyDescent="0.3">
      <c r="G323" s="2"/>
      <c r="N323" s="2"/>
      <c r="O323" s="2"/>
      <c r="P323" s="2"/>
      <c r="Q323" s="2"/>
    </row>
    <row r="324" spans="7:17" ht="18" customHeight="1" x14ac:dyDescent="0.3">
      <c r="G324" s="2"/>
      <c r="N324" s="2"/>
      <c r="O324" s="2"/>
      <c r="P324" s="2"/>
      <c r="Q324" s="2"/>
    </row>
    <row r="325" spans="7:17" ht="18" customHeight="1" x14ac:dyDescent="0.3">
      <c r="G325" s="2"/>
      <c r="N325" s="2"/>
      <c r="O325" s="2"/>
      <c r="P325" s="2"/>
      <c r="Q325" s="2"/>
    </row>
    <row r="326" spans="7:17" ht="18" customHeight="1" x14ac:dyDescent="0.3">
      <c r="G326" s="2"/>
      <c r="N326" s="2"/>
      <c r="O326" s="2"/>
      <c r="P326" s="2"/>
      <c r="Q326" s="2"/>
    </row>
    <row r="327" spans="7:17" ht="18" customHeight="1" x14ac:dyDescent="0.3">
      <c r="G327" s="2"/>
      <c r="N327" s="2"/>
      <c r="O327" s="2"/>
      <c r="P327" s="2"/>
      <c r="Q327" s="2"/>
    </row>
    <row r="328" spans="7:17" ht="18" customHeight="1" x14ac:dyDescent="0.3">
      <c r="G328" s="2"/>
      <c r="N328" s="2"/>
      <c r="O328" s="2"/>
      <c r="P328" s="2"/>
      <c r="Q328" s="2"/>
    </row>
    <row r="329" spans="7:17" ht="18" customHeight="1" x14ac:dyDescent="0.3">
      <c r="G329" s="2"/>
      <c r="N329" s="2"/>
      <c r="O329" s="2"/>
      <c r="P329" s="2"/>
      <c r="Q329" s="2"/>
    </row>
    <row r="330" spans="7:17" ht="18" customHeight="1" x14ac:dyDescent="0.3">
      <c r="G330" s="2"/>
      <c r="N330" s="2"/>
      <c r="O330" s="2"/>
      <c r="P330" s="2"/>
      <c r="Q330" s="2"/>
    </row>
    <row r="331" spans="7:17" ht="18" customHeight="1" x14ac:dyDescent="0.3">
      <c r="G331" s="2"/>
      <c r="N331" s="2"/>
      <c r="O331" s="2"/>
      <c r="P331" s="2"/>
      <c r="Q331" s="2"/>
    </row>
    <row r="332" spans="7:17" ht="18" customHeight="1" x14ac:dyDescent="0.3">
      <c r="G332" s="2"/>
      <c r="N332" s="2"/>
      <c r="O332" s="2"/>
      <c r="P332" s="2"/>
      <c r="Q332" s="2"/>
    </row>
    <row r="333" spans="7:17" ht="18" customHeight="1" x14ac:dyDescent="0.3">
      <c r="G333" s="2"/>
      <c r="N333" s="2"/>
      <c r="O333" s="2"/>
      <c r="P333" s="2"/>
      <c r="Q333" s="2"/>
    </row>
    <row r="334" spans="7:17" ht="18" customHeight="1" x14ac:dyDescent="0.3">
      <c r="G334" s="2"/>
      <c r="N334" s="2"/>
      <c r="O334" s="2"/>
      <c r="P334" s="2"/>
      <c r="Q334" s="2"/>
    </row>
    <row r="335" spans="7:17" ht="18" customHeight="1" x14ac:dyDescent="0.3">
      <c r="G335" s="2"/>
      <c r="N335" s="2"/>
      <c r="O335" s="2"/>
      <c r="P335" s="2"/>
      <c r="Q335" s="2"/>
    </row>
    <row r="336" spans="7:17" ht="18" customHeight="1" x14ac:dyDescent="0.3">
      <c r="G336" s="2"/>
      <c r="N336" s="2"/>
      <c r="O336" s="2"/>
      <c r="P336" s="2"/>
      <c r="Q336" s="2"/>
    </row>
    <row r="337" spans="7:17" ht="18" customHeight="1" x14ac:dyDescent="0.3">
      <c r="G337" s="2"/>
      <c r="N337" s="2"/>
      <c r="O337" s="2"/>
      <c r="P337" s="2"/>
      <c r="Q337" s="2"/>
    </row>
    <row r="338" spans="7:17" ht="18" customHeight="1" x14ac:dyDescent="0.3">
      <c r="G338" s="2"/>
      <c r="N338" s="2"/>
      <c r="O338" s="2"/>
      <c r="P338" s="2"/>
      <c r="Q338" s="2"/>
    </row>
    <row r="339" spans="7:17" ht="18" customHeight="1" x14ac:dyDescent="0.3">
      <c r="G339" s="2"/>
      <c r="N339" s="2"/>
      <c r="O339" s="2"/>
      <c r="P339" s="2"/>
      <c r="Q339" s="2"/>
    </row>
    <row r="340" spans="7:17" ht="18" customHeight="1" x14ac:dyDescent="0.3">
      <c r="G340" s="2"/>
      <c r="N340" s="2"/>
      <c r="O340" s="2"/>
      <c r="P340" s="2"/>
      <c r="Q340" s="2"/>
    </row>
    <row r="341" spans="7:17" ht="18" customHeight="1" x14ac:dyDescent="0.3">
      <c r="G341" s="2"/>
      <c r="N341" s="2"/>
      <c r="O341" s="2"/>
      <c r="P341" s="2"/>
      <c r="Q341" s="2"/>
    </row>
    <row r="342" spans="7:17" ht="18" customHeight="1" x14ac:dyDescent="0.3">
      <c r="G342" s="2"/>
      <c r="N342" s="2"/>
      <c r="O342" s="2"/>
      <c r="P342" s="2"/>
      <c r="Q342" s="2"/>
    </row>
    <row r="343" spans="7:17" ht="18" customHeight="1" x14ac:dyDescent="0.3">
      <c r="G343" s="2"/>
      <c r="N343" s="2"/>
      <c r="O343" s="2"/>
      <c r="P343" s="2"/>
      <c r="Q343" s="2"/>
    </row>
    <row r="344" spans="7:17" ht="18" customHeight="1" x14ac:dyDescent="0.3">
      <c r="G344" s="2"/>
      <c r="N344" s="2"/>
      <c r="O344" s="2"/>
      <c r="P344" s="2"/>
      <c r="Q344" s="2"/>
    </row>
    <row r="345" spans="7:17" ht="18" customHeight="1" x14ac:dyDescent="0.3">
      <c r="G345" s="2"/>
      <c r="N345" s="2"/>
      <c r="O345" s="2"/>
      <c r="P345" s="2"/>
      <c r="Q345" s="2"/>
    </row>
    <row r="346" spans="7:17" ht="18" customHeight="1" x14ac:dyDescent="0.3">
      <c r="G346" s="2"/>
      <c r="N346" s="2"/>
      <c r="O346" s="2"/>
      <c r="P346" s="2"/>
      <c r="Q346" s="2"/>
    </row>
    <row r="347" spans="7:17" ht="18" customHeight="1" x14ac:dyDescent="0.3">
      <c r="G347" s="2"/>
      <c r="N347" s="2"/>
      <c r="O347" s="2"/>
      <c r="P347" s="2"/>
      <c r="Q347" s="2"/>
    </row>
    <row r="348" spans="7:17" ht="18" customHeight="1" x14ac:dyDescent="0.3">
      <c r="G348" s="2"/>
      <c r="N348" s="2"/>
      <c r="O348" s="2"/>
      <c r="P348" s="2"/>
      <c r="Q348" s="2"/>
    </row>
    <row r="349" spans="7:17" ht="18" customHeight="1" x14ac:dyDescent="0.3">
      <c r="G349" s="2"/>
      <c r="N349" s="2"/>
      <c r="O349" s="2"/>
      <c r="P349" s="2"/>
      <c r="Q349" s="2"/>
    </row>
    <row r="350" spans="7:17" ht="18" customHeight="1" x14ac:dyDescent="0.3">
      <c r="G350" s="2"/>
      <c r="N350" s="2"/>
      <c r="O350" s="2"/>
      <c r="P350" s="2"/>
      <c r="Q350" s="2"/>
    </row>
    <row r="351" spans="7:17" ht="18" customHeight="1" x14ac:dyDescent="0.3">
      <c r="G351" s="2"/>
      <c r="N351" s="2"/>
      <c r="O351" s="2"/>
      <c r="P351" s="2"/>
      <c r="Q351" s="2"/>
    </row>
    <row r="352" spans="7:17" ht="18" customHeight="1" x14ac:dyDescent="0.3">
      <c r="G352" s="2"/>
      <c r="N352" s="2"/>
      <c r="O352" s="2"/>
      <c r="P352" s="2"/>
      <c r="Q352" s="2"/>
    </row>
    <row r="353" spans="7:17" ht="18" customHeight="1" x14ac:dyDescent="0.3">
      <c r="G353" s="2"/>
      <c r="N353" s="2"/>
      <c r="O353" s="2"/>
      <c r="P353" s="2"/>
      <c r="Q353" s="2"/>
    </row>
    <row r="354" spans="7:17" ht="18" customHeight="1" x14ac:dyDescent="0.3">
      <c r="G354" s="2"/>
      <c r="N354" s="2"/>
      <c r="O354" s="2"/>
      <c r="P354" s="2"/>
      <c r="Q354" s="2"/>
    </row>
    <row r="355" spans="7:17" ht="18" customHeight="1" x14ac:dyDescent="0.3">
      <c r="G355" s="2"/>
      <c r="N355" s="2"/>
      <c r="O355" s="2"/>
      <c r="P355" s="2"/>
      <c r="Q355" s="2"/>
    </row>
    <row r="356" spans="7:17" ht="18" customHeight="1" x14ac:dyDescent="0.3">
      <c r="G356" s="2"/>
      <c r="N356" s="2"/>
      <c r="O356" s="2"/>
      <c r="P356" s="2"/>
      <c r="Q356" s="2"/>
    </row>
    <row r="357" spans="7:17" ht="18" customHeight="1" x14ac:dyDescent="0.3">
      <c r="G357" s="2"/>
      <c r="N357" s="2"/>
      <c r="O357" s="2"/>
      <c r="P357" s="2"/>
      <c r="Q357" s="2"/>
    </row>
    <row r="358" spans="7:17" ht="18" customHeight="1" x14ac:dyDescent="0.3">
      <c r="G358" s="2"/>
      <c r="N358" s="2"/>
      <c r="O358" s="2"/>
      <c r="P358" s="2"/>
      <c r="Q358" s="2"/>
    </row>
    <row r="359" spans="7:17" ht="18" customHeight="1" x14ac:dyDescent="0.3">
      <c r="G359" s="2"/>
      <c r="N359" s="2"/>
      <c r="O359" s="2"/>
      <c r="P359" s="2"/>
      <c r="Q359" s="2"/>
    </row>
    <row r="360" spans="7:17" ht="18" customHeight="1" x14ac:dyDescent="0.3">
      <c r="G360" s="2"/>
      <c r="N360" s="2"/>
      <c r="O360" s="2"/>
      <c r="P360" s="2"/>
      <c r="Q360" s="2"/>
    </row>
    <row r="361" spans="7:17" ht="18" customHeight="1" x14ac:dyDescent="0.3">
      <c r="G361" s="2"/>
      <c r="N361" s="2"/>
      <c r="O361" s="2"/>
      <c r="P361" s="2"/>
      <c r="Q361" s="2"/>
    </row>
    <row r="362" spans="7:17" ht="18" customHeight="1" x14ac:dyDescent="0.3">
      <c r="G362" s="2"/>
      <c r="N362" s="2"/>
      <c r="O362" s="2"/>
      <c r="P362" s="2"/>
      <c r="Q362" s="2"/>
    </row>
    <row r="363" spans="7:17" ht="18" customHeight="1" x14ac:dyDescent="0.3">
      <c r="G363" s="2"/>
      <c r="N363" s="2"/>
      <c r="O363" s="2"/>
      <c r="P363" s="2"/>
      <c r="Q363" s="2"/>
    </row>
    <row r="364" spans="7:17" ht="18" customHeight="1" x14ac:dyDescent="0.3">
      <c r="G364" s="2"/>
      <c r="N364" s="2"/>
      <c r="O364" s="2"/>
      <c r="P364" s="2"/>
      <c r="Q364" s="2"/>
    </row>
    <row r="365" spans="7:17" ht="18" customHeight="1" x14ac:dyDescent="0.3">
      <c r="G365" s="2"/>
      <c r="N365" s="2"/>
      <c r="O365" s="2"/>
      <c r="P365" s="2"/>
      <c r="Q365" s="2"/>
    </row>
    <row r="366" spans="7:17" ht="18" customHeight="1" x14ac:dyDescent="0.3">
      <c r="G366" s="2"/>
      <c r="N366" s="2"/>
      <c r="O366" s="2"/>
      <c r="P366" s="2"/>
      <c r="Q366" s="2"/>
    </row>
    <row r="367" spans="7:17" ht="18" customHeight="1" x14ac:dyDescent="0.3">
      <c r="G367" s="2"/>
      <c r="N367" s="2"/>
      <c r="O367" s="2"/>
      <c r="P367" s="2"/>
      <c r="Q367" s="2"/>
    </row>
    <row r="368" spans="7:17" ht="18" customHeight="1" x14ac:dyDescent="0.3">
      <c r="G368" s="2"/>
      <c r="N368" s="2"/>
      <c r="O368" s="2"/>
      <c r="P368" s="2"/>
      <c r="Q368" s="2"/>
    </row>
    <row r="369" spans="7:17" ht="18" customHeight="1" x14ac:dyDescent="0.3">
      <c r="G369" s="2"/>
      <c r="N369" s="2"/>
      <c r="O369" s="2"/>
      <c r="P369" s="2"/>
      <c r="Q369" s="2"/>
    </row>
    <row r="370" spans="7:17" ht="18" customHeight="1" x14ac:dyDescent="0.3">
      <c r="G370" s="2"/>
      <c r="N370" s="2"/>
      <c r="O370" s="2"/>
      <c r="P370" s="2"/>
      <c r="Q370" s="2"/>
    </row>
    <row r="371" spans="7:17" ht="18" customHeight="1" x14ac:dyDescent="0.3">
      <c r="G371" s="2"/>
      <c r="N371" s="2"/>
      <c r="O371" s="2"/>
      <c r="P371" s="2"/>
      <c r="Q371" s="2"/>
    </row>
    <row r="372" spans="7:17" ht="18" customHeight="1" x14ac:dyDescent="0.3">
      <c r="G372" s="2"/>
      <c r="N372" s="2"/>
      <c r="O372" s="2"/>
      <c r="P372" s="2"/>
      <c r="Q372" s="2"/>
    </row>
    <row r="373" spans="7:17" ht="18" customHeight="1" x14ac:dyDescent="0.3">
      <c r="G373" s="2"/>
      <c r="N373" s="2"/>
      <c r="O373" s="2"/>
      <c r="P373" s="2"/>
      <c r="Q373" s="2"/>
    </row>
    <row r="374" spans="7:17" ht="18" customHeight="1" x14ac:dyDescent="0.3">
      <c r="G374" s="2"/>
      <c r="N374" s="2"/>
      <c r="O374" s="2"/>
      <c r="P374" s="2"/>
      <c r="Q374" s="2"/>
    </row>
    <row r="375" spans="7:17" ht="18" customHeight="1" x14ac:dyDescent="0.3">
      <c r="G375" s="2"/>
      <c r="N375" s="2"/>
      <c r="O375" s="2"/>
      <c r="P375" s="2"/>
      <c r="Q375" s="2"/>
    </row>
    <row r="376" spans="7:17" ht="18" customHeight="1" x14ac:dyDescent="0.3">
      <c r="G376" s="2"/>
      <c r="N376" s="2"/>
      <c r="O376" s="2"/>
      <c r="P376" s="2"/>
      <c r="Q376" s="2"/>
    </row>
    <row r="377" spans="7:17" ht="18" customHeight="1" x14ac:dyDescent="0.3">
      <c r="G377" s="2"/>
      <c r="N377" s="2"/>
      <c r="O377" s="2"/>
      <c r="P377" s="2"/>
      <c r="Q377" s="2"/>
    </row>
    <row r="378" spans="7:17" ht="18" customHeight="1" x14ac:dyDescent="0.3">
      <c r="G378" s="2"/>
      <c r="N378" s="2"/>
      <c r="O378" s="2"/>
      <c r="P378" s="2"/>
      <c r="Q378" s="2"/>
    </row>
    <row r="379" spans="7:17" ht="18" customHeight="1" x14ac:dyDescent="0.3">
      <c r="G379" s="2"/>
      <c r="N379" s="2"/>
      <c r="O379" s="2"/>
      <c r="P379" s="2"/>
      <c r="Q379" s="2"/>
    </row>
    <row r="380" spans="7:17" ht="18" customHeight="1" x14ac:dyDescent="0.3">
      <c r="G380" s="2"/>
      <c r="N380" s="2"/>
      <c r="O380" s="2"/>
      <c r="P380" s="2"/>
      <c r="Q380" s="2"/>
    </row>
    <row r="381" spans="7:17" ht="18" customHeight="1" x14ac:dyDescent="0.3">
      <c r="G381" s="2"/>
      <c r="N381" s="2"/>
      <c r="O381" s="2"/>
      <c r="P381" s="2"/>
      <c r="Q381" s="2"/>
    </row>
    <row r="382" spans="7:17" ht="18" customHeight="1" x14ac:dyDescent="0.3">
      <c r="G382" s="2"/>
      <c r="N382" s="2"/>
      <c r="O382" s="2"/>
      <c r="P382" s="2"/>
      <c r="Q382" s="2"/>
    </row>
    <row r="383" spans="7:17" ht="18" customHeight="1" x14ac:dyDescent="0.3">
      <c r="G383" s="2"/>
      <c r="N383" s="2"/>
      <c r="O383" s="2"/>
      <c r="P383" s="2"/>
      <c r="Q383" s="2"/>
    </row>
    <row r="384" spans="7:17" ht="18" customHeight="1" x14ac:dyDescent="0.3">
      <c r="G384" s="2"/>
      <c r="N384" s="2"/>
      <c r="O384" s="2"/>
      <c r="P384" s="2"/>
      <c r="Q384" s="2"/>
    </row>
    <row r="385" spans="7:17" ht="18" customHeight="1" x14ac:dyDescent="0.3">
      <c r="G385" s="2"/>
      <c r="N385" s="2"/>
      <c r="O385" s="2"/>
      <c r="P385" s="2"/>
      <c r="Q385" s="2"/>
    </row>
    <row r="386" spans="7:17" ht="18" customHeight="1" x14ac:dyDescent="0.3">
      <c r="G386" s="2"/>
      <c r="N386" s="2"/>
      <c r="O386" s="2"/>
      <c r="P386" s="2"/>
      <c r="Q386" s="2"/>
    </row>
    <row r="387" spans="7:17" ht="18" customHeight="1" x14ac:dyDescent="0.3">
      <c r="G387" s="2"/>
      <c r="N387" s="2"/>
      <c r="O387" s="2"/>
      <c r="P387" s="2"/>
      <c r="Q387" s="2"/>
    </row>
    <row r="388" spans="7:17" ht="18" customHeight="1" x14ac:dyDescent="0.3">
      <c r="G388" s="2"/>
      <c r="N388" s="2"/>
      <c r="O388" s="2"/>
      <c r="P388" s="2"/>
      <c r="Q388" s="2"/>
    </row>
    <row r="389" spans="7:17" ht="18" customHeight="1" x14ac:dyDescent="0.3">
      <c r="G389" s="2"/>
      <c r="N389" s="2"/>
      <c r="O389" s="2"/>
      <c r="P389" s="2"/>
      <c r="Q389" s="2"/>
    </row>
    <row r="390" spans="7:17" ht="18" customHeight="1" x14ac:dyDescent="0.3">
      <c r="G390" s="2"/>
      <c r="N390" s="2"/>
      <c r="O390" s="2"/>
      <c r="P390" s="2"/>
      <c r="Q390" s="2"/>
    </row>
    <row r="391" spans="7:17" ht="18" customHeight="1" x14ac:dyDescent="0.3">
      <c r="G391" s="2"/>
      <c r="N391" s="2"/>
      <c r="O391" s="2"/>
      <c r="P391" s="2"/>
      <c r="Q391" s="2"/>
    </row>
    <row r="392" spans="7:17" ht="18" customHeight="1" x14ac:dyDescent="0.3">
      <c r="G392" s="2"/>
      <c r="N392" s="2"/>
      <c r="O392" s="2"/>
      <c r="P392" s="2"/>
      <c r="Q392" s="2"/>
    </row>
    <row r="393" spans="7:17" ht="18" customHeight="1" x14ac:dyDescent="0.3">
      <c r="G393" s="2"/>
      <c r="N393" s="2"/>
      <c r="O393" s="2"/>
      <c r="P393" s="2"/>
      <c r="Q393" s="2"/>
    </row>
    <row r="394" spans="7:17" ht="18" customHeight="1" x14ac:dyDescent="0.3">
      <c r="G394" s="2"/>
      <c r="N394" s="2"/>
      <c r="O394" s="2"/>
      <c r="P394" s="2"/>
      <c r="Q394" s="2"/>
    </row>
    <row r="395" spans="7:17" ht="18" customHeight="1" x14ac:dyDescent="0.3">
      <c r="G395" s="2"/>
      <c r="N395" s="2"/>
      <c r="O395" s="2"/>
      <c r="P395" s="2"/>
      <c r="Q395" s="2"/>
    </row>
    <row r="396" spans="7:17" ht="18" customHeight="1" x14ac:dyDescent="0.3">
      <c r="G396" s="2"/>
      <c r="N396" s="2"/>
      <c r="O396" s="2"/>
      <c r="P396" s="2"/>
      <c r="Q396" s="2"/>
    </row>
    <row r="397" spans="7:17" ht="18" customHeight="1" x14ac:dyDescent="0.3">
      <c r="G397" s="2"/>
      <c r="N397" s="2"/>
      <c r="O397" s="2"/>
      <c r="P397" s="2"/>
      <c r="Q397" s="2"/>
    </row>
    <row r="398" spans="7:17" ht="18" customHeight="1" x14ac:dyDescent="0.3">
      <c r="G398" s="2"/>
      <c r="N398" s="2"/>
      <c r="O398" s="2"/>
      <c r="P398" s="2"/>
      <c r="Q398" s="2"/>
    </row>
    <row r="399" spans="7:17" x14ac:dyDescent="0.3">
      <c r="G399" s="2"/>
      <c r="N399" s="2"/>
      <c r="O399" s="2"/>
      <c r="P399" s="2"/>
      <c r="Q399" s="2"/>
    </row>
    <row r="400" spans="7:17" x14ac:dyDescent="0.3">
      <c r="G400" s="2"/>
      <c r="N400" s="2"/>
      <c r="O400" s="2"/>
      <c r="P400" s="2"/>
      <c r="Q400" s="2"/>
    </row>
    <row r="401" spans="7:17" x14ac:dyDescent="0.3">
      <c r="G401" s="2"/>
      <c r="N401" s="2"/>
      <c r="O401" s="2"/>
      <c r="P401" s="2"/>
      <c r="Q401" s="2"/>
    </row>
    <row r="402" spans="7:17" x14ac:dyDescent="0.3">
      <c r="G402" s="2"/>
      <c r="N402" s="2"/>
      <c r="O402" s="2"/>
      <c r="P402" s="2"/>
      <c r="Q402" s="2"/>
    </row>
    <row r="403" spans="7:17" x14ac:dyDescent="0.3">
      <c r="G403" s="2"/>
      <c r="N403" s="2"/>
      <c r="O403" s="2"/>
      <c r="P403" s="2"/>
      <c r="Q403" s="2"/>
    </row>
    <row r="404" spans="7:17" x14ac:dyDescent="0.3">
      <c r="G404" s="2"/>
      <c r="N404" s="2"/>
      <c r="O404" s="2"/>
      <c r="P404" s="2"/>
      <c r="Q404" s="2"/>
    </row>
    <row r="405" spans="7:17" x14ac:dyDescent="0.3">
      <c r="G405" s="2"/>
      <c r="N405" s="2"/>
      <c r="O405" s="2"/>
      <c r="P405" s="2"/>
      <c r="Q405" s="2"/>
    </row>
    <row r="406" spans="7:17" x14ac:dyDescent="0.3">
      <c r="G406" s="2"/>
      <c r="N406" s="2"/>
      <c r="O406" s="2"/>
      <c r="P406" s="2"/>
      <c r="Q406" s="2"/>
    </row>
    <row r="407" spans="7:17" x14ac:dyDescent="0.3">
      <c r="G407" s="2"/>
      <c r="N407" s="2"/>
      <c r="O407" s="2"/>
      <c r="P407" s="2"/>
      <c r="Q407" s="2"/>
    </row>
    <row r="408" spans="7:17" x14ac:dyDescent="0.3">
      <c r="G408" s="2"/>
      <c r="N408" s="2"/>
      <c r="O408" s="2"/>
      <c r="P408" s="2"/>
      <c r="Q408" s="2"/>
    </row>
    <row r="409" spans="7:17" x14ac:dyDescent="0.3">
      <c r="G409" s="2"/>
      <c r="N409" s="2"/>
      <c r="O409" s="2"/>
      <c r="P409" s="2"/>
      <c r="Q409" s="2"/>
    </row>
    <row r="410" spans="7:17" x14ac:dyDescent="0.3">
      <c r="G410" s="2"/>
      <c r="N410" s="2"/>
      <c r="O410" s="2"/>
      <c r="P410" s="2"/>
      <c r="Q410" s="2"/>
    </row>
    <row r="411" spans="7:17" x14ac:dyDescent="0.3">
      <c r="G411" s="2"/>
      <c r="N411" s="2"/>
      <c r="O411" s="2"/>
      <c r="P411" s="2"/>
      <c r="Q411" s="2"/>
    </row>
    <row r="412" spans="7:17" x14ac:dyDescent="0.3">
      <c r="G412" s="2"/>
      <c r="N412" s="2"/>
      <c r="O412" s="2"/>
      <c r="P412" s="2"/>
      <c r="Q412" s="2"/>
    </row>
    <row r="413" spans="7:17" x14ac:dyDescent="0.3">
      <c r="G413" s="2"/>
      <c r="N413" s="2"/>
      <c r="O413" s="2"/>
      <c r="P413" s="2"/>
      <c r="Q413" s="2"/>
    </row>
    <row r="414" spans="7:17" x14ac:dyDescent="0.3">
      <c r="G414" s="2"/>
      <c r="N414" s="2"/>
      <c r="O414" s="2"/>
      <c r="P414" s="2"/>
      <c r="Q414" s="2"/>
    </row>
    <row r="415" spans="7:17" x14ac:dyDescent="0.3">
      <c r="G415" s="2"/>
      <c r="N415" s="2"/>
      <c r="O415" s="2"/>
      <c r="P415" s="2"/>
      <c r="Q415" s="2"/>
    </row>
    <row r="416" spans="7:17" x14ac:dyDescent="0.3">
      <c r="G416" s="2"/>
      <c r="N416" s="2"/>
      <c r="O416" s="2"/>
      <c r="P416" s="2"/>
      <c r="Q416" s="2"/>
    </row>
    <row r="417" spans="7:17" x14ac:dyDescent="0.3">
      <c r="G417" s="2"/>
      <c r="N417" s="2"/>
      <c r="O417" s="2"/>
      <c r="P417" s="2"/>
      <c r="Q417" s="2"/>
    </row>
    <row r="418" spans="7:17" x14ac:dyDescent="0.3">
      <c r="G418" s="2"/>
      <c r="N418" s="2"/>
      <c r="O418" s="2"/>
      <c r="P418" s="2"/>
      <c r="Q418" s="2"/>
    </row>
    <row r="419" spans="7:17" x14ac:dyDescent="0.3">
      <c r="G419" s="2"/>
      <c r="N419" s="2"/>
      <c r="O419" s="2"/>
      <c r="P419" s="2"/>
      <c r="Q419" s="2"/>
    </row>
    <row r="420" spans="7:17" x14ac:dyDescent="0.3">
      <c r="G420" s="2"/>
      <c r="N420" s="2"/>
      <c r="O420" s="2"/>
      <c r="P420" s="2"/>
      <c r="Q420" s="2"/>
    </row>
    <row r="421" spans="7:17" x14ac:dyDescent="0.3">
      <c r="G421" s="2"/>
      <c r="N421" s="2"/>
      <c r="O421" s="2"/>
      <c r="P421" s="2"/>
      <c r="Q421" s="2"/>
    </row>
    <row r="422" spans="7:17" x14ac:dyDescent="0.3">
      <c r="G422" s="2"/>
      <c r="N422" s="2"/>
      <c r="O422" s="2"/>
      <c r="P422" s="2"/>
      <c r="Q422" s="2"/>
    </row>
    <row r="423" spans="7:17" x14ac:dyDescent="0.3">
      <c r="G423" s="2"/>
      <c r="N423" s="2"/>
      <c r="O423" s="2"/>
      <c r="P423" s="2"/>
      <c r="Q423" s="2"/>
    </row>
    <row r="424" spans="7:17" x14ac:dyDescent="0.3">
      <c r="G424" s="2"/>
      <c r="N424" s="2"/>
      <c r="O424" s="2"/>
      <c r="P424" s="2"/>
      <c r="Q424" s="2"/>
    </row>
    <row r="425" spans="7:17" x14ac:dyDescent="0.3">
      <c r="G425" s="2"/>
      <c r="N425" s="2"/>
      <c r="O425" s="2"/>
      <c r="P425" s="2"/>
      <c r="Q425" s="2"/>
    </row>
    <row r="426" spans="7:17" x14ac:dyDescent="0.3">
      <c r="G426" s="2"/>
      <c r="N426" s="2"/>
      <c r="O426" s="2"/>
      <c r="P426" s="2"/>
      <c r="Q426" s="2"/>
    </row>
    <row r="427" spans="7:17" x14ac:dyDescent="0.3">
      <c r="G427" s="2"/>
      <c r="N427" s="2"/>
      <c r="O427" s="2"/>
      <c r="P427" s="2"/>
      <c r="Q427" s="2"/>
    </row>
    <row r="428" spans="7:17" x14ac:dyDescent="0.3">
      <c r="G428" s="2"/>
      <c r="N428" s="2"/>
      <c r="O428" s="2"/>
      <c r="P428" s="2"/>
      <c r="Q428" s="2"/>
    </row>
    <row r="429" spans="7:17" x14ac:dyDescent="0.3">
      <c r="G429" s="2"/>
      <c r="N429" s="2"/>
      <c r="O429" s="2"/>
      <c r="P429" s="2"/>
      <c r="Q429" s="2"/>
    </row>
    <row r="430" spans="7:17" x14ac:dyDescent="0.3">
      <c r="G430" s="2"/>
      <c r="N430" s="2"/>
      <c r="O430" s="2"/>
      <c r="P430" s="2"/>
      <c r="Q430" s="2"/>
    </row>
    <row r="431" spans="7:17" x14ac:dyDescent="0.3">
      <c r="G431" s="2"/>
      <c r="N431" s="2"/>
      <c r="O431" s="2"/>
      <c r="P431" s="2"/>
      <c r="Q431" s="2"/>
    </row>
    <row r="432" spans="7:17" x14ac:dyDescent="0.3">
      <c r="G432" s="2"/>
      <c r="N432" s="2"/>
      <c r="O432" s="2"/>
      <c r="P432" s="2"/>
      <c r="Q432" s="2"/>
    </row>
    <row r="433" spans="7:17" x14ac:dyDescent="0.3">
      <c r="G433" s="2"/>
      <c r="N433" s="2"/>
      <c r="O433" s="2"/>
      <c r="P433" s="2"/>
      <c r="Q433" s="2"/>
    </row>
    <row r="434" spans="7:17" x14ac:dyDescent="0.3">
      <c r="G434" s="2"/>
      <c r="N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53" priority="7">
      <formula>MONTH(B11)&lt;&gt;$A$2</formula>
    </cfRule>
  </conditionalFormatting>
  <conditionalFormatting sqref="B11:H28">
    <cfRule type="expression" dxfId="52" priority="6">
      <formula>B11="무지출"</formula>
    </cfRule>
  </conditionalFormatting>
  <conditionalFormatting sqref="U58:U78 U81:U84 U106:U165">
    <cfRule type="expression" dxfId="7" priority="4">
      <formula>$U58&lt;0</formula>
    </cfRule>
  </conditionalFormatting>
  <conditionalFormatting sqref="U86:U104">
    <cfRule type="expression" dxfId="6" priority="3">
      <formula>$U86&lt;0</formula>
    </cfRule>
  </conditionalFormatting>
  <conditionalFormatting sqref="U85">
    <cfRule type="expression" dxfId="5" priority="2">
      <formula>$U85&lt;0</formula>
    </cfRule>
  </conditionalFormatting>
  <conditionalFormatting sqref="U105">
    <cfRule type="expression" dxfId="4" priority="1">
      <formula>$U105&lt;0</formula>
    </cfRule>
  </conditionalFormatting>
  <dataValidations count="5"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/>
    <pageSetUpPr autoPageBreaks="0" fitToPage="1"/>
  </sheetPr>
  <dimension ref="A1:Y434"/>
  <sheetViews>
    <sheetView showGridLines="0" tabSelected="1" topLeftCell="A16" zoomScale="90" zoomScaleNormal="90" zoomScaleSheetLayoutView="40" workbookViewId="0">
      <selection activeCell="R42" sqref="R42"/>
    </sheetView>
  </sheetViews>
  <sheetFormatPr defaultColWidth="8.875" defaultRowHeight="16.5" x14ac:dyDescent="0.3"/>
  <cols>
    <col min="1" max="1" width="4.75" style="1" customWidth="1"/>
    <col min="2" max="8" width="11.125" style="1" customWidth="1"/>
    <col min="9" max="9" width="4.75" style="1" customWidth="1"/>
    <col min="10" max="19" width="11.125" style="1" customWidth="1"/>
    <col min="20" max="20" width="23.625" style="1" customWidth="1"/>
    <col min="21" max="21" width="4.75" style="1" customWidth="1"/>
    <col min="22" max="33" width="8.875" style="1" customWidth="1"/>
    <col min="34" max="16384" width="8.875" style="1"/>
  </cols>
  <sheetData>
    <row r="1" spans="1:21" ht="16.5" customHeight="1" x14ac:dyDescent="0.3">
      <c r="A1" s="407">
        <f>메인!$R$3</f>
        <v>2025</v>
      </c>
      <c r="B1" s="541" t="s">
        <v>133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"/>
    </row>
    <row r="2" spans="1:21" ht="16.5" customHeight="1" x14ac:dyDescent="0.3">
      <c r="A2" s="408">
        <f>메인!$P$11</f>
        <v>12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"/>
    </row>
    <row r="3" spans="1:21" ht="16.5" customHeight="1" x14ac:dyDescent="0.3">
      <c r="A3" s="55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5"/>
    </row>
    <row r="5" spans="1:21" ht="19.899999999999999" customHeight="1" x14ac:dyDescent="0.3">
      <c r="B5" s="56" t="s">
        <v>64</v>
      </c>
      <c r="C5" s="59">
        <f>SUM($C$32+$C$56)</f>
        <v>15000</v>
      </c>
      <c r="G5" s="363"/>
      <c r="H5" s="374"/>
      <c r="J5" s="56" t="str">
        <f>'1월'!J5</f>
        <v>이번달 목표</v>
      </c>
      <c r="K5" s="78"/>
      <c r="L5" s="78"/>
      <c r="M5" s="78"/>
      <c r="N5" s="78"/>
      <c r="O5" s="78"/>
      <c r="P5" s="56" t="s">
        <v>88</v>
      </c>
      <c r="Q5" s="78"/>
      <c r="R5" s="450"/>
      <c r="S5" s="38"/>
      <c r="T5" s="38"/>
    </row>
    <row r="6" spans="1:21" ht="19.899999999999999" customHeight="1" x14ac:dyDescent="0.3">
      <c r="B6" s="56" t="s">
        <v>65</v>
      </c>
      <c r="C6" s="75">
        <f>SUM($K$32+$L$56)</f>
        <v>2625100</v>
      </c>
      <c r="G6" s="363"/>
      <c r="H6" s="97"/>
      <c r="J6" s="441"/>
      <c r="K6" s="394"/>
      <c r="L6" s="394"/>
      <c r="M6" s="394"/>
      <c r="N6" s="394"/>
      <c r="O6" s="394"/>
      <c r="P6" s="394"/>
      <c r="Q6" s="394"/>
      <c r="R6" s="394"/>
      <c r="S6" s="394"/>
      <c r="T6" s="394"/>
    </row>
    <row r="7" spans="1:21" ht="19.899999999999999" customHeight="1" x14ac:dyDescent="0.3">
      <c r="B7" s="62" t="s">
        <v>43</v>
      </c>
      <c r="C7" s="57">
        <f>$C$5-$C$6</f>
        <v>-2610100</v>
      </c>
      <c r="J7" s="442"/>
      <c r="K7" s="395"/>
      <c r="L7" s="395"/>
      <c r="M7" s="395"/>
      <c r="N7" s="395"/>
      <c r="O7" s="395"/>
      <c r="P7" s="395"/>
      <c r="Q7" s="395"/>
      <c r="R7" s="395"/>
      <c r="S7" s="395"/>
      <c r="T7" s="395"/>
    </row>
    <row r="8" spans="1:21" ht="19.899999999999999" customHeight="1" x14ac:dyDescent="0.3">
      <c r="E8" s="3"/>
      <c r="F8" s="3"/>
      <c r="G8" s="412" t="s">
        <v>257</v>
      </c>
      <c r="H8" s="413">
        <f ca="1">COUNTIF(B10:H28,"무지출")</f>
        <v>0</v>
      </c>
    </row>
    <row r="9" spans="1:21" ht="19.899999999999999" customHeight="1" x14ac:dyDescent="0.3">
      <c r="B9" s="531" t="s">
        <v>262</v>
      </c>
      <c r="C9" s="531"/>
      <c r="D9" s="531"/>
      <c r="E9" s="531"/>
      <c r="F9" s="531"/>
      <c r="G9" s="531"/>
      <c r="H9" s="531"/>
      <c r="J9" s="531" t="s">
        <v>267</v>
      </c>
      <c r="K9" s="531"/>
      <c r="L9" s="531"/>
      <c r="M9" s="531"/>
      <c r="N9" s="531"/>
      <c r="O9" s="531"/>
      <c r="P9" s="531"/>
      <c r="Q9" s="531"/>
      <c r="R9" s="531"/>
      <c r="S9" s="531"/>
      <c r="T9" s="531"/>
    </row>
    <row r="10" spans="1:21" ht="19.899999999999999" customHeight="1" x14ac:dyDescent="0.3">
      <c r="B10" s="330" t="s">
        <v>252</v>
      </c>
      <c r="C10" s="403" t="s">
        <v>237</v>
      </c>
      <c r="D10" s="367" t="s">
        <v>251</v>
      </c>
      <c r="E10" s="367" t="s">
        <v>253</v>
      </c>
      <c r="F10" s="367" t="s">
        <v>254</v>
      </c>
      <c r="G10" s="367" t="s">
        <v>255</v>
      </c>
      <c r="H10" s="364" t="s">
        <v>256</v>
      </c>
      <c r="J10" s="330" t="s">
        <v>259</v>
      </c>
      <c r="K10" s="367" t="s">
        <v>260</v>
      </c>
      <c r="L10" s="367" t="s">
        <v>264</v>
      </c>
      <c r="M10" s="367" t="s">
        <v>261</v>
      </c>
      <c r="N10" s="364" t="s">
        <v>266</v>
      </c>
      <c r="O10" s="364" t="s">
        <v>265</v>
      </c>
      <c r="P10" s="47"/>
    </row>
    <row r="11" spans="1:21" ht="19.899999999999999" customHeight="1" x14ac:dyDescent="0.3">
      <c r="B11" s="404">
        <f>DATE($A$1,$A$2,1)-WEEKDAY(DATE($A$1,$A$2,1))+1</f>
        <v>45991</v>
      </c>
      <c r="C11" s="405">
        <f>B11+1</f>
        <v>45992</v>
      </c>
      <c r="D11" s="405">
        <f t="shared" ref="D11:H11" si="0">C11+1</f>
        <v>45993</v>
      </c>
      <c r="E11" s="405">
        <f t="shared" si="0"/>
        <v>45994</v>
      </c>
      <c r="F11" s="405">
        <f t="shared" si="0"/>
        <v>45995</v>
      </c>
      <c r="G11" s="405">
        <f t="shared" si="0"/>
        <v>45996</v>
      </c>
      <c r="H11" s="406">
        <f t="shared" si="0"/>
        <v>45997</v>
      </c>
      <c r="J11" s="369" t="str">
        <f>항목!E$3</f>
        <v>식비</v>
      </c>
      <c r="K11" s="426">
        <f>SUMIF($N$58:$N$165,J11,$T$58:$T$165)</f>
        <v>0</v>
      </c>
      <c r="L11" s="426">
        <f>VLOOKUP(J11,예산!$B$41:$N$53,13,FALSE)</f>
        <v>0</v>
      </c>
      <c r="M11" s="428">
        <f t="shared" ref="M11:M23" si="1">L11-K11</f>
        <v>0</v>
      </c>
      <c r="N11" s="437">
        <f>VLOOKUP(J11,'11월'!$J$10:$K$23,2,FALSE)</f>
        <v>0</v>
      </c>
      <c r="O11" s="439">
        <f t="shared" ref="O11:O23" si="2">K11-N11</f>
        <v>0</v>
      </c>
      <c r="P11" s="3"/>
    </row>
    <row r="12" spans="1:21" ht="19.899999999999999" customHeight="1" x14ac:dyDescent="0.3">
      <c r="B12" s="532" t="str">
        <f ca="1">IF(MONTH(B11)&lt;&gt;$A$2,"",IF(AND(SUMIF($J$81:$J$227,B11,$R$81:$R$227)=0,B11&lt;TODAY()),"무지출",SUMIF($J$81:$J$227,B11,$R$81:$R$227)))</f>
        <v/>
      </c>
      <c r="C12" s="533">
        <f t="shared" ref="C12:H12" ca="1" si="3">IF(MONTH(C11)&lt;&gt;$A$2,"",IF(AND(SUMIF($J$81:$J$227,C11,$R$81:$R$227)=0,C11&lt;TODAY()),"무지출",SUMIF($J$81:$J$227,C11,$R$81:$R$227)))</f>
        <v>0</v>
      </c>
      <c r="D12" s="533">
        <f t="shared" ca="1" si="3"/>
        <v>0</v>
      </c>
      <c r="E12" s="533">
        <f t="shared" ca="1" si="3"/>
        <v>0</v>
      </c>
      <c r="F12" s="533">
        <f t="shared" ca="1" si="3"/>
        <v>0</v>
      </c>
      <c r="G12" s="533">
        <f t="shared" ca="1" si="3"/>
        <v>0</v>
      </c>
      <c r="H12" s="534">
        <f t="shared" ca="1" si="3"/>
        <v>0</v>
      </c>
      <c r="J12" s="369" t="str">
        <f>항목!F$3</f>
        <v>주거비</v>
      </c>
      <c r="K12" s="426">
        <f t="shared" ref="K12:K23" si="4">SUMIF($N$58:$N$165,J12,$T$58:$T$165)</f>
        <v>212000</v>
      </c>
      <c r="L12" s="426">
        <f>VLOOKUP(J12,예산!$B$41:$N$53,13,FALSE)</f>
        <v>0</v>
      </c>
      <c r="M12" s="428">
        <f t="shared" si="1"/>
        <v>-212000</v>
      </c>
      <c r="N12" s="437">
        <f>VLOOKUP(J12,'11월'!$J$10:$K$23,2,FALSE)</f>
        <v>212000</v>
      </c>
      <c r="O12" s="439">
        <f t="shared" si="2"/>
        <v>0</v>
      </c>
      <c r="P12" s="3"/>
    </row>
    <row r="13" spans="1:21" ht="19.899999999999999" customHeight="1" x14ac:dyDescent="0.3">
      <c r="B13" s="540"/>
      <c r="C13" s="535"/>
      <c r="D13" s="535"/>
      <c r="E13" s="535"/>
      <c r="F13" s="535"/>
      <c r="G13" s="535"/>
      <c r="H13" s="536"/>
      <c r="J13" s="369" t="str">
        <f>항목!G$3</f>
        <v>생활용품비</v>
      </c>
      <c r="K13" s="426">
        <f t="shared" si="4"/>
        <v>0</v>
      </c>
      <c r="L13" s="426">
        <f>VLOOKUP(J13,예산!$B$41:$N$53,13,FALSE)</f>
        <v>0</v>
      </c>
      <c r="M13" s="428">
        <f t="shared" si="1"/>
        <v>0</v>
      </c>
      <c r="N13" s="437">
        <f>VLOOKUP(J13,'11월'!$J$10:$K$23,2,FALSE)</f>
        <v>0</v>
      </c>
      <c r="O13" s="439">
        <f t="shared" si="2"/>
        <v>0</v>
      </c>
      <c r="P13" s="3"/>
    </row>
    <row r="14" spans="1:21" ht="19.899999999999999" customHeight="1" x14ac:dyDescent="0.3">
      <c r="B14" s="404">
        <f>B11+7</f>
        <v>45998</v>
      </c>
      <c r="C14" s="405">
        <f t="shared" ref="C14:H14" si="5">C11+7</f>
        <v>45999</v>
      </c>
      <c r="D14" s="405">
        <f t="shared" si="5"/>
        <v>46000</v>
      </c>
      <c r="E14" s="405">
        <f t="shared" si="5"/>
        <v>46001</v>
      </c>
      <c r="F14" s="405">
        <f t="shared" si="5"/>
        <v>46002</v>
      </c>
      <c r="G14" s="405">
        <f t="shared" si="5"/>
        <v>46003</v>
      </c>
      <c r="H14" s="406">
        <f t="shared" si="5"/>
        <v>46004</v>
      </c>
      <c r="J14" s="369" t="str">
        <f>항목!H$3</f>
        <v>반려동물비</v>
      </c>
      <c r="K14" s="426">
        <f t="shared" si="4"/>
        <v>0</v>
      </c>
      <c r="L14" s="426">
        <f>VLOOKUP(J14,예산!$B$41:$N$53,13,FALSE)</f>
        <v>0</v>
      </c>
      <c r="M14" s="428">
        <f t="shared" si="1"/>
        <v>0</v>
      </c>
      <c r="N14" s="437">
        <f>VLOOKUP(J14,'11월'!$J$10:$K$23,2,FALSE)</f>
        <v>0</v>
      </c>
      <c r="O14" s="439">
        <f t="shared" si="2"/>
        <v>0</v>
      </c>
      <c r="P14" s="3"/>
    </row>
    <row r="15" spans="1:21" ht="19.899999999999999" customHeight="1" x14ac:dyDescent="0.3">
      <c r="B15" s="532">
        <f ca="1">IF(MONTH(B14)&lt;&gt;$A$2,"",IF(AND(SUMIF($J$81:$J$227,B14,$R$81:$R$227)=0,B14&lt;TODAY()),"무지출",SUMIF($J$81:$J$227,B14,$R$81:$R$227)))</f>
        <v>0</v>
      </c>
      <c r="C15" s="533">
        <f t="shared" ref="C15:H15" ca="1" si="6">IF(MONTH(C14)&lt;&gt;$A$2,"",IF(AND(SUMIF($J$81:$J$227,C14,$R$81:$R$227)=0,C14&lt;TODAY()),"무지출",SUMIF($J$81:$J$227,C14,$R$81:$R$227)))</f>
        <v>0</v>
      </c>
      <c r="D15" s="533">
        <f t="shared" ca="1" si="6"/>
        <v>0</v>
      </c>
      <c r="E15" s="533">
        <f t="shared" ca="1" si="6"/>
        <v>0</v>
      </c>
      <c r="F15" s="533">
        <f t="shared" ca="1" si="6"/>
        <v>0</v>
      </c>
      <c r="G15" s="533">
        <f t="shared" ca="1" si="6"/>
        <v>0</v>
      </c>
      <c r="H15" s="534">
        <f t="shared" ca="1" si="6"/>
        <v>0</v>
      </c>
      <c r="J15" s="369" t="str">
        <f>항목!I$3</f>
        <v>의류미용비</v>
      </c>
      <c r="K15" s="426">
        <f t="shared" si="4"/>
        <v>0</v>
      </c>
      <c r="L15" s="426">
        <f>VLOOKUP(J15,예산!$B$41:$N$53,13,FALSE)</f>
        <v>0</v>
      </c>
      <c r="M15" s="428">
        <f t="shared" si="1"/>
        <v>0</v>
      </c>
      <c r="N15" s="437">
        <f>VLOOKUP(J15,'11월'!$J$10:$K$23,2,FALSE)</f>
        <v>0</v>
      </c>
      <c r="O15" s="439">
        <f t="shared" si="2"/>
        <v>0</v>
      </c>
      <c r="P15" s="3"/>
    </row>
    <row r="16" spans="1:21" ht="19.899999999999999" customHeight="1" x14ac:dyDescent="0.3">
      <c r="B16" s="540"/>
      <c r="C16" s="535"/>
      <c r="D16" s="535"/>
      <c r="E16" s="535"/>
      <c r="F16" s="535"/>
      <c r="G16" s="535"/>
      <c r="H16" s="536"/>
      <c r="J16" s="369" t="str">
        <f>항목!J$3</f>
        <v>교육비</v>
      </c>
      <c r="K16" s="426">
        <f t="shared" si="4"/>
        <v>0</v>
      </c>
      <c r="L16" s="426">
        <f>VLOOKUP(J16,예산!$B$41:$N$53,13,FALSE)</f>
        <v>0</v>
      </c>
      <c r="M16" s="428">
        <f t="shared" si="1"/>
        <v>0</v>
      </c>
      <c r="N16" s="437">
        <f>VLOOKUP(J16,'11월'!$J$10:$K$23,2,FALSE)</f>
        <v>0</v>
      </c>
      <c r="O16" s="439">
        <f t="shared" si="2"/>
        <v>0</v>
      </c>
      <c r="P16" s="3"/>
    </row>
    <row r="17" spans="2:23" ht="19.899999999999999" customHeight="1" x14ac:dyDescent="0.3">
      <c r="B17" s="404">
        <f>B11+14</f>
        <v>46005</v>
      </c>
      <c r="C17" s="405">
        <f t="shared" ref="C17:H17" si="7">C11+14</f>
        <v>46006</v>
      </c>
      <c r="D17" s="405">
        <f t="shared" si="7"/>
        <v>46007</v>
      </c>
      <c r="E17" s="405">
        <f t="shared" si="7"/>
        <v>46008</v>
      </c>
      <c r="F17" s="405">
        <f t="shared" si="7"/>
        <v>46009</v>
      </c>
      <c r="G17" s="405">
        <f t="shared" si="7"/>
        <v>46010</v>
      </c>
      <c r="H17" s="406">
        <f t="shared" si="7"/>
        <v>46011</v>
      </c>
      <c r="J17" s="369" t="str">
        <f>항목!K$3</f>
        <v>문화생활비</v>
      </c>
      <c r="K17" s="426">
        <f t="shared" si="4"/>
        <v>63100</v>
      </c>
      <c r="L17" s="426">
        <f>VLOOKUP(J17,예산!$B$41:$N$53,13,FALSE)</f>
        <v>0</v>
      </c>
      <c r="M17" s="428">
        <f t="shared" si="1"/>
        <v>-63100</v>
      </c>
      <c r="N17" s="437">
        <f>VLOOKUP(J17,'11월'!$J$10:$K$23,2,FALSE)</f>
        <v>63100</v>
      </c>
      <c r="O17" s="439">
        <f t="shared" si="2"/>
        <v>0</v>
      </c>
      <c r="P17" s="3"/>
    </row>
    <row r="18" spans="2:23" ht="19.899999999999999" customHeight="1" x14ac:dyDescent="0.3">
      <c r="B18" s="532">
        <f ca="1">IF(MONTH(B17)&lt;&gt;$A$2,"",IF(AND(SUMIF($J$81:$J$227,B17,$R$81:$R$227)=0,B17&lt;TODAY()),"무지출",SUMIF($J$81:$J$227,B17,$R$81:$R$227)))</f>
        <v>0</v>
      </c>
      <c r="C18" s="533">
        <f t="shared" ref="C18:H18" ca="1" si="8">IF(MONTH(C17)&lt;&gt;$A$2,"",IF(AND(SUMIF($J$81:$J$227,C17,$R$81:$R$227)=0,C17&lt;TODAY()),"무지출",SUMIF($J$81:$J$227,C17,$R$81:$R$227)))</f>
        <v>0</v>
      </c>
      <c r="D18" s="533">
        <f t="shared" ca="1" si="8"/>
        <v>0</v>
      </c>
      <c r="E18" s="533">
        <f t="shared" ca="1" si="8"/>
        <v>0</v>
      </c>
      <c r="F18" s="533">
        <f t="shared" ca="1" si="8"/>
        <v>0</v>
      </c>
      <c r="G18" s="533">
        <f t="shared" ca="1" si="8"/>
        <v>0</v>
      </c>
      <c r="H18" s="534">
        <f t="shared" ca="1" si="8"/>
        <v>0</v>
      </c>
      <c r="J18" s="369" t="str">
        <f>항목!L$3</f>
        <v>의료비</v>
      </c>
      <c r="K18" s="426">
        <f t="shared" si="4"/>
        <v>0</v>
      </c>
      <c r="L18" s="426">
        <f>VLOOKUP(J18,예산!$B$41:$N$53,13,FALSE)</f>
        <v>0</v>
      </c>
      <c r="M18" s="428">
        <f t="shared" si="1"/>
        <v>0</v>
      </c>
      <c r="N18" s="437">
        <f>VLOOKUP(J18,'11월'!$J$10:$K$23,2,FALSE)</f>
        <v>0</v>
      </c>
      <c r="O18" s="439">
        <f t="shared" si="2"/>
        <v>0</v>
      </c>
      <c r="P18" s="3"/>
    </row>
    <row r="19" spans="2:23" ht="19.899999999999999" customHeight="1" x14ac:dyDescent="0.3">
      <c r="B19" s="540"/>
      <c r="C19" s="535"/>
      <c r="D19" s="535"/>
      <c r="E19" s="535"/>
      <c r="F19" s="535"/>
      <c r="G19" s="535"/>
      <c r="H19" s="536"/>
      <c r="J19" s="369" t="str">
        <f>항목!M$3</f>
        <v>유류교통비</v>
      </c>
      <c r="K19" s="426">
        <f t="shared" si="4"/>
        <v>0</v>
      </c>
      <c r="L19" s="426">
        <f>VLOOKUP(J19,예산!$B$41:$N$53,13,FALSE)</f>
        <v>0</v>
      </c>
      <c r="M19" s="428">
        <f t="shared" si="1"/>
        <v>0</v>
      </c>
      <c r="N19" s="437">
        <f>VLOOKUP(J19,'11월'!$J$10:$K$23,2,FALSE)</f>
        <v>0</v>
      </c>
      <c r="O19" s="439">
        <f t="shared" si="2"/>
        <v>0</v>
      </c>
      <c r="P19" s="3"/>
    </row>
    <row r="20" spans="2:23" ht="19.899999999999999" customHeight="1" x14ac:dyDescent="0.3">
      <c r="B20" s="404">
        <f>B11+21</f>
        <v>46012</v>
      </c>
      <c r="C20" s="405">
        <f t="shared" ref="C20:H20" si="9">C11+21</f>
        <v>46013</v>
      </c>
      <c r="D20" s="405">
        <f t="shared" si="9"/>
        <v>46014</v>
      </c>
      <c r="E20" s="405">
        <f t="shared" si="9"/>
        <v>46015</v>
      </c>
      <c r="F20" s="405">
        <f t="shared" si="9"/>
        <v>46016</v>
      </c>
      <c r="G20" s="405">
        <f t="shared" si="9"/>
        <v>46017</v>
      </c>
      <c r="H20" s="406">
        <f t="shared" si="9"/>
        <v>46018</v>
      </c>
      <c r="J20" s="369" t="str">
        <f>항목!N$3</f>
        <v>통신비</v>
      </c>
      <c r="K20" s="426">
        <f t="shared" si="4"/>
        <v>0</v>
      </c>
      <c r="L20" s="426">
        <f>VLOOKUP(J20,예산!$B$41:$N$53,13,FALSE)</f>
        <v>0</v>
      </c>
      <c r="M20" s="428">
        <f t="shared" si="1"/>
        <v>0</v>
      </c>
      <c r="N20" s="437">
        <f>VLOOKUP(J20,'11월'!$J$10:$K$23,2,FALSE)</f>
        <v>0</v>
      </c>
      <c r="O20" s="439">
        <f t="shared" si="2"/>
        <v>0</v>
      </c>
      <c r="P20" s="3"/>
    </row>
    <row r="21" spans="2:23" ht="19.899999999999999" customHeight="1" x14ac:dyDescent="0.3">
      <c r="B21" s="532">
        <f ca="1">IF(MONTH(B20)&lt;&gt;$A$2,"",IF(AND(SUMIF($J$81:$J$227,B20,$R$81:$R$227)=0,B20&lt;TODAY()),"무지출",SUMIF($J$81:$J$227,B20,$R$81:$R$227)))</f>
        <v>0</v>
      </c>
      <c r="C21" s="533">
        <f t="shared" ref="C21:H21" ca="1" si="10">IF(MONTH(C20)&lt;&gt;$A$2,"",IF(AND(SUMIF($J$81:$J$227,C20,$R$81:$R$227)=0,C20&lt;TODAY()),"무지출",SUMIF($J$81:$J$227,C20,$R$81:$R$227)))</f>
        <v>0</v>
      </c>
      <c r="D21" s="533">
        <f t="shared" ca="1" si="10"/>
        <v>0</v>
      </c>
      <c r="E21" s="533">
        <f t="shared" ca="1" si="10"/>
        <v>0</v>
      </c>
      <c r="F21" s="533">
        <f t="shared" ca="1" si="10"/>
        <v>0</v>
      </c>
      <c r="G21" s="533">
        <f t="shared" ca="1" si="10"/>
        <v>0</v>
      </c>
      <c r="H21" s="534">
        <f t="shared" ca="1" si="10"/>
        <v>0</v>
      </c>
      <c r="J21" s="369" t="str">
        <f>항목!O$3</f>
        <v>경조사회비</v>
      </c>
      <c r="K21" s="426">
        <f t="shared" si="4"/>
        <v>0</v>
      </c>
      <c r="L21" s="426">
        <f>VLOOKUP(J21,예산!$B$41:$N$53,13,FALSE)</f>
        <v>0</v>
      </c>
      <c r="M21" s="428">
        <f t="shared" si="1"/>
        <v>0</v>
      </c>
      <c r="N21" s="437">
        <f>VLOOKUP(J21,'11월'!$J$10:$K$23,2,FALSE)</f>
        <v>0</v>
      </c>
      <c r="O21" s="439">
        <f t="shared" si="2"/>
        <v>0</v>
      </c>
      <c r="P21" s="3"/>
    </row>
    <row r="22" spans="2:23" ht="19.899999999999999" customHeight="1" x14ac:dyDescent="0.3">
      <c r="B22" s="540"/>
      <c r="C22" s="535"/>
      <c r="D22" s="535"/>
      <c r="E22" s="535"/>
      <c r="F22" s="535"/>
      <c r="G22" s="535"/>
      <c r="H22" s="536"/>
      <c r="J22" s="369" t="str">
        <f>항목!P$3</f>
        <v>용돈</v>
      </c>
      <c r="K22" s="426">
        <f t="shared" si="4"/>
        <v>0</v>
      </c>
      <c r="L22" s="426">
        <f>VLOOKUP(J22,예산!$B$41:$N$53,13,FALSE)</f>
        <v>0</v>
      </c>
      <c r="M22" s="428">
        <f t="shared" si="1"/>
        <v>0</v>
      </c>
      <c r="N22" s="437">
        <f>VLOOKUP(J22,'11월'!$J$10:$K$23,2,FALSE)</f>
        <v>0</v>
      </c>
      <c r="O22" s="439">
        <f t="shared" si="2"/>
        <v>0</v>
      </c>
      <c r="P22" s="3"/>
    </row>
    <row r="23" spans="2:23" ht="19.899999999999999" customHeight="1" x14ac:dyDescent="0.3">
      <c r="B23" s="404">
        <f>B11+28</f>
        <v>46019</v>
      </c>
      <c r="C23" s="405">
        <f t="shared" ref="C23:H23" si="11">C11+28</f>
        <v>46020</v>
      </c>
      <c r="D23" s="405">
        <f t="shared" si="11"/>
        <v>46021</v>
      </c>
      <c r="E23" s="405">
        <f t="shared" si="11"/>
        <v>46022</v>
      </c>
      <c r="F23" s="405">
        <f t="shared" si="11"/>
        <v>46023</v>
      </c>
      <c r="G23" s="405">
        <f t="shared" si="11"/>
        <v>46024</v>
      </c>
      <c r="H23" s="406">
        <f t="shared" si="11"/>
        <v>46025</v>
      </c>
      <c r="J23" s="332" t="str">
        <f>항목!Q$3</f>
        <v>추가항목</v>
      </c>
      <c r="K23" s="426">
        <f t="shared" si="4"/>
        <v>0</v>
      </c>
      <c r="L23" s="427">
        <f>VLOOKUP(J23,예산!$B$41:$N$53,13,FALSE)</f>
        <v>0</v>
      </c>
      <c r="M23" s="429">
        <f t="shared" si="1"/>
        <v>0</v>
      </c>
      <c r="N23" s="438">
        <f>VLOOKUP(J23,'11월'!$J$10:$K$23,2,FALSE)</f>
        <v>0</v>
      </c>
      <c r="O23" s="440">
        <f t="shared" si="2"/>
        <v>0</v>
      </c>
      <c r="P23" s="3"/>
    </row>
    <row r="24" spans="2:23" ht="19.899999999999999" customHeight="1" x14ac:dyDescent="0.3">
      <c r="B24" s="532">
        <f ca="1">IF(MONTH(B23)&lt;&gt;$A$2,"",IF(AND(SUMIF($J$81:$J$227,B23,$R$81:$R$227)=0,B23&lt;TODAY()),"무지출",SUMIF($J$81:$J$227,B23,$R$81:$R$227)))</f>
        <v>0</v>
      </c>
      <c r="C24" s="533">
        <f t="shared" ref="C24:H24" ca="1" si="12">IF(MONTH(C23)&lt;&gt;$A$2,"",IF(AND(SUMIF($J$81:$J$227,C23,$R$81:$R$227)=0,C23&lt;TODAY()),"무지출",SUMIF($J$81:$J$227,C23,$R$81:$R$227)))</f>
        <v>0</v>
      </c>
      <c r="D24" s="533">
        <f t="shared" ca="1" si="12"/>
        <v>0</v>
      </c>
      <c r="E24" s="533">
        <f t="shared" ca="1" si="12"/>
        <v>0</v>
      </c>
      <c r="F24" s="533" t="str">
        <f t="shared" ca="1" si="12"/>
        <v/>
      </c>
      <c r="G24" s="533" t="str">
        <f t="shared" ca="1" si="12"/>
        <v/>
      </c>
      <c r="H24" s="534" t="str">
        <f t="shared" ca="1" si="12"/>
        <v/>
      </c>
    </row>
    <row r="25" spans="2:23" ht="19.899999999999999" customHeight="1" x14ac:dyDescent="0.3">
      <c r="B25" s="540"/>
      <c r="C25" s="535"/>
      <c r="D25" s="535"/>
      <c r="E25" s="535"/>
      <c r="F25" s="535"/>
      <c r="G25" s="535"/>
      <c r="H25" s="536"/>
      <c r="J25" s="394" t="s">
        <v>273</v>
      </c>
      <c r="K25" s="445"/>
      <c r="L25" s="445"/>
      <c r="M25" s="445"/>
      <c r="N25" s="445"/>
      <c r="O25" s="445"/>
    </row>
    <row r="26" spans="2:23" ht="19.899999999999999" customHeight="1" x14ac:dyDescent="0.3">
      <c r="B26" s="404">
        <f>B11+35</f>
        <v>46026</v>
      </c>
      <c r="C26" s="405">
        <f t="shared" ref="C26:H26" si="13">C11+35</f>
        <v>46027</v>
      </c>
      <c r="D26" s="405">
        <f t="shared" si="13"/>
        <v>46028</v>
      </c>
      <c r="E26" s="405">
        <f t="shared" si="13"/>
        <v>46029</v>
      </c>
      <c r="F26" s="405">
        <f t="shared" si="13"/>
        <v>46030</v>
      </c>
      <c r="G26" s="405">
        <f t="shared" si="13"/>
        <v>46031</v>
      </c>
      <c r="H26" s="406">
        <f t="shared" si="13"/>
        <v>46032</v>
      </c>
      <c r="J26" s="446"/>
      <c r="K26" s="368"/>
      <c r="L26" s="368"/>
      <c r="M26" s="368"/>
      <c r="N26" s="368"/>
      <c r="O26" s="368"/>
    </row>
    <row r="27" spans="2:23" ht="19.899999999999999" customHeight="1" x14ac:dyDescent="0.3">
      <c r="B27" s="532" t="str">
        <f ca="1">IF(MONTH(B26)&lt;&gt;$A$2,"",IF(AND(SUMIF($J$81:$J$227,B26,$R$81:$R$227)=0,B26&lt;TODAY()),"무지출",SUMIF($J$81:$J$227,B26,$R$81:$R$227)))</f>
        <v/>
      </c>
      <c r="C27" s="533" t="str">
        <f t="shared" ref="C27:H27" ca="1" si="14">IF(MONTH(C26)&lt;&gt;$A$2,"",IF(AND(SUMIF($J$81:$J$227,C26,$R$81:$R$227)=0,C26&lt;TODAY()),"무지출",SUMIF($J$81:$J$227,C26,$R$81:$R$227)))</f>
        <v/>
      </c>
      <c r="D27" s="533" t="str">
        <f t="shared" ca="1" si="14"/>
        <v/>
      </c>
      <c r="E27" s="533" t="str">
        <f t="shared" ca="1" si="14"/>
        <v/>
      </c>
      <c r="F27" s="533" t="str">
        <f t="shared" ca="1" si="14"/>
        <v/>
      </c>
      <c r="G27" s="533" t="str">
        <f t="shared" ca="1" si="14"/>
        <v/>
      </c>
      <c r="H27" s="534" t="str">
        <f t="shared" ca="1" si="14"/>
        <v/>
      </c>
      <c r="J27" s="446"/>
      <c r="K27" s="368"/>
      <c r="L27" s="368"/>
      <c r="M27" s="368"/>
      <c r="N27" s="368"/>
      <c r="O27" s="368"/>
    </row>
    <row r="28" spans="2:23" ht="19.899999999999999" customHeight="1" x14ac:dyDescent="0.3">
      <c r="B28" s="532"/>
      <c r="C28" s="533"/>
      <c r="D28" s="533"/>
      <c r="E28" s="533"/>
      <c r="F28" s="533"/>
      <c r="G28" s="533"/>
      <c r="H28" s="534"/>
      <c r="J28" s="368"/>
      <c r="K28" s="368"/>
      <c r="L28" s="368"/>
      <c r="M28" s="368"/>
      <c r="N28" s="368"/>
      <c r="O28" s="368"/>
    </row>
    <row r="29" spans="2:23" ht="19.899999999999999" customHeight="1" x14ac:dyDescent="0.3"/>
    <row r="30" spans="2:23" ht="19.899999999999999" customHeight="1" x14ac:dyDescent="0.3">
      <c r="B30" s="531" t="s">
        <v>1</v>
      </c>
      <c r="C30" s="531"/>
      <c r="D30" s="531"/>
      <c r="E30" s="531"/>
      <c r="F30" s="531"/>
      <c r="G30" s="531"/>
      <c r="H30" s="531"/>
      <c r="J30" s="531" t="s">
        <v>250</v>
      </c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3"/>
    </row>
    <row r="31" spans="2:23" ht="10.15" customHeight="1" x14ac:dyDescent="0.3"/>
    <row r="32" spans="2:23" ht="19.899999999999999" customHeight="1" thickBot="1" x14ac:dyDescent="0.35">
      <c r="B32" s="516" t="s">
        <v>63</v>
      </c>
      <c r="C32" s="59">
        <f>SUM($H$34:$H$53)</f>
        <v>0</v>
      </c>
      <c r="D32" s="38"/>
      <c r="E32" s="38"/>
      <c r="F32" s="38"/>
      <c r="G32" s="38"/>
      <c r="H32" s="38"/>
      <c r="I32" s="38"/>
      <c r="J32" s="516" t="s">
        <v>10</v>
      </c>
      <c r="K32" s="58">
        <f>SUM($T$34:$T$53)</f>
        <v>2350000</v>
      </c>
      <c r="M32" s="77"/>
      <c r="N32" s="77"/>
      <c r="O32" s="76"/>
      <c r="P32" s="76"/>
      <c r="Q32" s="76"/>
      <c r="R32" s="363"/>
      <c r="S32" s="97"/>
      <c r="T32" s="97"/>
      <c r="U32" s="38"/>
      <c r="V32" s="38"/>
    </row>
    <row r="33" spans="2:24" ht="19.899999999999999" customHeight="1" thickBot="1" x14ac:dyDescent="0.35">
      <c r="B33" s="518" t="s">
        <v>0</v>
      </c>
      <c r="C33" s="36" t="s">
        <v>470</v>
      </c>
      <c r="D33" s="36" t="s">
        <v>8</v>
      </c>
      <c r="E33" s="36" t="s">
        <v>26</v>
      </c>
      <c r="F33" s="537" t="s">
        <v>27</v>
      </c>
      <c r="G33" s="539"/>
      <c r="H33" s="517" t="s">
        <v>2</v>
      </c>
      <c r="I33" s="38"/>
      <c r="J33" s="518" t="s">
        <v>0</v>
      </c>
      <c r="K33" s="36" t="s">
        <v>470</v>
      </c>
      <c r="L33" s="36" t="s">
        <v>472</v>
      </c>
      <c r="M33" s="36" t="s">
        <v>473</v>
      </c>
      <c r="N33" s="36" t="s">
        <v>8</v>
      </c>
      <c r="O33" s="36" t="s">
        <v>26</v>
      </c>
      <c r="P33" s="435" t="s">
        <v>186</v>
      </c>
      <c r="Q33" s="436"/>
      <c r="R33" s="36" t="s">
        <v>236</v>
      </c>
      <c r="S33" s="36" t="s">
        <v>247</v>
      </c>
      <c r="T33" s="36" t="s">
        <v>235</v>
      </c>
      <c r="U33" s="537" t="s">
        <v>54</v>
      </c>
      <c r="V33" s="538"/>
    </row>
    <row r="34" spans="2:24" ht="18" customHeight="1" x14ac:dyDescent="0.3">
      <c r="B34" s="7">
        <v>45658</v>
      </c>
      <c r="C34" s="8" t="s">
        <v>452</v>
      </c>
      <c r="D34" s="8" t="s">
        <v>1</v>
      </c>
      <c r="E34" s="8" t="s">
        <v>274</v>
      </c>
      <c r="F34" s="590" t="s">
        <v>469</v>
      </c>
      <c r="G34" s="591"/>
      <c r="H34" s="9"/>
      <c r="I34" s="3"/>
      <c r="J34" s="7">
        <v>45658</v>
      </c>
      <c r="K34" s="8" t="s">
        <v>452</v>
      </c>
      <c r="L34" s="8" t="s">
        <v>445</v>
      </c>
      <c r="M34" s="8" t="s">
        <v>466</v>
      </c>
      <c r="N34" s="8" t="s">
        <v>229</v>
      </c>
      <c r="O34" s="8" t="s">
        <v>15</v>
      </c>
      <c r="P34" s="519" t="s">
        <v>271</v>
      </c>
      <c r="Q34" s="521"/>
      <c r="R34" s="6">
        <v>500000</v>
      </c>
      <c r="S34" s="525">
        <v>0</v>
      </c>
      <c r="T34" s="473">
        <f>IF(R34="","",R34-S34)</f>
        <v>500000</v>
      </c>
      <c r="U34" s="527" t="s">
        <v>356</v>
      </c>
      <c r="V34" s="528"/>
      <c r="X34" s="87"/>
    </row>
    <row r="35" spans="2:24" ht="18" customHeight="1" x14ac:dyDescent="0.3">
      <c r="B35" s="4"/>
      <c r="C35" s="8"/>
      <c r="D35" s="8"/>
      <c r="E35" s="5"/>
      <c r="F35" s="593"/>
      <c r="G35" s="594"/>
      <c r="H35" s="6"/>
      <c r="I35" s="3"/>
      <c r="J35" s="7">
        <v>45658</v>
      </c>
      <c r="K35" s="8" t="s">
        <v>452</v>
      </c>
      <c r="L35" s="8" t="s">
        <v>445</v>
      </c>
      <c r="M35" s="8" t="s">
        <v>466</v>
      </c>
      <c r="N35" s="8" t="s">
        <v>229</v>
      </c>
      <c r="O35" s="8" t="s">
        <v>7</v>
      </c>
      <c r="P35" s="519" t="s">
        <v>312</v>
      </c>
      <c r="Q35" s="521"/>
      <c r="R35" s="6">
        <v>250000</v>
      </c>
      <c r="S35" s="525">
        <v>0</v>
      </c>
      <c r="T35" s="473">
        <f t="shared" ref="T35:T53" si="15">IF(R35="","",R35-S35)</f>
        <v>250000</v>
      </c>
      <c r="U35" s="523"/>
      <c r="V35" s="524"/>
    </row>
    <row r="36" spans="2:24" ht="18" customHeight="1" x14ac:dyDescent="0.3">
      <c r="B36" s="7"/>
      <c r="C36" s="5"/>
      <c r="D36" s="5"/>
      <c r="E36" s="5"/>
      <c r="F36" s="593"/>
      <c r="G36" s="594"/>
      <c r="H36" s="6"/>
      <c r="I36" s="3"/>
      <c r="J36" s="7">
        <v>45658</v>
      </c>
      <c r="K36" s="8" t="s">
        <v>452</v>
      </c>
      <c r="L36" s="8" t="s">
        <v>445</v>
      </c>
      <c r="M36" s="8" t="s">
        <v>466</v>
      </c>
      <c r="N36" s="8" t="s">
        <v>229</v>
      </c>
      <c r="O36" s="8" t="s">
        <v>17</v>
      </c>
      <c r="P36" s="519" t="s">
        <v>234</v>
      </c>
      <c r="Q36" s="521"/>
      <c r="R36" s="6">
        <v>100000</v>
      </c>
      <c r="S36" s="525">
        <v>0</v>
      </c>
      <c r="T36" s="473">
        <f t="shared" si="15"/>
        <v>100000</v>
      </c>
      <c r="U36" s="523"/>
      <c r="V36" s="524"/>
    </row>
    <row r="37" spans="2:24" ht="18" customHeight="1" x14ac:dyDescent="0.3">
      <c r="B37" s="7"/>
      <c r="C37" s="5"/>
      <c r="D37" s="5"/>
      <c r="E37" s="5"/>
      <c r="F37" s="593"/>
      <c r="G37" s="594"/>
      <c r="H37" s="6"/>
      <c r="I37" s="3"/>
      <c r="J37" s="7">
        <v>45658</v>
      </c>
      <c r="K37" s="8" t="s">
        <v>452</v>
      </c>
      <c r="L37" s="8" t="s">
        <v>445</v>
      </c>
      <c r="M37" s="8" t="s">
        <v>466</v>
      </c>
      <c r="N37" s="8" t="s">
        <v>229</v>
      </c>
      <c r="O37" s="8" t="s">
        <v>22</v>
      </c>
      <c r="P37" s="519" t="s">
        <v>219</v>
      </c>
      <c r="Q37" s="521"/>
      <c r="R37" s="6">
        <v>1500000</v>
      </c>
      <c r="S37" s="525">
        <v>0</v>
      </c>
      <c r="T37" s="473">
        <f t="shared" si="15"/>
        <v>1500000</v>
      </c>
      <c r="U37" s="523"/>
      <c r="V37" s="524"/>
    </row>
    <row r="38" spans="2:24" ht="18" customHeight="1" x14ac:dyDescent="0.3">
      <c r="B38" s="7"/>
      <c r="C38" s="5"/>
      <c r="D38" s="5"/>
      <c r="E38" s="5"/>
      <c r="F38" s="593"/>
      <c r="G38" s="594"/>
      <c r="H38" s="6"/>
      <c r="I38" s="3"/>
      <c r="J38" s="7"/>
      <c r="K38" s="5"/>
      <c r="L38" s="8"/>
      <c r="M38" s="8"/>
      <c r="N38" s="8"/>
      <c r="O38" s="8"/>
      <c r="P38" s="519"/>
      <c r="Q38" s="521"/>
      <c r="R38" s="6"/>
      <c r="S38" s="525"/>
      <c r="T38" s="473" t="str">
        <f t="shared" si="15"/>
        <v/>
      </c>
      <c r="U38" s="523"/>
      <c r="V38" s="524"/>
    </row>
    <row r="39" spans="2:24" ht="18" customHeight="1" x14ac:dyDescent="0.3">
      <c r="B39" s="7"/>
      <c r="C39" s="5"/>
      <c r="D39" s="5"/>
      <c r="E39" s="5"/>
      <c r="F39" s="593"/>
      <c r="G39" s="594"/>
      <c r="H39" s="6"/>
      <c r="I39" s="3"/>
      <c r="J39" s="7"/>
      <c r="K39" s="5"/>
      <c r="L39" s="8"/>
      <c r="M39" s="8"/>
      <c r="N39" s="8"/>
      <c r="O39" s="8"/>
      <c r="P39" s="519"/>
      <c r="Q39" s="521"/>
      <c r="R39" s="6"/>
      <c r="S39" s="525"/>
      <c r="T39" s="473" t="str">
        <f t="shared" si="15"/>
        <v/>
      </c>
      <c r="U39" s="525"/>
      <c r="V39" s="526"/>
    </row>
    <row r="40" spans="2:24" ht="18" customHeight="1" x14ac:dyDescent="0.3">
      <c r="B40" s="7"/>
      <c r="C40" s="5"/>
      <c r="D40" s="5"/>
      <c r="E40" s="5"/>
      <c r="F40" s="593"/>
      <c r="G40" s="594"/>
      <c r="H40" s="6"/>
      <c r="I40" s="3"/>
      <c r="J40" s="7"/>
      <c r="K40" s="5"/>
      <c r="L40" s="8"/>
      <c r="M40" s="8"/>
      <c r="N40" s="8"/>
      <c r="O40" s="8"/>
      <c r="P40" s="519"/>
      <c r="Q40" s="521"/>
      <c r="R40" s="525"/>
      <c r="S40" s="525"/>
      <c r="T40" s="473" t="str">
        <f t="shared" si="15"/>
        <v/>
      </c>
      <c r="U40" s="523"/>
      <c r="V40" s="524"/>
    </row>
    <row r="41" spans="2:24" ht="18" customHeight="1" x14ac:dyDescent="0.3">
      <c r="B41" s="7"/>
      <c r="C41" s="5"/>
      <c r="D41" s="5"/>
      <c r="E41" s="5"/>
      <c r="F41" s="593"/>
      <c r="G41" s="594"/>
      <c r="H41" s="6"/>
      <c r="I41" s="3"/>
      <c r="J41" s="7"/>
      <c r="K41" s="5"/>
      <c r="L41" s="8"/>
      <c r="M41" s="8"/>
      <c r="N41" s="8"/>
      <c r="O41" s="8"/>
      <c r="P41" s="519"/>
      <c r="Q41" s="521"/>
      <c r="R41" s="525"/>
      <c r="S41" s="525"/>
      <c r="T41" s="473" t="str">
        <f t="shared" si="15"/>
        <v/>
      </c>
      <c r="U41" s="523"/>
      <c r="V41" s="524"/>
    </row>
    <row r="42" spans="2:24" ht="18" customHeight="1" x14ac:dyDescent="0.3">
      <c r="B42" s="7"/>
      <c r="C42" s="5"/>
      <c r="D42" s="5"/>
      <c r="E42" s="5"/>
      <c r="F42" s="593"/>
      <c r="G42" s="594"/>
      <c r="H42" s="6"/>
      <c r="I42" s="3"/>
      <c r="J42" s="7"/>
      <c r="K42" s="5"/>
      <c r="L42" s="8"/>
      <c r="M42" s="8"/>
      <c r="N42" s="8"/>
      <c r="O42" s="8"/>
      <c r="P42" s="519"/>
      <c r="Q42" s="521"/>
      <c r="R42" s="525"/>
      <c r="S42" s="525"/>
      <c r="T42" s="473" t="str">
        <f t="shared" si="15"/>
        <v/>
      </c>
      <c r="U42" s="525"/>
      <c r="V42" s="526"/>
    </row>
    <row r="43" spans="2:24" ht="18" customHeight="1" x14ac:dyDescent="0.3">
      <c r="B43" s="7"/>
      <c r="C43" s="5"/>
      <c r="D43" s="5"/>
      <c r="E43" s="5"/>
      <c r="F43" s="593"/>
      <c r="G43" s="594"/>
      <c r="H43" s="6"/>
      <c r="I43" s="3"/>
      <c r="J43" s="7"/>
      <c r="K43" s="5"/>
      <c r="L43" s="8"/>
      <c r="M43" s="8"/>
      <c r="N43" s="8"/>
      <c r="O43" s="8"/>
      <c r="P43" s="519"/>
      <c r="Q43" s="521"/>
      <c r="R43" s="525"/>
      <c r="S43" s="525"/>
      <c r="T43" s="473" t="str">
        <f t="shared" si="15"/>
        <v/>
      </c>
      <c r="U43" s="525"/>
      <c r="V43" s="526"/>
    </row>
    <row r="44" spans="2:24" ht="18" customHeight="1" x14ac:dyDescent="0.3">
      <c r="B44" s="7"/>
      <c r="C44" s="5"/>
      <c r="D44" s="5"/>
      <c r="E44" s="5"/>
      <c r="F44" s="593"/>
      <c r="G44" s="594"/>
      <c r="H44" s="6"/>
      <c r="I44" s="3"/>
      <c r="J44" s="7"/>
      <c r="K44" s="5"/>
      <c r="L44" s="8"/>
      <c r="M44" s="8"/>
      <c r="N44" s="8"/>
      <c r="O44" s="8"/>
      <c r="P44" s="519"/>
      <c r="Q44" s="521"/>
      <c r="R44" s="525"/>
      <c r="S44" s="525"/>
      <c r="T44" s="473" t="str">
        <f t="shared" si="15"/>
        <v/>
      </c>
      <c r="U44" s="525"/>
      <c r="V44" s="526"/>
    </row>
    <row r="45" spans="2:24" ht="18" customHeight="1" x14ac:dyDescent="0.3">
      <c r="B45" s="7"/>
      <c r="C45" s="5"/>
      <c r="D45" s="5"/>
      <c r="E45" s="5"/>
      <c r="F45" s="593"/>
      <c r="G45" s="594"/>
      <c r="H45" s="6"/>
      <c r="I45" s="3"/>
      <c r="J45" s="7"/>
      <c r="K45" s="5"/>
      <c r="L45" s="8"/>
      <c r="M45" s="8"/>
      <c r="N45" s="8"/>
      <c r="O45" s="8"/>
      <c r="P45" s="519"/>
      <c r="Q45" s="521"/>
      <c r="R45" s="398"/>
      <c r="S45" s="398"/>
      <c r="T45" s="473" t="str">
        <f t="shared" si="15"/>
        <v/>
      </c>
      <c r="U45" s="525"/>
      <c r="V45" s="526"/>
    </row>
    <row r="46" spans="2:24" ht="18" customHeight="1" x14ac:dyDescent="0.3">
      <c r="B46" s="7"/>
      <c r="C46" s="5"/>
      <c r="D46" s="5"/>
      <c r="E46" s="5"/>
      <c r="F46" s="593"/>
      <c r="G46" s="594"/>
      <c r="H46" s="6"/>
      <c r="I46" s="3"/>
      <c r="J46" s="4"/>
      <c r="K46" s="5"/>
      <c r="L46" s="8"/>
      <c r="M46" s="8"/>
      <c r="N46" s="8"/>
      <c r="O46" s="8"/>
      <c r="P46" s="519"/>
      <c r="Q46" s="521"/>
      <c r="R46" s="398"/>
      <c r="S46" s="398"/>
      <c r="T46" s="473" t="str">
        <f t="shared" si="15"/>
        <v/>
      </c>
      <c r="U46" s="525"/>
      <c r="V46" s="526"/>
    </row>
    <row r="47" spans="2:24" ht="18" customHeight="1" x14ac:dyDescent="0.3">
      <c r="B47" s="7"/>
      <c r="C47" s="5"/>
      <c r="D47" s="5"/>
      <c r="E47" s="5"/>
      <c r="F47" s="593"/>
      <c r="G47" s="594"/>
      <c r="H47" s="6"/>
      <c r="I47" s="3"/>
      <c r="J47" s="4"/>
      <c r="K47" s="5"/>
      <c r="L47" s="8"/>
      <c r="M47" s="8"/>
      <c r="N47" s="8"/>
      <c r="O47" s="8"/>
      <c r="P47" s="519"/>
      <c r="Q47" s="521"/>
      <c r="R47" s="398"/>
      <c r="S47" s="398"/>
      <c r="T47" s="473" t="str">
        <f t="shared" si="15"/>
        <v/>
      </c>
      <c r="U47" s="525"/>
      <c r="V47" s="526"/>
    </row>
    <row r="48" spans="2:24" ht="18" customHeight="1" x14ac:dyDescent="0.3">
      <c r="B48" s="7"/>
      <c r="C48" s="5"/>
      <c r="D48" s="5"/>
      <c r="E48" s="5"/>
      <c r="F48" s="593"/>
      <c r="G48" s="594"/>
      <c r="H48" s="6"/>
      <c r="I48" s="3"/>
      <c r="J48" s="4"/>
      <c r="K48" s="5"/>
      <c r="L48" s="8"/>
      <c r="M48" s="8"/>
      <c r="N48" s="8"/>
      <c r="O48" s="8"/>
      <c r="P48" s="519"/>
      <c r="Q48" s="521"/>
      <c r="R48" s="398"/>
      <c r="S48" s="398"/>
      <c r="T48" s="473" t="str">
        <f t="shared" si="15"/>
        <v/>
      </c>
      <c r="U48" s="525"/>
      <c r="V48" s="526"/>
    </row>
    <row r="49" spans="2:25" ht="18" customHeight="1" x14ac:dyDescent="0.3">
      <c r="B49" s="7"/>
      <c r="C49" s="5"/>
      <c r="D49" s="5"/>
      <c r="E49" s="5"/>
      <c r="F49" s="593"/>
      <c r="G49" s="594"/>
      <c r="H49" s="6"/>
      <c r="I49" s="3"/>
      <c r="J49" s="4"/>
      <c r="K49" s="5"/>
      <c r="L49" s="8"/>
      <c r="M49" s="8"/>
      <c r="N49" s="8"/>
      <c r="O49" s="8"/>
      <c r="P49" s="519"/>
      <c r="Q49" s="521"/>
      <c r="R49" s="398"/>
      <c r="S49" s="398"/>
      <c r="T49" s="473" t="str">
        <f t="shared" si="15"/>
        <v/>
      </c>
      <c r="U49" s="525"/>
      <c r="V49" s="526"/>
    </row>
    <row r="50" spans="2:25" ht="18" customHeight="1" x14ac:dyDescent="0.3">
      <c r="B50" s="7"/>
      <c r="C50" s="5"/>
      <c r="D50" s="5"/>
      <c r="E50" s="5"/>
      <c r="F50" s="593"/>
      <c r="G50" s="594"/>
      <c r="H50" s="6"/>
      <c r="I50" s="3"/>
      <c r="J50" s="4"/>
      <c r="K50" s="5"/>
      <c r="L50" s="8"/>
      <c r="M50" s="8"/>
      <c r="N50" s="8"/>
      <c r="O50" s="8"/>
      <c r="P50" s="519"/>
      <c r="Q50" s="521"/>
      <c r="R50" s="398"/>
      <c r="S50" s="398"/>
      <c r="T50" s="473" t="str">
        <f t="shared" si="15"/>
        <v/>
      </c>
      <c r="U50" s="525"/>
      <c r="V50" s="526"/>
    </row>
    <row r="51" spans="2:25" ht="18" customHeight="1" x14ac:dyDescent="0.3">
      <c r="B51" s="7"/>
      <c r="C51" s="5"/>
      <c r="D51" s="5"/>
      <c r="E51" s="5"/>
      <c r="F51" s="593"/>
      <c r="G51" s="594"/>
      <c r="H51" s="6"/>
      <c r="I51" s="3"/>
      <c r="J51" s="4"/>
      <c r="K51" s="5"/>
      <c r="L51" s="8"/>
      <c r="M51" s="8"/>
      <c r="N51" s="8"/>
      <c r="O51" s="8"/>
      <c r="P51" s="519"/>
      <c r="Q51" s="521"/>
      <c r="R51" s="398"/>
      <c r="S51" s="398"/>
      <c r="T51" s="473" t="str">
        <f t="shared" si="15"/>
        <v/>
      </c>
      <c r="U51" s="525"/>
      <c r="V51" s="526"/>
    </row>
    <row r="52" spans="2:25" ht="18" customHeight="1" x14ac:dyDescent="0.3">
      <c r="B52" s="7"/>
      <c r="C52" s="5"/>
      <c r="D52" s="5"/>
      <c r="E52" s="5"/>
      <c r="F52" s="593"/>
      <c r="G52" s="594"/>
      <c r="H52" s="6"/>
      <c r="I52" s="3"/>
      <c r="J52" s="4"/>
      <c r="K52" s="5"/>
      <c r="L52" s="8"/>
      <c r="M52" s="8"/>
      <c r="N52" s="8"/>
      <c r="O52" s="8"/>
      <c r="P52" s="519"/>
      <c r="Q52" s="521"/>
      <c r="R52" s="398"/>
      <c r="S52" s="398"/>
      <c r="T52" s="473" t="str">
        <f t="shared" si="15"/>
        <v/>
      </c>
      <c r="U52" s="525"/>
      <c r="V52" s="526"/>
    </row>
    <row r="53" spans="2:25" ht="18" customHeight="1" x14ac:dyDescent="0.3">
      <c r="B53" s="7"/>
      <c r="C53" s="5"/>
      <c r="D53" s="5"/>
      <c r="E53" s="5"/>
      <c r="F53" s="593"/>
      <c r="G53" s="594"/>
      <c r="H53" s="6"/>
      <c r="I53" s="3"/>
      <c r="J53" s="4"/>
      <c r="K53" s="5"/>
      <c r="L53" s="8"/>
      <c r="M53" s="8"/>
      <c r="N53" s="8"/>
      <c r="O53" s="8"/>
      <c r="P53" s="519"/>
      <c r="Q53" s="521"/>
      <c r="R53" s="398"/>
      <c r="S53" s="398"/>
      <c r="T53" s="473" t="str">
        <f t="shared" si="15"/>
        <v/>
      </c>
      <c r="U53" s="525"/>
      <c r="V53" s="526"/>
    </row>
    <row r="54" spans="2:25" ht="18" customHeight="1" x14ac:dyDescent="0.3">
      <c r="B54" s="44"/>
      <c r="C54" s="67"/>
      <c r="D54" s="67"/>
      <c r="E54" s="67"/>
      <c r="F54" s="67"/>
      <c r="G54" s="67"/>
      <c r="H54" s="65"/>
      <c r="I54" s="145"/>
      <c r="J54" s="3"/>
      <c r="K54" s="64"/>
      <c r="L54" s="47"/>
      <c r="M54" s="47"/>
      <c r="N54" s="47"/>
      <c r="O54" s="47"/>
      <c r="P54" s="47"/>
      <c r="Q54" s="47"/>
      <c r="R54" s="47"/>
      <c r="S54" s="47"/>
      <c r="T54" s="65"/>
      <c r="U54" s="66"/>
      <c r="V54" s="359"/>
    </row>
    <row r="55" spans="2:25" ht="19.899999999999999" customHeight="1" x14ac:dyDescent="0.3">
      <c r="B55" s="44"/>
      <c r="C55" s="47"/>
      <c r="D55" s="47"/>
      <c r="E55" s="47"/>
      <c r="F55" s="47"/>
      <c r="G55" s="47"/>
      <c r="H55" s="84"/>
      <c r="I55" s="145"/>
      <c r="K55" s="86" t="s">
        <v>197</v>
      </c>
      <c r="L55" s="72">
        <f>예산!D40</f>
        <v>0</v>
      </c>
      <c r="O55" s="47"/>
      <c r="P55" s="47"/>
      <c r="Q55" s="47"/>
      <c r="R55" s="47"/>
      <c r="S55" s="47"/>
      <c r="T55" s="363"/>
      <c r="U55" s="374"/>
      <c r="V55" s="360"/>
    </row>
    <row r="56" spans="2:25" ht="19.899999999999999" customHeight="1" thickBot="1" x14ac:dyDescent="0.35">
      <c r="B56" s="73" t="s">
        <v>140</v>
      </c>
      <c r="C56" s="71">
        <f>SUM($H$58:$H$77)</f>
        <v>15000</v>
      </c>
      <c r="D56" s="69"/>
      <c r="E56" s="69"/>
      <c r="F56" s="69"/>
      <c r="G56" s="69"/>
      <c r="H56" s="70"/>
      <c r="I56" s="146"/>
      <c r="J56" s="74" t="s">
        <v>248</v>
      </c>
      <c r="K56" s="86" t="s">
        <v>198</v>
      </c>
      <c r="L56" s="85">
        <f>SUM($T$58:$T$320)</f>
        <v>275100</v>
      </c>
      <c r="O56" s="52"/>
      <c r="P56" s="52"/>
      <c r="Q56" s="52"/>
      <c r="R56" s="52"/>
      <c r="S56" s="52"/>
      <c r="T56" s="363"/>
      <c r="U56" s="374"/>
      <c r="V56" s="324"/>
    </row>
    <row r="57" spans="2:25" ht="19.899999999999999" customHeight="1" thickBot="1" x14ac:dyDescent="0.35">
      <c r="B57" s="518" t="s">
        <v>0</v>
      </c>
      <c r="C57" s="36" t="s">
        <v>470</v>
      </c>
      <c r="D57" s="36" t="s">
        <v>8</v>
      </c>
      <c r="E57" s="36" t="s">
        <v>26</v>
      </c>
      <c r="F57" s="588" t="s">
        <v>27</v>
      </c>
      <c r="G57" s="589"/>
      <c r="H57" s="517" t="s">
        <v>2</v>
      </c>
      <c r="I57" s="38"/>
      <c r="J57" s="518" t="s">
        <v>0</v>
      </c>
      <c r="K57" s="36" t="s">
        <v>470</v>
      </c>
      <c r="L57" s="36" t="s">
        <v>472</v>
      </c>
      <c r="M57" s="36" t="s">
        <v>473</v>
      </c>
      <c r="N57" s="36" t="s">
        <v>8</v>
      </c>
      <c r="O57" s="36" t="s">
        <v>26</v>
      </c>
      <c r="P57" s="435" t="s">
        <v>186</v>
      </c>
      <c r="Q57" s="436"/>
      <c r="R57" s="36" t="s">
        <v>236</v>
      </c>
      <c r="S57" s="36" t="s">
        <v>247</v>
      </c>
      <c r="T57" s="36" t="s">
        <v>235</v>
      </c>
      <c r="U57" s="36" t="s">
        <v>195</v>
      </c>
      <c r="V57" s="517" t="s">
        <v>54</v>
      </c>
    </row>
    <row r="58" spans="2:25" ht="18" customHeight="1" x14ac:dyDescent="0.3">
      <c r="B58" s="7">
        <v>45658</v>
      </c>
      <c r="C58" s="8" t="s">
        <v>452</v>
      </c>
      <c r="D58" s="8" t="s">
        <v>241</v>
      </c>
      <c r="E58" s="8" t="s">
        <v>243</v>
      </c>
      <c r="F58" s="595" t="s">
        <v>61</v>
      </c>
      <c r="G58" s="522"/>
      <c r="H58" s="9">
        <v>5000</v>
      </c>
      <c r="I58" s="3"/>
      <c r="J58" s="7">
        <v>45658</v>
      </c>
      <c r="K58" s="8" t="s">
        <v>452</v>
      </c>
      <c r="L58" s="8" t="s">
        <v>445</v>
      </c>
      <c r="M58" s="8" t="s">
        <v>466</v>
      </c>
      <c r="N58" s="8" t="s">
        <v>305</v>
      </c>
      <c r="O58" s="8" t="s">
        <v>309</v>
      </c>
      <c r="P58" s="519"/>
      <c r="Q58" s="521"/>
      <c r="R58" s="40">
        <v>200000</v>
      </c>
      <c r="S58" s="396">
        <v>0</v>
      </c>
      <c r="T58" s="190">
        <f>IF(R58="","",R58-S58)</f>
        <v>200000</v>
      </c>
      <c r="U58" s="190">
        <f>IF(T58="","",L55-T58)</f>
        <v>-200000</v>
      </c>
      <c r="V58" s="361" t="s">
        <v>308</v>
      </c>
      <c r="X58" s="514"/>
    </row>
    <row r="59" spans="2:25" ht="18" customHeight="1" x14ac:dyDescent="0.3">
      <c r="B59" s="7">
        <v>45660</v>
      </c>
      <c r="C59" s="8" t="s">
        <v>452</v>
      </c>
      <c r="D59" s="8" t="s">
        <v>241</v>
      </c>
      <c r="E59" s="8" t="s">
        <v>278</v>
      </c>
      <c r="F59" s="592" t="s">
        <v>311</v>
      </c>
      <c r="G59" s="521"/>
      <c r="H59" s="9">
        <v>10000</v>
      </c>
      <c r="I59" s="3"/>
      <c r="J59" s="7">
        <v>45658</v>
      </c>
      <c r="K59" s="8" t="s">
        <v>452</v>
      </c>
      <c r="L59" s="8" t="s">
        <v>445</v>
      </c>
      <c r="M59" s="8" t="s">
        <v>466</v>
      </c>
      <c r="N59" s="8" t="s">
        <v>305</v>
      </c>
      <c r="O59" s="8" t="s">
        <v>309</v>
      </c>
      <c r="P59" s="519"/>
      <c r="Q59" s="521"/>
      <c r="R59" s="40">
        <v>12000</v>
      </c>
      <c r="S59" s="396">
        <v>0</v>
      </c>
      <c r="T59" s="190">
        <f t="shared" ref="T59:T77" si="16">IF(R59="","",R59-S59)</f>
        <v>12000</v>
      </c>
      <c r="U59" s="190">
        <f>IF(T59="","",U58-T59)</f>
        <v>-212000</v>
      </c>
      <c r="V59" s="361" t="s">
        <v>310</v>
      </c>
      <c r="X59" s="513"/>
    </row>
    <row r="60" spans="2:25" ht="18" customHeight="1" x14ac:dyDescent="0.3">
      <c r="B60" s="7"/>
      <c r="C60" s="8"/>
      <c r="D60" s="8"/>
      <c r="E60" s="8"/>
      <c r="F60" s="520"/>
      <c r="G60" s="521"/>
      <c r="H60" s="6"/>
      <c r="I60" s="3"/>
      <c r="J60" s="7"/>
      <c r="K60" s="8"/>
      <c r="L60" s="8"/>
      <c r="M60" s="8"/>
      <c r="N60" s="8"/>
      <c r="O60" s="8"/>
      <c r="P60" s="519"/>
      <c r="Q60" s="521"/>
      <c r="R60" s="40"/>
      <c r="S60" s="396"/>
      <c r="T60" s="190"/>
      <c r="U60" s="190"/>
      <c r="V60" s="362"/>
      <c r="X60" s="513"/>
    </row>
    <row r="61" spans="2:25" ht="18" customHeight="1" x14ac:dyDescent="0.3">
      <c r="B61" s="7"/>
      <c r="C61" s="8"/>
      <c r="D61" s="8"/>
      <c r="E61" s="8"/>
      <c r="F61" s="520"/>
      <c r="G61" s="521"/>
      <c r="H61" s="6"/>
      <c r="I61" s="3"/>
      <c r="J61" s="7"/>
      <c r="K61" s="8"/>
      <c r="L61" s="8"/>
      <c r="M61" s="8"/>
      <c r="N61" s="8"/>
      <c r="O61" s="8"/>
      <c r="P61" s="519"/>
      <c r="Q61" s="521"/>
      <c r="R61" s="40"/>
      <c r="S61" s="396"/>
      <c r="T61" s="190"/>
      <c r="U61" s="190"/>
      <c r="V61" s="361"/>
    </row>
    <row r="62" spans="2:25" ht="18" customHeight="1" x14ac:dyDescent="0.3">
      <c r="B62" s="7"/>
      <c r="C62" s="8"/>
      <c r="D62" s="8"/>
      <c r="E62" s="8"/>
      <c r="F62" s="520"/>
      <c r="G62" s="521"/>
      <c r="H62" s="6"/>
      <c r="I62" s="3"/>
      <c r="J62" s="7"/>
      <c r="K62" s="8"/>
      <c r="L62" s="8"/>
      <c r="M62" s="8"/>
      <c r="N62" s="8"/>
      <c r="O62" s="8"/>
      <c r="P62" s="519"/>
      <c r="Q62" s="521"/>
      <c r="R62" s="40"/>
      <c r="S62" s="396"/>
      <c r="T62" s="190"/>
      <c r="U62" s="190"/>
      <c r="V62" s="362"/>
      <c r="Y62" s="96"/>
    </row>
    <row r="63" spans="2:25" ht="18" customHeight="1" x14ac:dyDescent="0.3">
      <c r="B63" s="4"/>
      <c r="C63" s="8"/>
      <c r="D63" s="8"/>
      <c r="E63" s="8"/>
      <c r="F63" s="520"/>
      <c r="G63" s="521"/>
      <c r="H63" s="6"/>
      <c r="I63" s="3"/>
      <c r="J63" s="7"/>
      <c r="K63" s="8"/>
      <c r="L63" s="8"/>
      <c r="M63" s="8"/>
      <c r="N63" s="8"/>
      <c r="O63" s="8"/>
      <c r="P63" s="519"/>
      <c r="Q63" s="521"/>
      <c r="R63" s="40"/>
      <c r="S63" s="396"/>
      <c r="T63" s="190"/>
      <c r="U63" s="190"/>
      <c r="V63" s="361"/>
    </row>
    <row r="64" spans="2:25" ht="18" customHeight="1" x14ac:dyDescent="0.3">
      <c r="B64" s="4"/>
      <c r="C64" s="8"/>
      <c r="D64" s="8"/>
      <c r="E64" s="8"/>
      <c r="F64" s="520"/>
      <c r="G64" s="521"/>
      <c r="H64" s="6"/>
      <c r="I64" s="3"/>
      <c r="J64" s="7"/>
      <c r="K64" s="8"/>
      <c r="L64" s="8"/>
      <c r="M64" s="8"/>
      <c r="N64" s="8"/>
      <c r="O64" s="8"/>
      <c r="P64" s="519"/>
      <c r="Q64" s="521"/>
      <c r="R64" s="40"/>
      <c r="S64" s="396"/>
      <c r="T64" s="190"/>
      <c r="U64" s="190"/>
      <c r="V64" s="362"/>
    </row>
    <row r="65" spans="2:22" ht="18" customHeight="1" x14ac:dyDescent="0.3">
      <c r="B65" s="4"/>
      <c r="C65" s="8"/>
      <c r="D65" s="8"/>
      <c r="E65" s="8"/>
      <c r="F65" s="520"/>
      <c r="G65" s="521"/>
      <c r="H65" s="6"/>
      <c r="I65" s="3"/>
      <c r="J65" s="7"/>
      <c r="K65" s="8"/>
      <c r="L65" s="8"/>
      <c r="M65" s="8"/>
      <c r="N65" s="8"/>
      <c r="O65" s="8"/>
      <c r="P65" s="519"/>
      <c r="Q65" s="521"/>
      <c r="R65" s="40"/>
      <c r="S65" s="396"/>
      <c r="T65" s="190" t="str">
        <f t="shared" si="16"/>
        <v/>
      </c>
      <c r="U65" s="190" t="str">
        <f t="shared" ref="U65:U77" si="17">IF(T65="","",U64-T65)</f>
        <v/>
      </c>
      <c r="V65" s="362"/>
    </row>
    <row r="66" spans="2:22" ht="18" customHeight="1" x14ac:dyDescent="0.3">
      <c r="B66" s="4"/>
      <c r="C66" s="8"/>
      <c r="D66" s="8"/>
      <c r="E66" s="8"/>
      <c r="F66" s="520"/>
      <c r="G66" s="521"/>
      <c r="H66" s="6"/>
      <c r="I66" s="3"/>
      <c r="J66" s="7"/>
      <c r="K66" s="8"/>
      <c r="L66" s="8"/>
      <c r="M66" s="8"/>
      <c r="N66" s="8"/>
      <c r="O66" s="8"/>
      <c r="P66" s="519"/>
      <c r="Q66" s="521"/>
      <c r="R66" s="41"/>
      <c r="S66" s="398"/>
      <c r="T66" s="190" t="str">
        <f t="shared" si="16"/>
        <v/>
      </c>
      <c r="U66" s="195" t="str">
        <f t="shared" si="17"/>
        <v/>
      </c>
      <c r="V66" s="362"/>
    </row>
    <row r="67" spans="2:22" ht="18" customHeight="1" x14ac:dyDescent="0.3">
      <c r="B67" s="4"/>
      <c r="C67" s="8"/>
      <c r="D67" s="8"/>
      <c r="E67" s="8"/>
      <c r="F67" s="520"/>
      <c r="G67" s="521"/>
      <c r="H67" s="6"/>
      <c r="I67" s="3"/>
      <c r="J67" s="7"/>
      <c r="K67" s="8"/>
      <c r="L67" s="8"/>
      <c r="M67" s="8"/>
      <c r="N67" s="8"/>
      <c r="O67" s="8"/>
      <c r="P67" s="519"/>
      <c r="Q67" s="521"/>
      <c r="R67" s="40"/>
      <c r="S67" s="396"/>
      <c r="T67" s="190" t="str">
        <f t="shared" si="16"/>
        <v/>
      </c>
      <c r="U67" s="190" t="str">
        <f t="shared" si="17"/>
        <v/>
      </c>
      <c r="V67" s="362"/>
    </row>
    <row r="68" spans="2:22" ht="18" customHeight="1" x14ac:dyDescent="0.3">
      <c r="B68" s="4"/>
      <c r="C68" s="8"/>
      <c r="D68" s="8"/>
      <c r="E68" s="8"/>
      <c r="F68" s="520"/>
      <c r="G68" s="521"/>
      <c r="H68" s="6"/>
      <c r="I68" s="3"/>
      <c r="J68" s="7"/>
      <c r="K68" s="8"/>
      <c r="L68" s="8"/>
      <c r="M68" s="8"/>
      <c r="N68" s="8"/>
      <c r="O68" s="8"/>
      <c r="P68" s="519"/>
      <c r="Q68" s="521"/>
      <c r="R68" s="40"/>
      <c r="S68" s="396"/>
      <c r="T68" s="190" t="str">
        <f t="shared" si="16"/>
        <v/>
      </c>
      <c r="U68" s="190" t="str">
        <f t="shared" si="17"/>
        <v/>
      </c>
      <c r="V68" s="361"/>
    </row>
    <row r="69" spans="2:22" ht="18" customHeight="1" x14ac:dyDescent="0.3">
      <c r="B69" s="4"/>
      <c r="C69" s="8"/>
      <c r="D69" s="8"/>
      <c r="E69" s="8"/>
      <c r="F69" s="520"/>
      <c r="G69" s="521"/>
      <c r="H69" s="6"/>
      <c r="I69" s="3"/>
      <c r="J69" s="7"/>
      <c r="K69" s="8"/>
      <c r="L69" s="8"/>
      <c r="M69" s="8"/>
      <c r="N69" s="8"/>
      <c r="O69" s="8"/>
      <c r="P69" s="519"/>
      <c r="Q69" s="521"/>
      <c r="R69" s="40"/>
      <c r="S69" s="396"/>
      <c r="T69" s="190" t="str">
        <f t="shared" si="16"/>
        <v/>
      </c>
      <c r="U69" s="190" t="str">
        <f t="shared" si="17"/>
        <v/>
      </c>
      <c r="V69" s="362"/>
    </row>
    <row r="70" spans="2:22" ht="18" customHeight="1" x14ac:dyDescent="0.3">
      <c r="B70" s="4"/>
      <c r="C70" s="8"/>
      <c r="D70" s="8"/>
      <c r="E70" s="8"/>
      <c r="F70" s="520"/>
      <c r="G70" s="521"/>
      <c r="H70" s="6"/>
      <c r="I70" s="3"/>
      <c r="J70" s="7"/>
      <c r="K70" s="8"/>
      <c r="L70" s="8"/>
      <c r="M70" s="8"/>
      <c r="N70" s="8"/>
      <c r="O70" s="8"/>
      <c r="P70" s="519"/>
      <c r="Q70" s="521"/>
      <c r="R70" s="396"/>
      <c r="S70" s="396"/>
      <c r="T70" s="190" t="str">
        <f t="shared" si="16"/>
        <v/>
      </c>
      <c r="U70" s="190" t="str">
        <f t="shared" si="17"/>
        <v/>
      </c>
      <c r="V70" s="362"/>
    </row>
    <row r="71" spans="2:22" ht="18" customHeight="1" x14ac:dyDescent="0.3">
      <c r="B71" s="4"/>
      <c r="C71" s="8"/>
      <c r="D71" s="8"/>
      <c r="E71" s="5"/>
      <c r="F71" s="520"/>
      <c r="G71" s="521"/>
      <c r="H71" s="6"/>
      <c r="I71" s="3"/>
      <c r="J71" s="7"/>
      <c r="K71" s="8"/>
      <c r="L71" s="8"/>
      <c r="M71" s="8"/>
      <c r="N71" s="8"/>
      <c r="O71" s="8"/>
      <c r="P71" s="519"/>
      <c r="Q71" s="521"/>
      <c r="R71" s="396"/>
      <c r="S71" s="396"/>
      <c r="T71" s="190" t="str">
        <f t="shared" si="16"/>
        <v/>
      </c>
      <c r="U71" s="190" t="str">
        <f t="shared" si="17"/>
        <v/>
      </c>
      <c r="V71" s="362"/>
    </row>
    <row r="72" spans="2:22" ht="18" customHeight="1" x14ac:dyDescent="0.3">
      <c r="B72" s="4"/>
      <c r="C72" s="8"/>
      <c r="D72" s="8"/>
      <c r="E72" s="5"/>
      <c r="F72" s="520"/>
      <c r="G72" s="521"/>
      <c r="H72" s="6"/>
      <c r="I72" s="3"/>
      <c r="J72" s="7"/>
      <c r="K72" s="8"/>
      <c r="L72" s="8"/>
      <c r="M72" s="8"/>
      <c r="N72" s="8"/>
      <c r="O72" s="8"/>
      <c r="P72" s="519"/>
      <c r="Q72" s="521"/>
      <c r="R72" s="396"/>
      <c r="S72" s="396"/>
      <c r="T72" s="190" t="str">
        <f t="shared" si="16"/>
        <v/>
      </c>
      <c r="U72" s="190" t="str">
        <f t="shared" si="17"/>
        <v/>
      </c>
      <c r="V72" s="362"/>
    </row>
    <row r="73" spans="2:22" ht="18" customHeight="1" x14ac:dyDescent="0.3">
      <c r="B73" s="4"/>
      <c r="C73" s="8"/>
      <c r="D73" s="8"/>
      <c r="E73" s="8"/>
      <c r="F73" s="520"/>
      <c r="G73" s="521"/>
      <c r="H73" s="6"/>
      <c r="I73" s="3"/>
      <c r="J73" s="7"/>
      <c r="K73" s="8"/>
      <c r="L73" s="8"/>
      <c r="M73" s="8"/>
      <c r="N73" s="8"/>
      <c r="O73" s="8"/>
      <c r="P73" s="519"/>
      <c r="Q73" s="521"/>
      <c r="R73" s="396"/>
      <c r="S73" s="396"/>
      <c r="T73" s="190" t="str">
        <f t="shared" si="16"/>
        <v/>
      </c>
      <c r="U73" s="190" t="str">
        <f t="shared" si="17"/>
        <v/>
      </c>
      <c r="V73" s="362"/>
    </row>
    <row r="74" spans="2:22" ht="18" customHeight="1" x14ac:dyDescent="0.3">
      <c r="B74" s="4"/>
      <c r="C74" s="8"/>
      <c r="D74" s="8"/>
      <c r="E74" s="8"/>
      <c r="F74" s="520"/>
      <c r="G74" s="521"/>
      <c r="H74" s="6"/>
      <c r="I74" s="3"/>
      <c r="J74" s="7"/>
      <c r="K74" s="8"/>
      <c r="L74" s="8"/>
      <c r="M74" s="8"/>
      <c r="N74" s="8"/>
      <c r="O74" s="8"/>
      <c r="P74" s="519"/>
      <c r="Q74" s="521"/>
      <c r="R74" s="396"/>
      <c r="S74" s="396"/>
      <c r="T74" s="190" t="str">
        <f t="shared" si="16"/>
        <v/>
      </c>
      <c r="U74" s="190" t="str">
        <f t="shared" si="17"/>
        <v/>
      </c>
      <c r="V74" s="362"/>
    </row>
    <row r="75" spans="2:22" ht="18" customHeight="1" x14ac:dyDescent="0.3">
      <c r="B75" s="4"/>
      <c r="C75" s="8"/>
      <c r="D75" s="8"/>
      <c r="E75" s="5"/>
      <c r="F75" s="520"/>
      <c r="G75" s="521"/>
      <c r="H75" s="6"/>
      <c r="I75" s="3"/>
      <c r="J75" s="7"/>
      <c r="K75" s="8"/>
      <c r="L75" s="8"/>
      <c r="M75" s="8"/>
      <c r="N75" s="8"/>
      <c r="O75" s="8"/>
      <c r="P75" s="519"/>
      <c r="Q75" s="521"/>
      <c r="R75" s="396"/>
      <c r="S75" s="396"/>
      <c r="T75" s="190" t="str">
        <f t="shared" si="16"/>
        <v/>
      </c>
      <c r="U75" s="190" t="str">
        <f t="shared" si="17"/>
        <v/>
      </c>
      <c r="V75" s="362"/>
    </row>
    <row r="76" spans="2:22" ht="18" customHeight="1" x14ac:dyDescent="0.3">
      <c r="B76" s="4"/>
      <c r="C76" s="8"/>
      <c r="D76" s="8"/>
      <c r="E76" s="5"/>
      <c r="F76" s="520"/>
      <c r="G76" s="521"/>
      <c r="H76" s="6"/>
      <c r="I76" s="3"/>
      <c r="J76" s="7"/>
      <c r="K76" s="8"/>
      <c r="L76" s="8"/>
      <c r="M76" s="8"/>
      <c r="N76" s="8"/>
      <c r="O76" s="8"/>
      <c r="P76" s="519"/>
      <c r="Q76" s="521"/>
      <c r="R76" s="396"/>
      <c r="S76" s="396"/>
      <c r="T76" s="190" t="str">
        <f t="shared" si="16"/>
        <v/>
      </c>
      <c r="U76" s="190" t="str">
        <f t="shared" si="17"/>
        <v/>
      </c>
      <c r="V76" s="362"/>
    </row>
    <row r="77" spans="2:22" ht="18" customHeight="1" x14ac:dyDescent="0.3">
      <c r="B77" s="4"/>
      <c r="C77" s="8"/>
      <c r="D77" s="8"/>
      <c r="E77" s="5"/>
      <c r="F77" s="520"/>
      <c r="G77" s="521"/>
      <c r="H77" s="6"/>
      <c r="I77" s="3"/>
      <c r="J77" s="7"/>
      <c r="K77" s="8"/>
      <c r="L77" s="8"/>
      <c r="M77" s="8"/>
      <c r="N77" s="8"/>
      <c r="O77" s="8"/>
      <c r="P77" s="519"/>
      <c r="Q77" s="521"/>
      <c r="R77" s="396"/>
      <c r="S77" s="396"/>
      <c r="T77" s="190" t="str">
        <f t="shared" si="16"/>
        <v/>
      </c>
      <c r="U77" s="190" t="str">
        <f t="shared" si="17"/>
        <v/>
      </c>
      <c r="V77" s="362"/>
    </row>
    <row r="78" spans="2:22" ht="18" customHeight="1" x14ac:dyDescent="0.3">
      <c r="I78" s="3"/>
      <c r="J78" s="64"/>
      <c r="K78" s="67"/>
      <c r="L78" s="67"/>
      <c r="M78" s="67"/>
      <c r="N78" s="67"/>
      <c r="O78" s="65"/>
      <c r="P78" s="65"/>
      <c r="Q78" s="65"/>
      <c r="R78" s="65"/>
      <c r="S78" s="421"/>
      <c r="T78" s="422"/>
      <c r="U78" s="422" t="str">
        <f>IF(T78="","",U77-T78)</f>
        <v/>
      </c>
      <c r="V78" s="423"/>
    </row>
    <row r="79" spans="2:22" ht="18" customHeight="1" thickBot="1" x14ac:dyDescent="0.35">
      <c r="I79" s="3"/>
      <c r="J79" s="74" t="s">
        <v>249</v>
      </c>
      <c r="M79" s="47"/>
      <c r="N79" s="47"/>
      <c r="O79" s="84"/>
      <c r="P79" s="84"/>
      <c r="Q79" s="84"/>
      <c r="R79" s="84"/>
      <c r="S79" s="399"/>
      <c r="T79" s="86" t="s">
        <v>196</v>
      </c>
      <c r="U79" s="346">
        <f>L55-SUM(R58:R77)</f>
        <v>-212000</v>
      </c>
      <c r="V79" s="424"/>
    </row>
    <row r="80" spans="2:22" ht="18" customHeight="1" thickBot="1" x14ac:dyDescent="0.35">
      <c r="I80" s="3"/>
      <c r="J80" s="518" t="s">
        <v>0</v>
      </c>
      <c r="K80" s="36" t="s">
        <v>9</v>
      </c>
      <c r="L80" s="36" t="s">
        <v>8</v>
      </c>
      <c r="M80" s="36" t="s">
        <v>26</v>
      </c>
      <c r="N80" s="435" t="s">
        <v>186</v>
      </c>
      <c r="O80" s="436"/>
      <c r="P80" s="436"/>
      <c r="Q80" s="436"/>
      <c r="R80" s="36" t="s">
        <v>236</v>
      </c>
      <c r="S80" s="36" t="s">
        <v>247</v>
      </c>
      <c r="T80" s="36" t="s">
        <v>235</v>
      </c>
      <c r="U80" s="36" t="s">
        <v>195</v>
      </c>
      <c r="V80" s="517" t="s">
        <v>54</v>
      </c>
    </row>
    <row r="81" spans="9:22" ht="18" customHeight="1" x14ac:dyDescent="0.3">
      <c r="I81" s="3"/>
      <c r="J81" s="7">
        <v>45658</v>
      </c>
      <c r="K81" s="8" t="s">
        <v>452</v>
      </c>
      <c r="L81" s="8" t="s">
        <v>445</v>
      </c>
      <c r="M81" s="8" t="s">
        <v>466</v>
      </c>
      <c r="N81" s="8" t="s">
        <v>263</v>
      </c>
      <c r="O81" s="8" t="s">
        <v>474</v>
      </c>
      <c r="P81" s="519"/>
      <c r="Q81" s="521"/>
      <c r="R81" s="40">
        <v>15000</v>
      </c>
      <c r="S81" s="396">
        <v>5000</v>
      </c>
      <c r="T81" s="190">
        <f>IF(R81="","",R81-S81)</f>
        <v>10000</v>
      </c>
      <c r="U81" s="190">
        <f>IF(T81="","",U79-T81)</f>
        <v>-222000</v>
      </c>
      <c r="V81" s="362" t="s">
        <v>307</v>
      </c>
    </row>
    <row r="82" spans="9:22" ht="18" customHeight="1" x14ac:dyDescent="0.3">
      <c r="I82" s="3"/>
      <c r="J82" s="7">
        <v>45658</v>
      </c>
      <c r="K82" s="8" t="s">
        <v>452</v>
      </c>
      <c r="L82" s="8" t="s">
        <v>445</v>
      </c>
      <c r="M82" s="8" t="s">
        <v>466</v>
      </c>
      <c r="N82" s="8" t="s">
        <v>263</v>
      </c>
      <c r="O82" s="8" t="s">
        <v>474</v>
      </c>
      <c r="P82" s="519"/>
      <c r="Q82" s="521"/>
      <c r="R82" s="40">
        <v>3800</v>
      </c>
      <c r="S82" s="396">
        <v>100</v>
      </c>
      <c r="T82" s="190">
        <f>IF(R82="","",R82-S82)</f>
        <v>3700</v>
      </c>
      <c r="U82" s="190">
        <f>IF(T82="","",U81-T82)</f>
        <v>-225700</v>
      </c>
      <c r="V82" s="362" t="s">
        <v>306</v>
      </c>
    </row>
    <row r="83" spans="9:22" ht="18" customHeight="1" x14ac:dyDescent="0.3">
      <c r="I83" s="3"/>
      <c r="J83" s="7">
        <v>45673</v>
      </c>
      <c r="K83" s="8" t="s">
        <v>452</v>
      </c>
      <c r="L83" s="8" t="s">
        <v>445</v>
      </c>
      <c r="M83" s="8" t="s">
        <v>466</v>
      </c>
      <c r="N83" s="8" t="s">
        <v>263</v>
      </c>
      <c r="O83" s="8" t="s">
        <v>474</v>
      </c>
      <c r="P83" s="519"/>
      <c r="Q83" s="521"/>
      <c r="R83" s="396">
        <v>52000</v>
      </c>
      <c r="S83" s="396">
        <f>R83*0.05</f>
        <v>2600</v>
      </c>
      <c r="T83" s="190">
        <f t="shared" ref="T83:T165" si="18">IF(R83="","",R83-S83)</f>
        <v>49400</v>
      </c>
      <c r="U83" s="190">
        <f t="shared" ref="U83:U146" si="19">IF(T83="","",U82-T83)</f>
        <v>-275100</v>
      </c>
      <c r="V83" s="362" t="s">
        <v>313</v>
      </c>
    </row>
    <row r="84" spans="9:22" ht="18" customHeight="1" x14ac:dyDescent="0.3">
      <c r="I84" s="3"/>
      <c r="J84" s="7"/>
      <c r="K84" s="8"/>
      <c r="L84" s="8"/>
      <c r="M84" s="8"/>
      <c r="N84" s="8"/>
      <c r="O84" s="8"/>
      <c r="P84" s="519"/>
      <c r="Q84" s="521"/>
      <c r="R84" s="396"/>
      <c r="S84" s="396"/>
      <c r="T84" s="190" t="str">
        <f t="shared" si="18"/>
        <v/>
      </c>
      <c r="U84" s="190" t="str">
        <f t="shared" si="19"/>
        <v/>
      </c>
      <c r="V84" s="362"/>
    </row>
    <row r="85" spans="9:22" ht="18" customHeight="1" x14ac:dyDescent="0.3">
      <c r="I85" s="3"/>
      <c r="J85" s="7"/>
      <c r="K85" s="8"/>
      <c r="L85" s="8"/>
      <c r="M85" s="8"/>
      <c r="N85" s="8"/>
      <c r="O85" s="8"/>
      <c r="P85" s="519"/>
      <c r="Q85" s="521"/>
      <c r="R85" s="396"/>
      <c r="S85" s="396"/>
      <c r="T85" s="190" t="str">
        <f t="shared" si="18"/>
        <v/>
      </c>
      <c r="U85" s="190" t="str">
        <f t="shared" si="19"/>
        <v/>
      </c>
      <c r="V85" s="362"/>
    </row>
    <row r="86" spans="9:22" ht="18" customHeight="1" x14ac:dyDescent="0.3">
      <c r="I86" s="3"/>
      <c r="J86" s="7"/>
      <c r="K86" s="8"/>
      <c r="L86" s="8"/>
      <c r="M86" s="8"/>
      <c r="N86" s="8"/>
      <c r="O86" s="8"/>
      <c r="P86" s="519"/>
      <c r="Q86" s="521"/>
      <c r="R86" s="396"/>
      <c r="S86" s="396"/>
      <c r="T86" s="190" t="str">
        <f t="shared" si="18"/>
        <v/>
      </c>
      <c r="U86" s="190" t="str">
        <f t="shared" si="19"/>
        <v/>
      </c>
      <c r="V86" s="362"/>
    </row>
    <row r="87" spans="9:22" ht="18" customHeight="1" x14ac:dyDescent="0.3">
      <c r="I87" s="3"/>
      <c r="J87" s="7"/>
      <c r="K87" s="8"/>
      <c r="L87" s="8"/>
      <c r="M87" s="8"/>
      <c r="N87" s="8"/>
      <c r="O87" s="8"/>
      <c r="P87" s="519"/>
      <c r="Q87" s="521"/>
      <c r="R87" s="396"/>
      <c r="S87" s="396"/>
      <c r="T87" s="190" t="str">
        <f t="shared" si="18"/>
        <v/>
      </c>
      <c r="U87" s="190" t="str">
        <f t="shared" si="19"/>
        <v/>
      </c>
      <c r="V87" s="362"/>
    </row>
    <row r="88" spans="9:22" ht="18" customHeight="1" x14ac:dyDescent="0.3">
      <c r="I88" s="3"/>
      <c r="J88" s="7"/>
      <c r="K88" s="8"/>
      <c r="L88" s="8"/>
      <c r="M88" s="8"/>
      <c r="N88" s="8"/>
      <c r="O88" s="8"/>
      <c r="P88" s="519"/>
      <c r="Q88" s="521"/>
      <c r="R88" s="396"/>
      <c r="S88" s="396"/>
      <c r="T88" s="190" t="str">
        <f t="shared" si="18"/>
        <v/>
      </c>
      <c r="U88" s="190" t="str">
        <f>IF(T88="","",U87-T88)</f>
        <v/>
      </c>
      <c r="V88" s="362"/>
    </row>
    <row r="89" spans="9:22" ht="18" customHeight="1" x14ac:dyDescent="0.3">
      <c r="I89" s="3"/>
      <c r="J89" s="7"/>
      <c r="K89" s="8"/>
      <c r="L89" s="8"/>
      <c r="M89" s="8"/>
      <c r="N89" s="8"/>
      <c r="O89" s="8"/>
      <c r="P89" s="519"/>
      <c r="Q89" s="521"/>
      <c r="R89" s="396"/>
      <c r="S89" s="396"/>
      <c r="T89" s="190" t="str">
        <f t="shared" si="18"/>
        <v/>
      </c>
      <c r="U89" s="190" t="str">
        <f t="shared" ref="U89:U91" si="20">IF(T89="","",U88-T89)</f>
        <v/>
      </c>
      <c r="V89" s="362"/>
    </row>
    <row r="90" spans="9:22" ht="18" customHeight="1" x14ac:dyDescent="0.3">
      <c r="I90" s="3"/>
      <c r="J90" s="7"/>
      <c r="K90" s="8"/>
      <c r="L90" s="8"/>
      <c r="M90" s="8"/>
      <c r="N90" s="8"/>
      <c r="O90" s="8"/>
      <c r="P90" s="519"/>
      <c r="Q90" s="521"/>
      <c r="R90" s="396"/>
      <c r="S90" s="396"/>
      <c r="T90" s="190" t="str">
        <f t="shared" si="18"/>
        <v/>
      </c>
      <c r="U90" s="190" t="str">
        <f t="shared" si="20"/>
        <v/>
      </c>
      <c r="V90" s="362"/>
    </row>
    <row r="91" spans="9:22" ht="18" customHeight="1" x14ac:dyDescent="0.3">
      <c r="I91" s="3"/>
      <c r="J91" s="7"/>
      <c r="K91" s="8"/>
      <c r="L91" s="8"/>
      <c r="M91" s="8"/>
      <c r="N91" s="8"/>
      <c r="O91" s="8"/>
      <c r="P91" s="519"/>
      <c r="Q91" s="521"/>
      <c r="R91" s="396"/>
      <c r="S91" s="396"/>
      <c r="T91" s="190" t="str">
        <f t="shared" si="18"/>
        <v/>
      </c>
      <c r="U91" s="190" t="str">
        <f t="shared" si="20"/>
        <v/>
      </c>
      <c r="V91" s="362"/>
    </row>
    <row r="92" spans="9:22" ht="18" customHeight="1" x14ac:dyDescent="0.3">
      <c r="I92" s="3"/>
      <c r="J92" s="7"/>
      <c r="K92" s="8"/>
      <c r="L92" s="8"/>
      <c r="M92" s="8"/>
      <c r="N92" s="8"/>
      <c r="O92" s="8"/>
      <c r="P92" s="519"/>
      <c r="Q92" s="521"/>
      <c r="R92" s="396"/>
      <c r="S92" s="396"/>
      <c r="T92" s="190" t="str">
        <f t="shared" si="18"/>
        <v/>
      </c>
      <c r="U92" s="190" t="str">
        <f>IF(T92="","",U91-T92)</f>
        <v/>
      </c>
      <c r="V92" s="362"/>
    </row>
    <row r="93" spans="9:22" ht="18" customHeight="1" x14ac:dyDescent="0.3">
      <c r="I93" s="3"/>
      <c r="J93" s="7"/>
      <c r="K93" s="8"/>
      <c r="L93" s="8"/>
      <c r="M93" s="8"/>
      <c r="N93" s="8"/>
      <c r="O93" s="8"/>
      <c r="P93" s="519"/>
      <c r="Q93" s="521"/>
      <c r="R93" s="396"/>
      <c r="S93" s="396"/>
      <c r="T93" s="190" t="str">
        <f t="shared" si="18"/>
        <v/>
      </c>
      <c r="U93" s="190" t="str">
        <f t="shared" ref="U93:U105" si="21">IF(T93="","",U92-T93)</f>
        <v/>
      </c>
      <c r="V93" s="362"/>
    </row>
    <row r="94" spans="9:22" ht="18" customHeight="1" x14ac:dyDescent="0.3">
      <c r="I94" s="3"/>
      <c r="J94" s="7"/>
      <c r="K94" s="8"/>
      <c r="L94" s="8"/>
      <c r="M94" s="8"/>
      <c r="N94" s="8"/>
      <c r="O94" s="8"/>
      <c r="P94" s="519"/>
      <c r="Q94" s="521"/>
      <c r="R94" s="396"/>
      <c r="S94" s="396"/>
      <c r="T94" s="190" t="str">
        <f t="shared" si="18"/>
        <v/>
      </c>
      <c r="U94" s="190" t="str">
        <f t="shared" si="21"/>
        <v/>
      </c>
      <c r="V94" s="362"/>
    </row>
    <row r="95" spans="9:22" ht="18" customHeight="1" x14ac:dyDescent="0.3">
      <c r="I95" s="3"/>
      <c r="J95" s="7"/>
      <c r="K95" s="8"/>
      <c r="L95" s="8"/>
      <c r="M95" s="8"/>
      <c r="N95" s="8"/>
      <c r="O95" s="8"/>
      <c r="P95" s="519"/>
      <c r="Q95" s="521"/>
      <c r="R95" s="396"/>
      <c r="S95" s="396"/>
      <c r="T95" s="190" t="str">
        <f t="shared" si="18"/>
        <v/>
      </c>
      <c r="U95" s="190" t="str">
        <f t="shared" si="21"/>
        <v/>
      </c>
      <c r="V95" s="362"/>
    </row>
    <row r="96" spans="9:22" ht="18" customHeight="1" x14ac:dyDescent="0.3">
      <c r="I96" s="3"/>
      <c r="J96" s="7"/>
      <c r="K96" s="8"/>
      <c r="L96" s="8"/>
      <c r="M96" s="8"/>
      <c r="N96" s="8"/>
      <c r="O96" s="8"/>
      <c r="P96" s="519"/>
      <c r="Q96" s="521"/>
      <c r="R96" s="396"/>
      <c r="S96" s="396"/>
      <c r="T96" s="190" t="str">
        <f t="shared" si="18"/>
        <v/>
      </c>
      <c r="U96" s="190" t="str">
        <f t="shared" si="21"/>
        <v/>
      </c>
      <c r="V96" s="362"/>
    </row>
    <row r="97" spans="9:22" ht="18" customHeight="1" x14ac:dyDescent="0.3">
      <c r="I97" s="3"/>
      <c r="J97" s="7"/>
      <c r="K97" s="8"/>
      <c r="L97" s="8"/>
      <c r="M97" s="8"/>
      <c r="N97" s="8"/>
      <c r="O97" s="8"/>
      <c r="P97" s="519"/>
      <c r="Q97" s="521"/>
      <c r="R97" s="396"/>
      <c r="S97" s="396"/>
      <c r="T97" s="190" t="str">
        <f t="shared" si="18"/>
        <v/>
      </c>
      <c r="U97" s="190" t="str">
        <f t="shared" si="21"/>
        <v/>
      </c>
      <c r="V97" s="362"/>
    </row>
    <row r="98" spans="9:22" ht="18" customHeight="1" x14ac:dyDescent="0.3">
      <c r="I98" s="3"/>
      <c r="J98" s="7"/>
      <c r="K98" s="8"/>
      <c r="L98" s="8"/>
      <c r="M98" s="8"/>
      <c r="N98" s="8"/>
      <c r="O98" s="8"/>
      <c r="P98" s="519"/>
      <c r="Q98" s="521"/>
      <c r="R98" s="396"/>
      <c r="S98" s="396"/>
      <c r="T98" s="190" t="str">
        <f t="shared" si="18"/>
        <v/>
      </c>
      <c r="U98" s="190" t="str">
        <f t="shared" si="21"/>
        <v/>
      </c>
      <c r="V98" s="362"/>
    </row>
    <row r="99" spans="9:22" ht="18" customHeight="1" x14ac:dyDescent="0.3">
      <c r="I99" s="3"/>
      <c r="J99" s="7"/>
      <c r="K99" s="8"/>
      <c r="L99" s="8"/>
      <c r="M99" s="8"/>
      <c r="N99" s="8"/>
      <c r="O99" s="8"/>
      <c r="P99" s="519"/>
      <c r="Q99" s="521"/>
      <c r="R99" s="396"/>
      <c r="S99" s="396"/>
      <c r="T99" s="190" t="str">
        <f t="shared" si="18"/>
        <v/>
      </c>
      <c r="U99" s="190" t="str">
        <f t="shared" si="21"/>
        <v/>
      </c>
      <c r="V99" s="362"/>
    </row>
    <row r="100" spans="9:22" ht="18" customHeight="1" x14ac:dyDescent="0.3">
      <c r="I100" s="3"/>
      <c r="J100" s="7"/>
      <c r="K100" s="8"/>
      <c r="L100" s="8"/>
      <c r="M100" s="8"/>
      <c r="N100" s="8"/>
      <c r="O100" s="8"/>
      <c r="P100" s="519"/>
      <c r="Q100" s="521"/>
      <c r="R100" s="396"/>
      <c r="S100" s="396"/>
      <c r="T100" s="190" t="str">
        <f t="shared" si="18"/>
        <v/>
      </c>
      <c r="U100" s="190" t="str">
        <f t="shared" si="21"/>
        <v/>
      </c>
      <c r="V100" s="362"/>
    </row>
    <row r="101" spans="9:22" ht="18" customHeight="1" x14ac:dyDescent="0.3">
      <c r="I101" s="3"/>
      <c r="J101" s="7"/>
      <c r="K101" s="8"/>
      <c r="L101" s="8"/>
      <c r="M101" s="8"/>
      <c r="N101" s="8"/>
      <c r="O101" s="8"/>
      <c r="P101" s="519"/>
      <c r="Q101" s="521"/>
      <c r="R101" s="396"/>
      <c r="S101" s="396"/>
      <c r="T101" s="190" t="str">
        <f t="shared" si="18"/>
        <v/>
      </c>
      <c r="U101" s="190" t="str">
        <f t="shared" si="21"/>
        <v/>
      </c>
      <c r="V101" s="362"/>
    </row>
    <row r="102" spans="9:22" ht="18" customHeight="1" x14ac:dyDescent="0.3">
      <c r="I102" s="3"/>
      <c r="J102" s="7"/>
      <c r="K102" s="8"/>
      <c r="L102" s="8"/>
      <c r="M102" s="8"/>
      <c r="N102" s="8"/>
      <c r="O102" s="8"/>
      <c r="P102" s="519"/>
      <c r="Q102" s="521"/>
      <c r="R102" s="396"/>
      <c r="S102" s="396"/>
      <c r="T102" s="190" t="str">
        <f t="shared" si="18"/>
        <v/>
      </c>
      <c r="U102" s="190" t="str">
        <f t="shared" si="21"/>
        <v/>
      </c>
      <c r="V102" s="362"/>
    </row>
    <row r="103" spans="9:22" ht="18" customHeight="1" x14ac:dyDescent="0.3">
      <c r="I103" s="3"/>
      <c r="J103" s="7"/>
      <c r="K103" s="8"/>
      <c r="L103" s="8"/>
      <c r="M103" s="8"/>
      <c r="N103" s="8"/>
      <c r="O103" s="8"/>
      <c r="P103" s="519"/>
      <c r="Q103" s="521"/>
      <c r="R103" s="396"/>
      <c r="S103" s="396"/>
      <c r="T103" s="190" t="str">
        <f t="shared" si="18"/>
        <v/>
      </c>
      <c r="U103" s="190" t="str">
        <f t="shared" si="21"/>
        <v/>
      </c>
      <c r="V103" s="362"/>
    </row>
    <row r="104" spans="9:22" ht="18" customHeight="1" x14ac:dyDescent="0.3">
      <c r="I104" s="3"/>
      <c r="J104" s="7"/>
      <c r="K104" s="8"/>
      <c r="L104" s="8"/>
      <c r="M104" s="8"/>
      <c r="N104" s="8"/>
      <c r="O104" s="8"/>
      <c r="P104" s="519"/>
      <c r="Q104" s="521"/>
      <c r="R104" s="396"/>
      <c r="S104" s="396"/>
      <c r="T104" s="190" t="str">
        <f t="shared" si="18"/>
        <v/>
      </c>
      <c r="U104" s="190" t="str">
        <f t="shared" si="21"/>
        <v/>
      </c>
      <c r="V104" s="362"/>
    </row>
    <row r="105" spans="9:22" ht="18" customHeight="1" x14ac:dyDescent="0.3">
      <c r="I105" s="3"/>
      <c r="J105" s="7"/>
      <c r="K105" s="8"/>
      <c r="L105" s="8"/>
      <c r="M105" s="8"/>
      <c r="N105" s="8"/>
      <c r="O105" s="8"/>
      <c r="P105" s="519"/>
      <c r="Q105" s="521"/>
      <c r="R105" s="396"/>
      <c r="S105" s="396"/>
      <c r="T105" s="190" t="str">
        <f t="shared" si="18"/>
        <v/>
      </c>
      <c r="U105" s="190" t="str">
        <f t="shared" si="21"/>
        <v/>
      </c>
      <c r="V105" s="362"/>
    </row>
    <row r="106" spans="9:22" ht="18" customHeight="1" x14ac:dyDescent="0.3">
      <c r="I106" s="3"/>
      <c r="J106" s="7"/>
      <c r="K106" s="8"/>
      <c r="L106" s="8"/>
      <c r="M106" s="8"/>
      <c r="N106" s="8"/>
      <c r="O106" s="8"/>
      <c r="P106" s="519"/>
      <c r="Q106" s="521"/>
      <c r="R106" s="396"/>
      <c r="S106" s="396"/>
      <c r="T106" s="190" t="str">
        <f t="shared" si="18"/>
        <v/>
      </c>
      <c r="U106" s="190" t="str">
        <f t="shared" si="19"/>
        <v/>
      </c>
      <c r="V106" s="362"/>
    </row>
    <row r="107" spans="9:22" ht="18" customHeight="1" x14ac:dyDescent="0.3">
      <c r="I107" s="3"/>
      <c r="J107" s="7"/>
      <c r="K107" s="8"/>
      <c r="L107" s="8"/>
      <c r="M107" s="8"/>
      <c r="N107" s="8"/>
      <c r="O107" s="8"/>
      <c r="P107" s="519"/>
      <c r="Q107" s="521"/>
      <c r="R107" s="396"/>
      <c r="S107" s="396"/>
      <c r="T107" s="190" t="str">
        <f t="shared" si="18"/>
        <v/>
      </c>
      <c r="U107" s="190" t="str">
        <f t="shared" si="19"/>
        <v/>
      </c>
      <c r="V107" s="362"/>
    </row>
    <row r="108" spans="9:22" ht="18" customHeight="1" x14ac:dyDescent="0.3">
      <c r="I108" s="3"/>
      <c r="J108" s="7"/>
      <c r="K108" s="8"/>
      <c r="L108" s="8"/>
      <c r="M108" s="8"/>
      <c r="N108" s="8"/>
      <c r="O108" s="8"/>
      <c r="P108" s="519"/>
      <c r="Q108" s="521"/>
      <c r="R108" s="396"/>
      <c r="S108" s="396"/>
      <c r="T108" s="190" t="str">
        <f t="shared" si="18"/>
        <v/>
      </c>
      <c r="U108" s="190" t="str">
        <f>IF(T108="","",U107-T108)</f>
        <v/>
      </c>
      <c r="V108" s="362"/>
    </row>
    <row r="109" spans="9:22" ht="18" customHeight="1" x14ac:dyDescent="0.3">
      <c r="I109" s="3"/>
      <c r="J109" s="7"/>
      <c r="K109" s="8"/>
      <c r="L109" s="8"/>
      <c r="M109" s="8"/>
      <c r="N109" s="8"/>
      <c r="O109" s="8"/>
      <c r="P109" s="519"/>
      <c r="Q109" s="521"/>
      <c r="R109" s="396"/>
      <c r="S109" s="396"/>
      <c r="T109" s="190" t="str">
        <f t="shared" si="18"/>
        <v/>
      </c>
      <c r="U109" s="190" t="str">
        <f t="shared" si="19"/>
        <v/>
      </c>
      <c r="V109" s="362"/>
    </row>
    <row r="110" spans="9:22" ht="18" customHeight="1" x14ac:dyDescent="0.3">
      <c r="I110" s="3"/>
      <c r="J110" s="7"/>
      <c r="K110" s="8"/>
      <c r="L110" s="8"/>
      <c r="M110" s="8"/>
      <c r="N110" s="8"/>
      <c r="O110" s="8"/>
      <c r="P110" s="519"/>
      <c r="Q110" s="521"/>
      <c r="R110" s="396"/>
      <c r="S110" s="396"/>
      <c r="T110" s="190" t="str">
        <f t="shared" si="18"/>
        <v/>
      </c>
      <c r="U110" s="190" t="str">
        <f t="shared" si="19"/>
        <v/>
      </c>
      <c r="V110" s="362"/>
    </row>
    <row r="111" spans="9:22" ht="18" customHeight="1" x14ac:dyDescent="0.3">
      <c r="I111" s="3"/>
      <c r="J111" s="7"/>
      <c r="K111" s="8"/>
      <c r="L111" s="8"/>
      <c r="M111" s="8"/>
      <c r="N111" s="8"/>
      <c r="O111" s="8"/>
      <c r="P111" s="519"/>
      <c r="Q111" s="521"/>
      <c r="R111" s="396"/>
      <c r="S111" s="396"/>
      <c r="T111" s="190" t="str">
        <f t="shared" si="18"/>
        <v/>
      </c>
      <c r="U111" s="190" t="str">
        <f t="shared" si="19"/>
        <v/>
      </c>
      <c r="V111" s="362"/>
    </row>
    <row r="112" spans="9:22" ht="18" customHeight="1" x14ac:dyDescent="0.3">
      <c r="I112" s="3"/>
      <c r="J112" s="7"/>
      <c r="K112" s="8"/>
      <c r="L112" s="8"/>
      <c r="M112" s="8"/>
      <c r="N112" s="8"/>
      <c r="O112" s="8"/>
      <c r="P112" s="519"/>
      <c r="Q112" s="521"/>
      <c r="R112" s="396"/>
      <c r="S112" s="396"/>
      <c r="T112" s="190" t="str">
        <f t="shared" si="18"/>
        <v/>
      </c>
      <c r="U112" s="190" t="str">
        <f>IF(T112="","",U111-T112)</f>
        <v/>
      </c>
      <c r="V112" s="362"/>
    </row>
    <row r="113" spans="9:22" ht="18" customHeight="1" x14ac:dyDescent="0.3">
      <c r="I113" s="3"/>
      <c r="J113" s="7"/>
      <c r="K113" s="8"/>
      <c r="L113" s="8"/>
      <c r="M113" s="8"/>
      <c r="N113" s="8"/>
      <c r="O113" s="8"/>
      <c r="P113" s="519"/>
      <c r="Q113" s="521"/>
      <c r="R113" s="396"/>
      <c r="S113" s="396"/>
      <c r="T113" s="190" t="str">
        <f t="shared" si="18"/>
        <v/>
      </c>
      <c r="U113" s="190" t="str">
        <f t="shared" si="19"/>
        <v/>
      </c>
      <c r="V113" s="362"/>
    </row>
    <row r="114" spans="9:22" ht="18" customHeight="1" x14ac:dyDescent="0.3">
      <c r="I114" s="3"/>
      <c r="J114" s="7"/>
      <c r="K114" s="8"/>
      <c r="L114" s="8"/>
      <c r="M114" s="8"/>
      <c r="N114" s="8"/>
      <c r="O114" s="8"/>
      <c r="P114" s="519"/>
      <c r="Q114" s="521"/>
      <c r="R114" s="396"/>
      <c r="S114" s="396"/>
      <c r="T114" s="190" t="str">
        <f t="shared" si="18"/>
        <v/>
      </c>
      <c r="U114" s="190" t="str">
        <f t="shared" si="19"/>
        <v/>
      </c>
      <c r="V114" s="362"/>
    </row>
    <row r="115" spans="9:22" ht="18" customHeight="1" x14ac:dyDescent="0.3">
      <c r="I115" s="3"/>
      <c r="J115" s="7"/>
      <c r="K115" s="8"/>
      <c r="L115" s="8"/>
      <c r="M115" s="8"/>
      <c r="N115" s="8"/>
      <c r="O115" s="8"/>
      <c r="P115" s="519"/>
      <c r="Q115" s="521"/>
      <c r="R115" s="396"/>
      <c r="S115" s="396"/>
      <c r="T115" s="190" t="str">
        <f t="shared" si="18"/>
        <v/>
      </c>
      <c r="U115" s="190" t="str">
        <f t="shared" si="19"/>
        <v/>
      </c>
      <c r="V115" s="362"/>
    </row>
    <row r="116" spans="9:22" ht="18" customHeight="1" x14ac:dyDescent="0.3">
      <c r="I116" s="3"/>
      <c r="J116" s="7"/>
      <c r="K116" s="8"/>
      <c r="L116" s="8"/>
      <c r="M116" s="8"/>
      <c r="N116" s="8"/>
      <c r="O116" s="8"/>
      <c r="P116" s="519"/>
      <c r="Q116" s="521"/>
      <c r="R116" s="396"/>
      <c r="S116" s="396"/>
      <c r="T116" s="190" t="str">
        <f t="shared" si="18"/>
        <v/>
      </c>
      <c r="U116" s="190" t="str">
        <f t="shared" si="19"/>
        <v/>
      </c>
      <c r="V116" s="362"/>
    </row>
    <row r="117" spans="9:22" ht="18" customHeight="1" x14ac:dyDescent="0.3">
      <c r="I117" s="3"/>
      <c r="J117" s="7"/>
      <c r="K117" s="8"/>
      <c r="L117" s="8"/>
      <c r="M117" s="8"/>
      <c r="N117" s="8"/>
      <c r="O117" s="8"/>
      <c r="P117" s="519"/>
      <c r="Q117" s="521"/>
      <c r="R117" s="396"/>
      <c r="S117" s="396"/>
      <c r="T117" s="190" t="str">
        <f t="shared" si="18"/>
        <v/>
      </c>
      <c r="U117" s="190" t="str">
        <f t="shared" si="19"/>
        <v/>
      </c>
      <c r="V117" s="362"/>
    </row>
    <row r="118" spans="9:22" ht="18" customHeight="1" x14ac:dyDescent="0.3">
      <c r="I118" s="3"/>
      <c r="J118" s="7"/>
      <c r="K118" s="8"/>
      <c r="L118" s="8"/>
      <c r="M118" s="8"/>
      <c r="N118" s="8"/>
      <c r="O118" s="8"/>
      <c r="P118" s="519"/>
      <c r="Q118" s="521"/>
      <c r="R118" s="396"/>
      <c r="S118" s="396"/>
      <c r="T118" s="190" t="str">
        <f t="shared" si="18"/>
        <v/>
      </c>
      <c r="U118" s="190" t="str">
        <f t="shared" si="19"/>
        <v/>
      </c>
      <c r="V118" s="362"/>
    </row>
    <row r="119" spans="9:22" ht="18" customHeight="1" x14ac:dyDescent="0.3">
      <c r="I119" s="3"/>
      <c r="J119" s="7"/>
      <c r="K119" s="8"/>
      <c r="L119" s="8"/>
      <c r="M119" s="8"/>
      <c r="N119" s="8"/>
      <c r="O119" s="8"/>
      <c r="P119" s="519"/>
      <c r="Q119" s="521"/>
      <c r="R119" s="396"/>
      <c r="S119" s="396"/>
      <c r="T119" s="190" t="str">
        <f t="shared" si="18"/>
        <v/>
      </c>
      <c r="U119" s="190" t="str">
        <f t="shared" si="19"/>
        <v/>
      </c>
      <c r="V119" s="362"/>
    </row>
    <row r="120" spans="9:22" ht="18" customHeight="1" x14ac:dyDescent="0.3">
      <c r="I120" s="3"/>
      <c r="J120" s="7"/>
      <c r="K120" s="8"/>
      <c r="L120" s="8"/>
      <c r="M120" s="8"/>
      <c r="N120" s="8"/>
      <c r="O120" s="8"/>
      <c r="P120" s="519"/>
      <c r="Q120" s="521"/>
      <c r="R120" s="396"/>
      <c r="S120" s="396"/>
      <c r="T120" s="190" t="str">
        <f t="shared" si="18"/>
        <v/>
      </c>
      <c r="U120" s="190" t="str">
        <f t="shared" si="19"/>
        <v/>
      </c>
      <c r="V120" s="362"/>
    </row>
    <row r="121" spans="9:22" ht="18" customHeight="1" x14ac:dyDescent="0.3">
      <c r="I121" s="3"/>
      <c r="J121" s="7"/>
      <c r="K121" s="8"/>
      <c r="L121" s="8"/>
      <c r="M121" s="8"/>
      <c r="N121" s="8"/>
      <c r="O121" s="8"/>
      <c r="P121" s="519"/>
      <c r="Q121" s="521"/>
      <c r="R121" s="396"/>
      <c r="S121" s="396"/>
      <c r="T121" s="190" t="str">
        <f t="shared" si="18"/>
        <v/>
      </c>
      <c r="U121" s="190" t="str">
        <f t="shared" si="19"/>
        <v/>
      </c>
      <c r="V121" s="362"/>
    </row>
    <row r="122" spans="9:22" ht="18" customHeight="1" x14ac:dyDescent="0.3">
      <c r="I122" s="3"/>
      <c r="J122" s="7"/>
      <c r="K122" s="8"/>
      <c r="L122" s="8"/>
      <c r="M122" s="8"/>
      <c r="N122" s="8"/>
      <c r="O122" s="8"/>
      <c r="P122" s="519"/>
      <c r="Q122" s="521"/>
      <c r="R122" s="396"/>
      <c r="S122" s="396"/>
      <c r="T122" s="190" t="str">
        <f t="shared" si="18"/>
        <v/>
      </c>
      <c r="U122" s="190" t="str">
        <f t="shared" si="19"/>
        <v/>
      </c>
      <c r="V122" s="362"/>
    </row>
    <row r="123" spans="9:22" ht="18" customHeight="1" x14ac:dyDescent="0.3">
      <c r="I123" s="3"/>
      <c r="J123" s="7"/>
      <c r="K123" s="8"/>
      <c r="L123" s="8"/>
      <c r="M123" s="8"/>
      <c r="N123" s="8"/>
      <c r="O123" s="8"/>
      <c r="P123" s="519"/>
      <c r="Q123" s="521"/>
      <c r="R123" s="396"/>
      <c r="S123" s="396"/>
      <c r="T123" s="190" t="str">
        <f t="shared" si="18"/>
        <v/>
      </c>
      <c r="U123" s="190" t="str">
        <f t="shared" si="19"/>
        <v/>
      </c>
      <c r="V123" s="362"/>
    </row>
    <row r="124" spans="9:22" ht="18" customHeight="1" x14ac:dyDescent="0.3">
      <c r="I124" s="3"/>
      <c r="J124" s="7"/>
      <c r="K124" s="8"/>
      <c r="L124" s="8"/>
      <c r="M124" s="8"/>
      <c r="N124" s="8"/>
      <c r="O124" s="8"/>
      <c r="P124" s="519"/>
      <c r="Q124" s="521"/>
      <c r="R124" s="396"/>
      <c r="S124" s="396"/>
      <c r="T124" s="190" t="str">
        <f t="shared" si="18"/>
        <v/>
      </c>
      <c r="U124" s="190" t="str">
        <f t="shared" si="19"/>
        <v/>
      </c>
      <c r="V124" s="362"/>
    </row>
    <row r="125" spans="9:22" ht="18" customHeight="1" x14ac:dyDescent="0.3">
      <c r="I125" s="3"/>
      <c r="J125" s="7"/>
      <c r="K125" s="8"/>
      <c r="L125" s="8"/>
      <c r="M125" s="8"/>
      <c r="N125" s="8"/>
      <c r="O125" s="8"/>
      <c r="P125" s="519"/>
      <c r="Q125" s="521"/>
      <c r="R125" s="396"/>
      <c r="S125" s="396"/>
      <c r="T125" s="190" t="str">
        <f t="shared" si="18"/>
        <v/>
      </c>
      <c r="U125" s="190" t="str">
        <f t="shared" si="19"/>
        <v/>
      </c>
      <c r="V125" s="362"/>
    </row>
    <row r="126" spans="9:22" ht="18" customHeight="1" x14ac:dyDescent="0.3">
      <c r="I126" s="3"/>
      <c r="J126" s="7"/>
      <c r="K126" s="8"/>
      <c r="L126" s="8"/>
      <c r="M126" s="8"/>
      <c r="N126" s="8"/>
      <c r="O126" s="8"/>
      <c r="P126" s="519"/>
      <c r="Q126" s="521"/>
      <c r="R126" s="396"/>
      <c r="S126" s="396"/>
      <c r="T126" s="190" t="str">
        <f t="shared" si="18"/>
        <v/>
      </c>
      <c r="U126" s="190" t="str">
        <f t="shared" si="19"/>
        <v/>
      </c>
      <c r="V126" s="362"/>
    </row>
    <row r="127" spans="9:22" ht="18" customHeight="1" x14ac:dyDescent="0.3">
      <c r="I127" s="3"/>
      <c r="J127" s="7"/>
      <c r="K127" s="8"/>
      <c r="L127" s="8"/>
      <c r="M127" s="8"/>
      <c r="N127" s="8"/>
      <c r="O127" s="8"/>
      <c r="P127" s="519"/>
      <c r="Q127" s="521"/>
      <c r="R127" s="396"/>
      <c r="S127" s="396"/>
      <c r="T127" s="190" t="str">
        <f t="shared" si="18"/>
        <v/>
      </c>
      <c r="U127" s="190" t="str">
        <f t="shared" si="19"/>
        <v/>
      </c>
      <c r="V127" s="362"/>
    </row>
    <row r="128" spans="9:22" ht="18" customHeight="1" x14ac:dyDescent="0.3">
      <c r="I128" s="3"/>
      <c r="J128" s="7"/>
      <c r="K128" s="8"/>
      <c r="L128" s="8"/>
      <c r="M128" s="8"/>
      <c r="N128" s="8"/>
      <c r="O128" s="8"/>
      <c r="P128" s="519"/>
      <c r="Q128" s="521"/>
      <c r="R128" s="396"/>
      <c r="S128" s="396"/>
      <c r="T128" s="190" t="str">
        <f t="shared" si="18"/>
        <v/>
      </c>
      <c r="U128" s="190" t="str">
        <f t="shared" si="19"/>
        <v/>
      </c>
      <c r="V128" s="362"/>
    </row>
    <row r="129" spans="9:22" ht="18" customHeight="1" x14ac:dyDescent="0.3">
      <c r="I129" s="3"/>
      <c r="J129" s="7"/>
      <c r="K129" s="8"/>
      <c r="L129" s="8"/>
      <c r="M129" s="8"/>
      <c r="N129" s="8"/>
      <c r="O129" s="8"/>
      <c r="P129" s="519"/>
      <c r="Q129" s="521"/>
      <c r="R129" s="396"/>
      <c r="S129" s="396"/>
      <c r="T129" s="190" t="str">
        <f t="shared" si="18"/>
        <v/>
      </c>
      <c r="U129" s="190" t="str">
        <f t="shared" si="19"/>
        <v/>
      </c>
      <c r="V129" s="362"/>
    </row>
    <row r="130" spans="9:22" ht="18" customHeight="1" x14ac:dyDescent="0.3">
      <c r="I130" s="3"/>
      <c r="J130" s="7"/>
      <c r="K130" s="8"/>
      <c r="L130" s="8"/>
      <c r="M130" s="8"/>
      <c r="N130" s="8"/>
      <c r="O130" s="8"/>
      <c r="P130" s="519"/>
      <c r="Q130" s="521"/>
      <c r="R130" s="396"/>
      <c r="S130" s="396"/>
      <c r="T130" s="190" t="str">
        <f t="shared" si="18"/>
        <v/>
      </c>
      <c r="U130" s="190" t="str">
        <f t="shared" si="19"/>
        <v/>
      </c>
      <c r="V130" s="362"/>
    </row>
    <row r="131" spans="9:22" ht="18" customHeight="1" x14ac:dyDescent="0.3">
      <c r="I131" s="3"/>
      <c r="J131" s="7"/>
      <c r="K131" s="8"/>
      <c r="L131" s="8"/>
      <c r="M131" s="8"/>
      <c r="N131" s="8"/>
      <c r="O131" s="8"/>
      <c r="P131" s="519"/>
      <c r="Q131" s="521"/>
      <c r="R131" s="396"/>
      <c r="S131" s="396"/>
      <c r="T131" s="190" t="str">
        <f t="shared" si="18"/>
        <v/>
      </c>
      <c r="U131" s="190" t="str">
        <f t="shared" si="19"/>
        <v/>
      </c>
      <c r="V131" s="362"/>
    </row>
    <row r="132" spans="9:22" ht="18" customHeight="1" x14ac:dyDescent="0.3">
      <c r="I132" s="3"/>
      <c r="J132" s="7"/>
      <c r="K132" s="8"/>
      <c r="L132" s="8"/>
      <c r="M132" s="8"/>
      <c r="N132" s="8"/>
      <c r="O132" s="8"/>
      <c r="P132" s="519"/>
      <c r="Q132" s="521"/>
      <c r="R132" s="396"/>
      <c r="S132" s="396"/>
      <c r="T132" s="190" t="str">
        <f t="shared" si="18"/>
        <v/>
      </c>
      <c r="U132" s="190" t="str">
        <f t="shared" si="19"/>
        <v/>
      </c>
      <c r="V132" s="362"/>
    </row>
    <row r="133" spans="9:22" ht="18" customHeight="1" x14ac:dyDescent="0.3">
      <c r="I133" s="3"/>
      <c r="J133" s="7"/>
      <c r="K133" s="8"/>
      <c r="L133" s="8"/>
      <c r="M133" s="8"/>
      <c r="N133" s="8"/>
      <c r="O133" s="8"/>
      <c r="P133" s="519"/>
      <c r="Q133" s="521"/>
      <c r="R133" s="396"/>
      <c r="S133" s="396"/>
      <c r="T133" s="190" t="str">
        <f t="shared" si="18"/>
        <v/>
      </c>
      <c r="U133" s="190" t="str">
        <f t="shared" si="19"/>
        <v/>
      </c>
      <c r="V133" s="362"/>
    </row>
    <row r="134" spans="9:22" ht="18" customHeight="1" x14ac:dyDescent="0.3">
      <c r="I134" s="3"/>
      <c r="J134" s="7"/>
      <c r="K134" s="8"/>
      <c r="L134" s="8"/>
      <c r="M134" s="8"/>
      <c r="N134" s="8"/>
      <c r="O134" s="8"/>
      <c r="P134" s="519"/>
      <c r="Q134" s="521"/>
      <c r="R134" s="396"/>
      <c r="S134" s="396"/>
      <c r="T134" s="190" t="str">
        <f t="shared" si="18"/>
        <v/>
      </c>
      <c r="U134" s="190" t="str">
        <f t="shared" si="19"/>
        <v/>
      </c>
      <c r="V134" s="362"/>
    </row>
    <row r="135" spans="9:22" ht="18" customHeight="1" x14ac:dyDescent="0.3">
      <c r="I135" s="3"/>
      <c r="J135" s="7"/>
      <c r="K135" s="8"/>
      <c r="L135" s="8"/>
      <c r="M135" s="8"/>
      <c r="N135" s="8"/>
      <c r="O135" s="8"/>
      <c r="P135" s="519"/>
      <c r="Q135" s="521"/>
      <c r="R135" s="396"/>
      <c r="S135" s="396"/>
      <c r="T135" s="190" t="str">
        <f t="shared" si="18"/>
        <v/>
      </c>
      <c r="U135" s="190" t="str">
        <f t="shared" si="19"/>
        <v/>
      </c>
      <c r="V135" s="362"/>
    </row>
    <row r="136" spans="9:22" ht="18" customHeight="1" x14ac:dyDescent="0.3">
      <c r="I136" s="3"/>
      <c r="J136" s="7"/>
      <c r="K136" s="8"/>
      <c r="L136" s="8"/>
      <c r="M136" s="8"/>
      <c r="N136" s="8"/>
      <c r="O136" s="8"/>
      <c r="P136" s="519"/>
      <c r="Q136" s="521"/>
      <c r="R136" s="396"/>
      <c r="S136" s="396"/>
      <c r="T136" s="190" t="str">
        <f t="shared" si="18"/>
        <v/>
      </c>
      <c r="U136" s="190" t="str">
        <f t="shared" si="19"/>
        <v/>
      </c>
      <c r="V136" s="362"/>
    </row>
    <row r="137" spans="9:22" ht="18" customHeight="1" x14ac:dyDescent="0.3">
      <c r="I137" s="3"/>
      <c r="J137" s="7"/>
      <c r="K137" s="8"/>
      <c r="L137" s="8"/>
      <c r="M137" s="8"/>
      <c r="N137" s="8"/>
      <c r="O137" s="8"/>
      <c r="P137" s="519"/>
      <c r="Q137" s="521"/>
      <c r="R137" s="396"/>
      <c r="S137" s="396"/>
      <c r="T137" s="190" t="str">
        <f t="shared" si="18"/>
        <v/>
      </c>
      <c r="U137" s="190" t="str">
        <f t="shared" si="19"/>
        <v/>
      </c>
      <c r="V137" s="362"/>
    </row>
    <row r="138" spans="9:22" ht="18" customHeight="1" x14ac:dyDescent="0.3">
      <c r="I138" s="3"/>
      <c r="J138" s="7"/>
      <c r="K138" s="8"/>
      <c r="L138" s="8"/>
      <c r="M138" s="8"/>
      <c r="N138" s="8"/>
      <c r="O138" s="8"/>
      <c r="P138" s="519"/>
      <c r="Q138" s="521"/>
      <c r="R138" s="396"/>
      <c r="S138" s="396"/>
      <c r="T138" s="190" t="str">
        <f t="shared" si="18"/>
        <v/>
      </c>
      <c r="U138" s="190" t="str">
        <f t="shared" si="19"/>
        <v/>
      </c>
      <c r="V138" s="362"/>
    </row>
    <row r="139" spans="9:22" ht="18" customHeight="1" x14ac:dyDescent="0.3">
      <c r="I139" s="3"/>
      <c r="J139" s="7"/>
      <c r="K139" s="8"/>
      <c r="L139" s="8"/>
      <c r="M139" s="8"/>
      <c r="N139" s="8"/>
      <c r="O139" s="8"/>
      <c r="P139" s="519"/>
      <c r="Q139" s="521"/>
      <c r="R139" s="396"/>
      <c r="S139" s="396"/>
      <c r="T139" s="190" t="str">
        <f t="shared" si="18"/>
        <v/>
      </c>
      <c r="U139" s="190" t="str">
        <f t="shared" si="19"/>
        <v/>
      </c>
      <c r="V139" s="362"/>
    </row>
    <row r="140" spans="9:22" ht="18" customHeight="1" x14ac:dyDescent="0.3">
      <c r="I140" s="3"/>
      <c r="J140" s="7"/>
      <c r="K140" s="8"/>
      <c r="L140" s="8"/>
      <c r="M140" s="8"/>
      <c r="N140" s="8"/>
      <c r="O140" s="8"/>
      <c r="P140" s="519"/>
      <c r="Q140" s="521"/>
      <c r="R140" s="396"/>
      <c r="S140" s="396"/>
      <c r="T140" s="190" t="str">
        <f t="shared" si="18"/>
        <v/>
      </c>
      <c r="U140" s="190" t="str">
        <f>IF(T140="","",U139-T140)</f>
        <v/>
      </c>
      <c r="V140" s="362"/>
    </row>
    <row r="141" spans="9:22" ht="18" customHeight="1" x14ac:dyDescent="0.3">
      <c r="I141" s="3"/>
      <c r="J141" s="7"/>
      <c r="K141" s="8"/>
      <c r="L141" s="8"/>
      <c r="M141" s="8"/>
      <c r="N141" s="8"/>
      <c r="O141" s="8"/>
      <c r="P141" s="519"/>
      <c r="Q141" s="521"/>
      <c r="R141" s="396"/>
      <c r="S141" s="396"/>
      <c r="T141" s="190" t="str">
        <f t="shared" si="18"/>
        <v/>
      </c>
      <c r="U141" s="190" t="str">
        <f t="shared" si="19"/>
        <v/>
      </c>
      <c r="V141" s="362"/>
    </row>
    <row r="142" spans="9:22" ht="18" customHeight="1" x14ac:dyDescent="0.3">
      <c r="I142" s="3"/>
      <c r="J142" s="7"/>
      <c r="K142" s="8"/>
      <c r="L142" s="8"/>
      <c r="M142" s="8"/>
      <c r="N142" s="8"/>
      <c r="O142" s="8"/>
      <c r="P142" s="519"/>
      <c r="Q142" s="521"/>
      <c r="R142" s="396"/>
      <c r="S142" s="396"/>
      <c r="T142" s="190" t="str">
        <f t="shared" si="18"/>
        <v/>
      </c>
      <c r="U142" s="190" t="str">
        <f t="shared" si="19"/>
        <v/>
      </c>
      <c r="V142" s="362"/>
    </row>
    <row r="143" spans="9:22" ht="18" customHeight="1" x14ac:dyDescent="0.3">
      <c r="I143" s="3"/>
      <c r="J143" s="7"/>
      <c r="K143" s="8"/>
      <c r="L143" s="8"/>
      <c r="M143" s="8"/>
      <c r="N143" s="8"/>
      <c r="O143" s="8"/>
      <c r="P143" s="519"/>
      <c r="Q143" s="521"/>
      <c r="R143" s="396"/>
      <c r="S143" s="396"/>
      <c r="T143" s="190" t="str">
        <f t="shared" si="18"/>
        <v/>
      </c>
      <c r="U143" s="190" t="str">
        <f t="shared" si="19"/>
        <v/>
      </c>
      <c r="V143" s="362"/>
    </row>
    <row r="144" spans="9:22" ht="18" customHeight="1" x14ac:dyDescent="0.3">
      <c r="I144" s="3"/>
      <c r="J144" s="7"/>
      <c r="K144" s="8"/>
      <c r="L144" s="8"/>
      <c r="M144" s="8"/>
      <c r="N144" s="8"/>
      <c r="O144" s="8"/>
      <c r="P144" s="519"/>
      <c r="Q144" s="521"/>
      <c r="R144" s="396"/>
      <c r="S144" s="396"/>
      <c r="T144" s="190" t="str">
        <f t="shared" si="18"/>
        <v/>
      </c>
      <c r="U144" s="190" t="str">
        <f t="shared" si="19"/>
        <v/>
      </c>
      <c r="V144" s="362"/>
    </row>
    <row r="145" spans="9:22" ht="18" customHeight="1" x14ac:dyDescent="0.3">
      <c r="I145" s="3"/>
      <c r="J145" s="7"/>
      <c r="K145" s="8"/>
      <c r="L145" s="8"/>
      <c r="M145" s="8"/>
      <c r="N145" s="8"/>
      <c r="O145" s="8"/>
      <c r="P145" s="519"/>
      <c r="Q145" s="521"/>
      <c r="R145" s="396"/>
      <c r="S145" s="396"/>
      <c r="T145" s="190" t="str">
        <f t="shared" si="18"/>
        <v/>
      </c>
      <c r="U145" s="190" t="str">
        <f t="shared" si="19"/>
        <v/>
      </c>
      <c r="V145" s="362"/>
    </row>
    <row r="146" spans="9:22" ht="18" customHeight="1" x14ac:dyDescent="0.3">
      <c r="I146" s="3"/>
      <c r="J146" s="7"/>
      <c r="K146" s="8"/>
      <c r="L146" s="8"/>
      <c r="M146" s="8"/>
      <c r="N146" s="8"/>
      <c r="O146" s="8"/>
      <c r="P146" s="519"/>
      <c r="Q146" s="521"/>
      <c r="R146" s="396"/>
      <c r="S146" s="396"/>
      <c r="T146" s="190" t="str">
        <f t="shared" si="18"/>
        <v/>
      </c>
      <c r="U146" s="190" t="str">
        <f t="shared" si="19"/>
        <v/>
      </c>
      <c r="V146" s="362"/>
    </row>
    <row r="147" spans="9:22" ht="18" customHeight="1" x14ac:dyDescent="0.3">
      <c r="I147" s="3"/>
      <c r="J147" s="7"/>
      <c r="K147" s="8"/>
      <c r="L147" s="8"/>
      <c r="M147" s="8"/>
      <c r="N147" s="8"/>
      <c r="O147" s="8"/>
      <c r="P147" s="519"/>
      <c r="Q147" s="521"/>
      <c r="R147" s="396"/>
      <c r="S147" s="396"/>
      <c r="T147" s="190" t="str">
        <f t="shared" si="18"/>
        <v/>
      </c>
      <c r="U147" s="190" t="str">
        <f t="shared" ref="U147:U165" si="22">IF(T147="","",U146-T147)</f>
        <v/>
      </c>
      <c r="V147" s="362"/>
    </row>
    <row r="148" spans="9:22" ht="18" customHeight="1" x14ac:dyDescent="0.3">
      <c r="I148" s="3"/>
      <c r="J148" s="7"/>
      <c r="K148" s="8"/>
      <c r="L148" s="8"/>
      <c r="M148" s="8"/>
      <c r="N148" s="8"/>
      <c r="O148" s="8"/>
      <c r="P148" s="519"/>
      <c r="Q148" s="521"/>
      <c r="R148" s="396"/>
      <c r="S148" s="396"/>
      <c r="T148" s="190" t="str">
        <f t="shared" si="18"/>
        <v/>
      </c>
      <c r="U148" s="190" t="str">
        <f t="shared" si="22"/>
        <v/>
      </c>
      <c r="V148" s="362"/>
    </row>
    <row r="149" spans="9:22" ht="18" customHeight="1" x14ac:dyDescent="0.3">
      <c r="I149" s="3"/>
      <c r="J149" s="7"/>
      <c r="K149" s="8"/>
      <c r="L149" s="8"/>
      <c r="M149" s="8"/>
      <c r="N149" s="8"/>
      <c r="O149" s="8"/>
      <c r="P149" s="519"/>
      <c r="Q149" s="521"/>
      <c r="R149" s="396"/>
      <c r="S149" s="396"/>
      <c r="T149" s="190" t="str">
        <f t="shared" si="18"/>
        <v/>
      </c>
      <c r="U149" s="190" t="str">
        <f t="shared" si="22"/>
        <v/>
      </c>
      <c r="V149" s="362"/>
    </row>
    <row r="150" spans="9:22" ht="18" customHeight="1" x14ac:dyDescent="0.3">
      <c r="I150" s="3"/>
      <c r="J150" s="7"/>
      <c r="K150" s="8"/>
      <c r="L150" s="8"/>
      <c r="M150" s="8"/>
      <c r="N150" s="8"/>
      <c r="O150" s="8"/>
      <c r="P150" s="519"/>
      <c r="Q150" s="521"/>
      <c r="R150" s="396"/>
      <c r="S150" s="396"/>
      <c r="T150" s="190" t="str">
        <f t="shared" si="18"/>
        <v/>
      </c>
      <c r="U150" s="190" t="str">
        <f t="shared" si="22"/>
        <v/>
      </c>
      <c r="V150" s="362"/>
    </row>
    <row r="151" spans="9:22" ht="18" customHeight="1" x14ac:dyDescent="0.3">
      <c r="I151" s="3"/>
      <c r="J151" s="7"/>
      <c r="K151" s="8"/>
      <c r="L151" s="8"/>
      <c r="M151" s="8"/>
      <c r="N151" s="8"/>
      <c r="O151" s="8"/>
      <c r="P151" s="519"/>
      <c r="Q151" s="521"/>
      <c r="R151" s="396"/>
      <c r="S151" s="396"/>
      <c r="T151" s="190" t="str">
        <f t="shared" si="18"/>
        <v/>
      </c>
      <c r="U151" s="190" t="str">
        <f t="shared" si="22"/>
        <v/>
      </c>
      <c r="V151" s="362"/>
    </row>
    <row r="152" spans="9:22" ht="18" customHeight="1" x14ac:dyDescent="0.3">
      <c r="I152" s="3"/>
      <c r="J152" s="7"/>
      <c r="K152" s="8"/>
      <c r="L152" s="8"/>
      <c r="M152" s="8"/>
      <c r="N152" s="8"/>
      <c r="O152" s="8"/>
      <c r="P152" s="519"/>
      <c r="Q152" s="521"/>
      <c r="R152" s="396"/>
      <c r="S152" s="396"/>
      <c r="T152" s="190" t="str">
        <f t="shared" si="18"/>
        <v/>
      </c>
      <c r="U152" s="190" t="str">
        <f t="shared" si="22"/>
        <v/>
      </c>
      <c r="V152" s="362"/>
    </row>
    <row r="153" spans="9:22" ht="18" customHeight="1" x14ac:dyDescent="0.3">
      <c r="I153" s="3"/>
      <c r="J153" s="7"/>
      <c r="K153" s="8"/>
      <c r="L153" s="8"/>
      <c r="M153" s="8"/>
      <c r="N153" s="8"/>
      <c r="O153" s="8"/>
      <c r="P153" s="519"/>
      <c r="Q153" s="521"/>
      <c r="R153" s="396"/>
      <c r="S153" s="396"/>
      <c r="T153" s="190" t="str">
        <f t="shared" si="18"/>
        <v/>
      </c>
      <c r="U153" s="190" t="str">
        <f t="shared" si="22"/>
        <v/>
      </c>
      <c r="V153" s="362"/>
    </row>
    <row r="154" spans="9:22" ht="18" customHeight="1" x14ac:dyDescent="0.3">
      <c r="I154" s="3"/>
      <c r="J154" s="7"/>
      <c r="K154" s="8"/>
      <c r="L154" s="8"/>
      <c r="M154" s="8"/>
      <c r="N154" s="8"/>
      <c r="O154" s="8"/>
      <c r="P154" s="519"/>
      <c r="Q154" s="521"/>
      <c r="R154" s="396"/>
      <c r="S154" s="396"/>
      <c r="T154" s="190" t="str">
        <f t="shared" si="18"/>
        <v/>
      </c>
      <c r="U154" s="190" t="str">
        <f t="shared" si="22"/>
        <v/>
      </c>
      <c r="V154" s="362"/>
    </row>
    <row r="155" spans="9:22" ht="18" customHeight="1" x14ac:dyDescent="0.3">
      <c r="I155" s="3"/>
      <c r="J155" s="7"/>
      <c r="K155" s="8"/>
      <c r="L155" s="8"/>
      <c r="M155" s="8"/>
      <c r="N155" s="8"/>
      <c r="O155" s="8"/>
      <c r="P155" s="519"/>
      <c r="Q155" s="521"/>
      <c r="R155" s="396"/>
      <c r="S155" s="396"/>
      <c r="T155" s="190" t="str">
        <f t="shared" si="18"/>
        <v/>
      </c>
      <c r="U155" s="190" t="str">
        <f t="shared" si="22"/>
        <v/>
      </c>
      <c r="V155" s="362"/>
    </row>
    <row r="156" spans="9:22" ht="18" customHeight="1" x14ac:dyDescent="0.3">
      <c r="I156" s="3"/>
      <c r="J156" s="7"/>
      <c r="K156" s="8"/>
      <c r="L156" s="8"/>
      <c r="M156" s="8"/>
      <c r="N156" s="8"/>
      <c r="O156" s="8"/>
      <c r="P156" s="519"/>
      <c r="Q156" s="521"/>
      <c r="R156" s="396"/>
      <c r="S156" s="396"/>
      <c r="T156" s="190" t="str">
        <f t="shared" si="18"/>
        <v/>
      </c>
      <c r="U156" s="190" t="str">
        <f t="shared" si="22"/>
        <v/>
      </c>
      <c r="V156" s="362"/>
    </row>
    <row r="157" spans="9:22" ht="18" customHeight="1" x14ac:dyDescent="0.3">
      <c r="I157" s="3"/>
      <c r="J157" s="7"/>
      <c r="K157" s="8"/>
      <c r="L157" s="8"/>
      <c r="M157" s="8"/>
      <c r="N157" s="8"/>
      <c r="O157" s="8"/>
      <c r="P157" s="519"/>
      <c r="Q157" s="521"/>
      <c r="R157" s="396"/>
      <c r="S157" s="396"/>
      <c r="T157" s="190" t="str">
        <f t="shared" si="18"/>
        <v/>
      </c>
      <c r="U157" s="190" t="str">
        <f t="shared" si="22"/>
        <v/>
      </c>
      <c r="V157" s="362"/>
    </row>
    <row r="158" spans="9:22" ht="18" customHeight="1" x14ac:dyDescent="0.3">
      <c r="I158" s="3"/>
      <c r="J158" s="7"/>
      <c r="K158" s="8"/>
      <c r="L158" s="8"/>
      <c r="M158" s="8"/>
      <c r="N158" s="8"/>
      <c r="O158" s="8"/>
      <c r="P158" s="519"/>
      <c r="Q158" s="521"/>
      <c r="R158" s="396"/>
      <c r="S158" s="396"/>
      <c r="T158" s="190" t="str">
        <f t="shared" si="18"/>
        <v/>
      </c>
      <c r="U158" s="190" t="str">
        <f t="shared" si="22"/>
        <v/>
      </c>
      <c r="V158" s="362"/>
    </row>
    <row r="159" spans="9:22" ht="18" customHeight="1" x14ac:dyDescent="0.3">
      <c r="I159" s="3"/>
      <c r="J159" s="7"/>
      <c r="K159" s="8"/>
      <c r="L159" s="8"/>
      <c r="M159" s="8"/>
      <c r="N159" s="8"/>
      <c r="O159" s="8"/>
      <c r="P159" s="519"/>
      <c r="Q159" s="521"/>
      <c r="R159" s="396"/>
      <c r="S159" s="396"/>
      <c r="T159" s="190" t="str">
        <f t="shared" si="18"/>
        <v/>
      </c>
      <c r="U159" s="190" t="str">
        <f t="shared" si="22"/>
        <v/>
      </c>
      <c r="V159" s="362"/>
    </row>
    <row r="160" spans="9:22" ht="18" customHeight="1" x14ac:dyDescent="0.3">
      <c r="I160" s="3"/>
      <c r="J160" s="7"/>
      <c r="K160" s="8"/>
      <c r="L160" s="8"/>
      <c r="M160" s="8"/>
      <c r="N160" s="8"/>
      <c r="O160" s="8"/>
      <c r="P160" s="519"/>
      <c r="Q160" s="521"/>
      <c r="R160" s="396"/>
      <c r="S160" s="396"/>
      <c r="T160" s="190" t="str">
        <f t="shared" si="18"/>
        <v/>
      </c>
      <c r="U160" s="190" t="str">
        <f t="shared" si="22"/>
        <v/>
      </c>
      <c r="V160" s="362"/>
    </row>
    <row r="161" spans="1:23" ht="18" customHeight="1" x14ac:dyDescent="0.3">
      <c r="I161" s="3"/>
      <c r="J161" s="7"/>
      <c r="K161" s="8"/>
      <c r="L161" s="8"/>
      <c r="M161" s="8"/>
      <c r="N161" s="8"/>
      <c r="O161" s="8"/>
      <c r="P161" s="519"/>
      <c r="Q161" s="521"/>
      <c r="R161" s="396"/>
      <c r="S161" s="396"/>
      <c r="T161" s="190" t="str">
        <f t="shared" si="18"/>
        <v/>
      </c>
      <c r="U161" s="190" t="str">
        <f t="shared" si="22"/>
        <v/>
      </c>
      <c r="V161" s="362"/>
    </row>
    <row r="162" spans="1:23" ht="18" customHeight="1" x14ac:dyDescent="0.3">
      <c r="I162" s="3"/>
      <c r="J162" s="7"/>
      <c r="K162" s="8"/>
      <c r="L162" s="8"/>
      <c r="M162" s="8"/>
      <c r="N162" s="8"/>
      <c r="O162" s="8"/>
      <c r="P162" s="519"/>
      <c r="Q162" s="521"/>
      <c r="R162" s="396"/>
      <c r="S162" s="396"/>
      <c r="T162" s="190" t="str">
        <f t="shared" si="18"/>
        <v/>
      </c>
      <c r="U162" s="190" t="str">
        <f t="shared" si="22"/>
        <v/>
      </c>
      <c r="V162" s="362"/>
    </row>
    <row r="163" spans="1:23" ht="18" customHeight="1" x14ac:dyDescent="0.3">
      <c r="I163" s="3"/>
      <c r="J163" s="7"/>
      <c r="K163" s="8"/>
      <c r="L163" s="8"/>
      <c r="M163" s="8"/>
      <c r="N163" s="8"/>
      <c r="O163" s="8"/>
      <c r="P163" s="519"/>
      <c r="Q163" s="521"/>
      <c r="R163" s="396"/>
      <c r="S163" s="396"/>
      <c r="T163" s="190" t="str">
        <f t="shared" si="18"/>
        <v/>
      </c>
      <c r="U163" s="190" t="str">
        <f t="shared" si="22"/>
        <v/>
      </c>
      <c r="V163" s="362"/>
    </row>
    <row r="164" spans="1:23" ht="18" customHeight="1" x14ac:dyDescent="0.3">
      <c r="I164" s="3"/>
      <c r="J164" s="7"/>
      <c r="K164" s="8"/>
      <c r="L164" s="8"/>
      <c r="M164" s="8"/>
      <c r="N164" s="8"/>
      <c r="O164" s="8"/>
      <c r="P164" s="519"/>
      <c r="Q164" s="521"/>
      <c r="R164" s="396"/>
      <c r="S164" s="396"/>
      <c r="T164" s="190" t="str">
        <f t="shared" si="18"/>
        <v/>
      </c>
      <c r="U164" s="190" t="str">
        <f t="shared" si="22"/>
        <v/>
      </c>
      <c r="V164" s="362"/>
    </row>
    <row r="165" spans="1:23" ht="18" customHeight="1" x14ac:dyDescent="0.3">
      <c r="I165" s="3"/>
      <c r="J165" s="7"/>
      <c r="K165" s="8"/>
      <c r="L165" s="8"/>
      <c r="M165" s="8"/>
      <c r="N165" s="8"/>
      <c r="O165" s="8"/>
      <c r="P165" s="519"/>
      <c r="Q165" s="521"/>
      <c r="R165" s="396"/>
      <c r="S165" s="396"/>
      <c r="T165" s="190" t="str">
        <f t="shared" si="18"/>
        <v/>
      </c>
      <c r="U165" s="190" t="str">
        <f t="shared" si="22"/>
        <v/>
      </c>
      <c r="V165" s="362"/>
    </row>
    <row r="166" spans="1:23" ht="18" customHeight="1" x14ac:dyDescent="0.3">
      <c r="A166" s="443"/>
      <c r="B166" s="443"/>
      <c r="C166" s="443"/>
      <c r="D166" s="443"/>
      <c r="E166" s="443"/>
      <c r="F166" s="443"/>
      <c r="G166" s="443"/>
      <c r="H166" s="458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58"/>
      <c r="U166" s="443"/>
      <c r="V166" s="443"/>
      <c r="W166" s="443"/>
    </row>
    <row r="167" spans="1:23" ht="18.75" customHeight="1" x14ac:dyDescent="0.3">
      <c r="H167" s="2"/>
      <c r="T167" s="2"/>
    </row>
    <row r="168" spans="1:23" ht="18" customHeight="1" x14ac:dyDescent="0.3">
      <c r="G168" s="2"/>
      <c r="N168" s="2"/>
      <c r="O168" s="2"/>
      <c r="P168" s="2"/>
      <c r="Q168" s="2"/>
    </row>
    <row r="169" spans="1:23" ht="18" customHeight="1" x14ac:dyDescent="0.3">
      <c r="G169" s="2"/>
      <c r="N169" s="2"/>
      <c r="O169" s="2"/>
      <c r="P169" s="2"/>
      <c r="Q169" s="2"/>
    </row>
    <row r="170" spans="1:23" ht="18" customHeight="1" x14ac:dyDescent="0.3">
      <c r="G170" s="2"/>
      <c r="N170" s="2"/>
      <c r="O170" s="2"/>
      <c r="P170" s="2"/>
      <c r="Q170" s="2"/>
    </row>
    <row r="171" spans="1:23" ht="18" customHeight="1" x14ac:dyDescent="0.3">
      <c r="G171" s="2"/>
      <c r="N171" s="2"/>
      <c r="O171" s="2"/>
      <c r="P171" s="2"/>
      <c r="Q171" s="2"/>
    </row>
    <row r="172" spans="1:23" ht="18" customHeight="1" x14ac:dyDescent="0.3">
      <c r="G172" s="2"/>
      <c r="N172" s="2"/>
      <c r="O172" s="2"/>
      <c r="P172" s="2"/>
      <c r="Q172" s="2"/>
    </row>
    <row r="173" spans="1:23" ht="18" customHeight="1" x14ac:dyDescent="0.3">
      <c r="G173" s="2"/>
      <c r="N173" s="2"/>
      <c r="O173" s="2"/>
      <c r="P173" s="2"/>
      <c r="Q173" s="2"/>
    </row>
    <row r="174" spans="1:23" ht="18" customHeight="1" x14ac:dyDescent="0.3">
      <c r="G174" s="2"/>
      <c r="N174" s="2"/>
      <c r="O174" s="2"/>
      <c r="P174" s="2"/>
      <c r="Q174" s="2"/>
    </row>
    <row r="175" spans="1:23" ht="18" customHeight="1" x14ac:dyDescent="0.3">
      <c r="G175" s="2"/>
      <c r="N175" s="2"/>
      <c r="O175" s="2"/>
      <c r="P175" s="2"/>
      <c r="Q175" s="2"/>
    </row>
    <row r="176" spans="1:23" ht="18" customHeight="1" x14ac:dyDescent="0.3">
      <c r="G176" s="2"/>
      <c r="N176" s="2"/>
      <c r="O176" s="2"/>
      <c r="P176" s="2"/>
      <c r="Q176" s="2"/>
    </row>
    <row r="177" spans="7:17" ht="18" customHeight="1" x14ac:dyDescent="0.3">
      <c r="G177" s="2"/>
      <c r="N177" s="2"/>
      <c r="O177" s="2"/>
      <c r="P177" s="2"/>
      <c r="Q177" s="2"/>
    </row>
    <row r="178" spans="7:17" ht="18" customHeight="1" x14ac:dyDescent="0.3">
      <c r="G178" s="2"/>
      <c r="N178" s="2"/>
      <c r="O178" s="2"/>
      <c r="P178" s="2"/>
      <c r="Q178" s="2"/>
    </row>
    <row r="179" spans="7:17" ht="18" customHeight="1" x14ac:dyDescent="0.3">
      <c r="G179" s="2"/>
      <c r="N179" s="2"/>
      <c r="O179" s="2"/>
      <c r="P179" s="2"/>
      <c r="Q179" s="2"/>
    </row>
    <row r="180" spans="7:17" ht="18" customHeight="1" x14ac:dyDescent="0.3">
      <c r="G180" s="2"/>
      <c r="N180" s="2"/>
      <c r="O180" s="2"/>
      <c r="P180" s="2"/>
      <c r="Q180" s="2"/>
    </row>
    <row r="181" spans="7:17" ht="18" customHeight="1" x14ac:dyDescent="0.3">
      <c r="G181" s="2"/>
      <c r="N181" s="2"/>
      <c r="O181" s="2"/>
      <c r="P181" s="2"/>
      <c r="Q181" s="2"/>
    </row>
    <row r="182" spans="7:17" ht="18" customHeight="1" x14ac:dyDescent="0.3">
      <c r="G182" s="2"/>
      <c r="N182" s="2"/>
      <c r="O182" s="2"/>
      <c r="P182" s="2"/>
      <c r="Q182" s="2"/>
    </row>
    <row r="183" spans="7:17" ht="18" customHeight="1" x14ac:dyDescent="0.3">
      <c r="G183" s="2"/>
      <c r="N183" s="2"/>
      <c r="O183" s="2"/>
      <c r="P183" s="2"/>
      <c r="Q183" s="2"/>
    </row>
    <row r="184" spans="7:17" ht="18" customHeight="1" x14ac:dyDescent="0.3">
      <c r="G184" s="2"/>
      <c r="N184" s="2"/>
      <c r="O184" s="2"/>
      <c r="P184" s="2"/>
      <c r="Q184" s="2"/>
    </row>
    <row r="185" spans="7:17" ht="18" customHeight="1" x14ac:dyDescent="0.3">
      <c r="G185" s="2"/>
      <c r="N185" s="2"/>
      <c r="O185" s="2"/>
      <c r="P185" s="2"/>
      <c r="Q185" s="2"/>
    </row>
    <row r="186" spans="7:17" ht="18" customHeight="1" x14ac:dyDescent="0.3">
      <c r="G186" s="2"/>
      <c r="N186" s="2"/>
      <c r="O186" s="2"/>
      <c r="P186" s="2"/>
      <c r="Q186" s="2"/>
    </row>
    <row r="187" spans="7:17" ht="18" customHeight="1" x14ac:dyDescent="0.3">
      <c r="G187" s="2"/>
      <c r="N187" s="2"/>
      <c r="O187" s="2"/>
      <c r="P187" s="2"/>
      <c r="Q187" s="2"/>
    </row>
    <row r="188" spans="7:17" ht="18" customHeight="1" x14ac:dyDescent="0.3">
      <c r="G188" s="2"/>
      <c r="N188" s="2"/>
      <c r="O188" s="2"/>
      <c r="P188" s="2"/>
      <c r="Q188" s="2"/>
    </row>
    <row r="189" spans="7:17" ht="18" customHeight="1" x14ac:dyDescent="0.3">
      <c r="G189" s="2"/>
      <c r="N189" s="2"/>
      <c r="O189" s="2"/>
      <c r="P189" s="2"/>
      <c r="Q189" s="2"/>
    </row>
    <row r="190" spans="7:17" ht="18" customHeight="1" x14ac:dyDescent="0.3">
      <c r="G190" s="2"/>
      <c r="N190" s="2"/>
      <c r="O190" s="2"/>
      <c r="P190" s="2"/>
      <c r="Q190" s="2"/>
    </row>
    <row r="191" spans="7:17" ht="18" customHeight="1" x14ac:dyDescent="0.3">
      <c r="G191" s="2"/>
      <c r="N191" s="2"/>
      <c r="O191" s="2"/>
      <c r="P191" s="2"/>
      <c r="Q191" s="2"/>
    </row>
    <row r="192" spans="7:17" ht="18" customHeight="1" x14ac:dyDescent="0.3">
      <c r="G192" s="2"/>
      <c r="N192" s="2"/>
      <c r="O192" s="2"/>
      <c r="P192" s="2"/>
      <c r="Q192" s="2"/>
    </row>
    <row r="193" spans="7:17" ht="18" customHeight="1" x14ac:dyDescent="0.3">
      <c r="G193" s="2"/>
      <c r="N193" s="2"/>
      <c r="O193" s="2"/>
      <c r="P193" s="2"/>
      <c r="Q193" s="2"/>
    </row>
    <row r="194" spans="7:17" ht="18" customHeight="1" x14ac:dyDescent="0.3">
      <c r="G194" s="2"/>
      <c r="N194" s="2"/>
      <c r="O194" s="2"/>
      <c r="P194" s="2"/>
      <c r="Q194" s="2"/>
    </row>
    <row r="195" spans="7:17" ht="18" customHeight="1" x14ac:dyDescent="0.3">
      <c r="G195" s="2"/>
      <c r="N195" s="2"/>
      <c r="O195" s="2"/>
      <c r="P195" s="2"/>
      <c r="Q195" s="2"/>
    </row>
    <row r="196" spans="7:17" ht="18" customHeight="1" x14ac:dyDescent="0.3">
      <c r="G196" s="2"/>
      <c r="N196" s="2"/>
      <c r="O196" s="2"/>
      <c r="P196" s="2"/>
      <c r="Q196" s="2"/>
    </row>
    <row r="197" spans="7:17" ht="18" customHeight="1" x14ac:dyDescent="0.3">
      <c r="G197" s="2"/>
      <c r="N197" s="2"/>
      <c r="O197" s="2"/>
      <c r="P197" s="2"/>
      <c r="Q197" s="2"/>
    </row>
    <row r="198" spans="7:17" ht="18" customHeight="1" x14ac:dyDescent="0.3">
      <c r="G198" s="2"/>
      <c r="N198" s="2"/>
      <c r="O198" s="2"/>
      <c r="P198" s="2"/>
      <c r="Q198" s="2"/>
    </row>
    <row r="199" spans="7:17" ht="18" customHeight="1" x14ac:dyDescent="0.3">
      <c r="G199" s="2"/>
      <c r="N199" s="2"/>
      <c r="O199" s="2"/>
      <c r="P199" s="2"/>
      <c r="Q199" s="2"/>
    </row>
    <row r="200" spans="7:17" ht="18" customHeight="1" x14ac:dyDescent="0.3">
      <c r="G200" s="2"/>
      <c r="N200" s="2"/>
      <c r="O200" s="2"/>
      <c r="P200" s="2"/>
      <c r="Q200" s="2"/>
    </row>
    <row r="201" spans="7:17" ht="18" customHeight="1" x14ac:dyDescent="0.3">
      <c r="G201" s="2"/>
      <c r="N201" s="2"/>
      <c r="O201" s="2"/>
      <c r="P201" s="2"/>
      <c r="Q201" s="2"/>
    </row>
    <row r="202" spans="7:17" ht="18" customHeight="1" x14ac:dyDescent="0.3">
      <c r="G202" s="2"/>
      <c r="N202" s="2"/>
      <c r="O202" s="2"/>
      <c r="P202" s="2"/>
      <c r="Q202" s="2"/>
    </row>
    <row r="203" spans="7:17" ht="18" customHeight="1" x14ac:dyDescent="0.3">
      <c r="G203" s="2"/>
      <c r="N203" s="2"/>
      <c r="O203" s="2"/>
      <c r="P203" s="2"/>
      <c r="Q203" s="2"/>
    </row>
    <row r="204" spans="7:17" ht="18" customHeight="1" x14ac:dyDescent="0.3">
      <c r="G204" s="2"/>
      <c r="N204" s="2"/>
      <c r="O204" s="2"/>
      <c r="P204" s="2"/>
      <c r="Q204" s="2"/>
    </row>
    <row r="205" spans="7:17" ht="18" customHeight="1" x14ac:dyDescent="0.3">
      <c r="G205" s="2"/>
      <c r="N205" s="2"/>
      <c r="O205" s="2"/>
      <c r="P205" s="2"/>
      <c r="Q205" s="2"/>
    </row>
    <row r="206" spans="7:17" ht="18" customHeight="1" x14ac:dyDescent="0.3">
      <c r="G206" s="2"/>
      <c r="N206" s="2"/>
      <c r="O206" s="2"/>
      <c r="P206" s="2"/>
      <c r="Q206" s="2"/>
    </row>
    <row r="207" spans="7:17" ht="18" customHeight="1" x14ac:dyDescent="0.3">
      <c r="G207" s="2"/>
      <c r="N207" s="2"/>
      <c r="O207" s="2"/>
      <c r="P207" s="2"/>
      <c r="Q207" s="2"/>
    </row>
    <row r="208" spans="7:17" ht="18" customHeight="1" x14ac:dyDescent="0.3">
      <c r="G208" s="2"/>
      <c r="N208" s="2"/>
      <c r="O208" s="2"/>
      <c r="P208" s="2"/>
      <c r="Q208" s="2"/>
    </row>
    <row r="209" spans="7:17" ht="18" customHeight="1" x14ac:dyDescent="0.3">
      <c r="G209" s="2"/>
      <c r="N209" s="2"/>
      <c r="O209" s="2"/>
      <c r="P209" s="2"/>
      <c r="Q209" s="2"/>
    </row>
    <row r="210" spans="7:17" ht="18" customHeight="1" x14ac:dyDescent="0.3">
      <c r="G210" s="2"/>
      <c r="N210" s="2"/>
      <c r="O210" s="2"/>
      <c r="P210" s="2"/>
      <c r="Q210" s="2"/>
    </row>
    <row r="211" spans="7:17" ht="18" customHeight="1" x14ac:dyDescent="0.3">
      <c r="G211" s="2"/>
      <c r="N211" s="2"/>
      <c r="O211" s="2"/>
      <c r="P211" s="2"/>
      <c r="Q211" s="2"/>
    </row>
    <row r="212" spans="7:17" ht="18" customHeight="1" x14ac:dyDescent="0.3">
      <c r="G212" s="2"/>
      <c r="N212" s="2"/>
      <c r="O212" s="2"/>
      <c r="P212" s="2"/>
      <c r="Q212" s="2"/>
    </row>
    <row r="213" spans="7:17" ht="18" customHeight="1" x14ac:dyDescent="0.3">
      <c r="G213" s="2"/>
      <c r="N213" s="2"/>
      <c r="O213" s="2"/>
      <c r="P213" s="2"/>
      <c r="Q213" s="2"/>
    </row>
    <row r="214" spans="7:17" ht="18" customHeight="1" x14ac:dyDescent="0.3">
      <c r="G214" s="2"/>
      <c r="N214" s="2"/>
      <c r="O214" s="2"/>
      <c r="P214" s="2"/>
      <c r="Q214" s="2"/>
    </row>
    <row r="215" spans="7:17" ht="18" customHeight="1" x14ac:dyDescent="0.3">
      <c r="G215" s="2"/>
      <c r="N215" s="2"/>
      <c r="O215" s="2"/>
      <c r="P215" s="2"/>
      <c r="Q215" s="2"/>
    </row>
    <row r="216" spans="7:17" ht="18" customHeight="1" x14ac:dyDescent="0.3">
      <c r="G216" s="2"/>
      <c r="N216" s="2"/>
      <c r="O216" s="2"/>
      <c r="P216" s="2"/>
      <c r="Q216" s="2"/>
    </row>
    <row r="217" spans="7:17" ht="18" customHeight="1" x14ac:dyDescent="0.3">
      <c r="G217" s="2"/>
      <c r="N217" s="2"/>
      <c r="O217" s="2"/>
      <c r="P217" s="2"/>
      <c r="Q217" s="2"/>
    </row>
    <row r="218" spans="7:17" ht="18" customHeight="1" x14ac:dyDescent="0.3">
      <c r="G218" s="2"/>
      <c r="N218" s="2"/>
      <c r="O218" s="2"/>
      <c r="P218" s="2"/>
      <c r="Q218" s="2"/>
    </row>
    <row r="219" spans="7:17" ht="18" customHeight="1" x14ac:dyDescent="0.3">
      <c r="G219" s="2"/>
      <c r="N219" s="2"/>
      <c r="O219" s="2"/>
      <c r="P219" s="2"/>
      <c r="Q219" s="2"/>
    </row>
    <row r="220" spans="7:17" ht="18" customHeight="1" x14ac:dyDescent="0.3">
      <c r="G220" s="2"/>
      <c r="N220" s="2"/>
      <c r="O220" s="2"/>
      <c r="P220" s="2"/>
      <c r="Q220" s="2"/>
    </row>
    <row r="221" spans="7:17" ht="18" customHeight="1" x14ac:dyDescent="0.3">
      <c r="G221" s="2"/>
      <c r="N221" s="2"/>
      <c r="O221" s="2"/>
      <c r="P221" s="2"/>
      <c r="Q221" s="2"/>
    </row>
    <row r="222" spans="7:17" ht="18" customHeight="1" x14ac:dyDescent="0.3">
      <c r="G222" s="2"/>
      <c r="N222" s="2"/>
      <c r="O222" s="2"/>
      <c r="P222" s="2"/>
      <c r="Q222" s="2"/>
    </row>
    <row r="223" spans="7:17" ht="18" customHeight="1" x14ac:dyDescent="0.3">
      <c r="G223" s="2"/>
      <c r="N223" s="2"/>
      <c r="O223" s="2"/>
      <c r="P223" s="2"/>
      <c r="Q223" s="2"/>
    </row>
    <row r="224" spans="7:17" ht="18" customHeight="1" x14ac:dyDescent="0.3">
      <c r="G224" s="2"/>
      <c r="N224" s="2"/>
      <c r="O224" s="2"/>
      <c r="P224" s="2"/>
      <c r="Q224" s="2"/>
    </row>
    <row r="225" spans="7:17" ht="18" customHeight="1" x14ac:dyDescent="0.3">
      <c r="G225" s="2"/>
      <c r="N225" s="2"/>
      <c r="O225" s="2"/>
      <c r="P225" s="2"/>
      <c r="Q225" s="2"/>
    </row>
    <row r="226" spans="7:17" ht="18" customHeight="1" x14ac:dyDescent="0.3">
      <c r="G226" s="2"/>
      <c r="N226" s="2"/>
      <c r="O226" s="2"/>
      <c r="P226" s="2"/>
      <c r="Q226" s="2"/>
    </row>
    <row r="227" spans="7:17" ht="18" customHeight="1" x14ac:dyDescent="0.3">
      <c r="G227" s="2"/>
      <c r="N227" s="2"/>
      <c r="O227" s="2"/>
      <c r="P227" s="2"/>
      <c r="Q227" s="2"/>
    </row>
    <row r="228" spans="7:17" ht="18" customHeight="1" x14ac:dyDescent="0.3">
      <c r="G228" s="2"/>
      <c r="N228" s="2"/>
      <c r="O228" s="2"/>
      <c r="P228" s="2"/>
      <c r="Q228" s="2"/>
    </row>
    <row r="229" spans="7:17" ht="18" customHeight="1" x14ac:dyDescent="0.3">
      <c r="G229" s="2"/>
      <c r="N229" s="2"/>
      <c r="O229" s="2"/>
      <c r="P229" s="2"/>
      <c r="Q229" s="2"/>
    </row>
    <row r="230" spans="7:17" ht="18" customHeight="1" x14ac:dyDescent="0.3">
      <c r="G230" s="2"/>
      <c r="N230" s="2"/>
      <c r="O230" s="2"/>
      <c r="P230" s="2"/>
      <c r="Q230" s="2"/>
    </row>
    <row r="231" spans="7:17" ht="18" customHeight="1" x14ac:dyDescent="0.3">
      <c r="G231" s="2"/>
      <c r="N231" s="2"/>
      <c r="O231" s="2"/>
      <c r="P231" s="2"/>
      <c r="Q231" s="2"/>
    </row>
    <row r="232" spans="7:17" ht="18" customHeight="1" x14ac:dyDescent="0.3">
      <c r="G232" s="2"/>
      <c r="N232" s="2"/>
      <c r="O232" s="2"/>
      <c r="P232" s="2"/>
      <c r="Q232" s="2"/>
    </row>
    <row r="233" spans="7:17" ht="18" customHeight="1" x14ac:dyDescent="0.3">
      <c r="G233" s="2"/>
      <c r="N233" s="2"/>
      <c r="O233" s="2"/>
      <c r="P233" s="2"/>
      <c r="Q233" s="2"/>
    </row>
    <row r="234" spans="7:17" ht="18" customHeight="1" x14ac:dyDescent="0.3">
      <c r="G234" s="2"/>
      <c r="N234" s="2"/>
      <c r="O234" s="2"/>
      <c r="P234" s="2"/>
      <c r="Q234" s="2"/>
    </row>
    <row r="235" spans="7:17" ht="18" customHeight="1" x14ac:dyDescent="0.3">
      <c r="G235" s="2"/>
      <c r="N235" s="2"/>
      <c r="O235" s="2"/>
      <c r="P235" s="2"/>
      <c r="Q235" s="2"/>
    </row>
    <row r="236" spans="7:17" ht="18" customHeight="1" x14ac:dyDescent="0.3">
      <c r="G236" s="2"/>
      <c r="N236" s="2"/>
      <c r="O236" s="2"/>
      <c r="P236" s="2"/>
      <c r="Q236" s="2"/>
    </row>
    <row r="237" spans="7:17" ht="18" customHeight="1" x14ac:dyDescent="0.3">
      <c r="G237" s="2"/>
      <c r="N237" s="2"/>
      <c r="O237" s="2"/>
      <c r="P237" s="2"/>
      <c r="Q237" s="2"/>
    </row>
    <row r="238" spans="7:17" ht="18" customHeight="1" x14ac:dyDescent="0.3">
      <c r="G238" s="2"/>
      <c r="N238" s="2"/>
      <c r="O238" s="2"/>
      <c r="P238" s="2"/>
      <c r="Q238" s="2"/>
    </row>
    <row r="239" spans="7:17" ht="18" customHeight="1" x14ac:dyDescent="0.3">
      <c r="G239" s="2"/>
      <c r="N239" s="2"/>
      <c r="O239" s="2"/>
      <c r="P239" s="2"/>
      <c r="Q239" s="2"/>
    </row>
    <row r="240" spans="7:17" ht="18" customHeight="1" x14ac:dyDescent="0.3">
      <c r="G240" s="2"/>
      <c r="N240" s="2"/>
      <c r="O240" s="2"/>
      <c r="P240" s="2"/>
      <c r="Q240" s="2"/>
    </row>
    <row r="241" spans="7:17" ht="18" customHeight="1" x14ac:dyDescent="0.3">
      <c r="G241" s="2"/>
      <c r="N241" s="2"/>
      <c r="O241" s="2"/>
      <c r="P241" s="2"/>
      <c r="Q241" s="2"/>
    </row>
    <row r="242" spans="7:17" ht="18" customHeight="1" x14ac:dyDescent="0.3">
      <c r="G242" s="2"/>
      <c r="N242" s="2"/>
      <c r="O242" s="2"/>
      <c r="P242" s="2"/>
      <c r="Q242" s="2"/>
    </row>
    <row r="243" spans="7:17" ht="18" customHeight="1" x14ac:dyDescent="0.3">
      <c r="G243" s="2"/>
      <c r="N243" s="2"/>
      <c r="O243" s="2"/>
      <c r="P243" s="2"/>
      <c r="Q243" s="2"/>
    </row>
    <row r="244" spans="7:17" ht="18" customHeight="1" x14ac:dyDescent="0.3">
      <c r="G244" s="2"/>
      <c r="N244" s="2"/>
      <c r="O244" s="2"/>
      <c r="P244" s="2"/>
      <c r="Q244" s="2"/>
    </row>
    <row r="245" spans="7:17" ht="18" customHeight="1" x14ac:dyDescent="0.3">
      <c r="G245" s="2"/>
      <c r="N245" s="2"/>
      <c r="O245" s="2"/>
      <c r="P245" s="2"/>
      <c r="Q245" s="2"/>
    </row>
    <row r="246" spans="7:17" ht="18" customHeight="1" x14ac:dyDescent="0.3">
      <c r="G246" s="2"/>
      <c r="N246" s="2"/>
      <c r="O246" s="2"/>
      <c r="P246" s="2"/>
      <c r="Q246" s="2"/>
    </row>
    <row r="247" spans="7:17" ht="18" customHeight="1" x14ac:dyDescent="0.3">
      <c r="G247" s="2"/>
      <c r="N247" s="2"/>
      <c r="O247" s="2"/>
      <c r="P247" s="2"/>
      <c r="Q247" s="2"/>
    </row>
    <row r="248" spans="7:17" ht="18" customHeight="1" x14ac:dyDescent="0.3">
      <c r="G248" s="2"/>
      <c r="N248" s="2"/>
      <c r="O248" s="2"/>
      <c r="P248" s="2"/>
      <c r="Q248" s="2"/>
    </row>
    <row r="249" spans="7:17" ht="18" customHeight="1" x14ac:dyDescent="0.3">
      <c r="G249" s="2"/>
      <c r="N249" s="2"/>
      <c r="O249" s="2"/>
      <c r="P249" s="2"/>
      <c r="Q249" s="2"/>
    </row>
    <row r="250" spans="7:17" ht="18" customHeight="1" x14ac:dyDescent="0.3">
      <c r="G250" s="2"/>
      <c r="N250" s="2"/>
      <c r="O250" s="2"/>
      <c r="P250" s="2"/>
      <c r="Q250" s="2"/>
    </row>
    <row r="251" spans="7:17" ht="18" customHeight="1" x14ac:dyDescent="0.3">
      <c r="G251" s="2"/>
      <c r="N251" s="2"/>
      <c r="O251" s="2"/>
      <c r="P251" s="2"/>
      <c r="Q251" s="2"/>
    </row>
    <row r="252" spans="7:17" ht="18" customHeight="1" x14ac:dyDescent="0.3">
      <c r="G252" s="2"/>
      <c r="N252" s="2"/>
      <c r="O252" s="2"/>
      <c r="P252" s="2"/>
      <c r="Q252" s="2"/>
    </row>
    <row r="253" spans="7:17" ht="18" customHeight="1" x14ac:dyDescent="0.3">
      <c r="G253" s="2"/>
      <c r="N253" s="2"/>
      <c r="O253" s="2"/>
      <c r="P253" s="2"/>
      <c r="Q253" s="2"/>
    </row>
    <row r="254" spans="7:17" ht="18" customHeight="1" x14ac:dyDescent="0.3">
      <c r="G254" s="2"/>
      <c r="N254" s="2"/>
      <c r="O254" s="2"/>
      <c r="P254" s="2"/>
      <c r="Q254" s="2"/>
    </row>
    <row r="255" spans="7:17" ht="18" customHeight="1" x14ac:dyDescent="0.3">
      <c r="G255" s="2"/>
      <c r="N255" s="2"/>
      <c r="O255" s="2"/>
      <c r="P255" s="2"/>
      <c r="Q255" s="2"/>
    </row>
    <row r="256" spans="7:17" ht="18" customHeight="1" x14ac:dyDescent="0.3">
      <c r="G256" s="2"/>
      <c r="N256" s="2"/>
      <c r="O256" s="2"/>
      <c r="P256" s="2"/>
      <c r="Q256" s="2"/>
    </row>
    <row r="257" spans="7:17" ht="18" customHeight="1" x14ac:dyDescent="0.3">
      <c r="G257" s="2"/>
      <c r="N257" s="2"/>
      <c r="O257" s="2"/>
      <c r="P257" s="2"/>
      <c r="Q257" s="2"/>
    </row>
    <row r="258" spans="7:17" ht="18" customHeight="1" x14ac:dyDescent="0.3">
      <c r="G258" s="2"/>
      <c r="N258" s="2"/>
      <c r="O258" s="2"/>
      <c r="P258" s="2"/>
      <c r="Q258" s="2"/>
    </row>
    <row r="259" spans="7:17" ht="18" customHeight="1" x14ac:dyDescent="0.3">
      <c r="G259" s="2"/>
      <c r="N259" s="2"/>
      <c r="O259" s="2"/>
      <c r="P259" s="2"/>
      <c r="Q259" s="2"/>
    </row>
    <row r="260" spans="7:17" ht="18" customHeight="1" x14ac:dyDescent="0.3">
      <c r="G260" s="2"/>
      <c r="N260" s="2"/>
      <c r="O260" s="2"/>
      <c r="P260" s="2"/>
      <c r="Q260" s="2"/>
    </row>
    <row r="261" spans="7:17" ht="18" customHeight="1" x14ac:dyDescent="0.3">
      <c r="G261" s="2"/>
      <c r="N261" s="2"/>
      <c r="O261" s="2"/>
      <c r="P261" s="2"/>
      <c r="Q261" s="2"/>
    </row>
    <row r="262" spans="7:17" ht="18" customHeight="1" x14ac:dyDescent="0.3">
      <c r="G262" s="2"/>
      <c r="N262" s="2"/>
      <c r="O262" s="2"/>
      <c r="P262" s="2"/>
      <c r="Q262" s="2"/>
    </row>
    <row r="263" spans="7:17" ht="18" customHeight="1" x14ac:dyDescent="0.3">
      <c r="G263" s="2"/>
      <c r="N263" s="2"/>
      <c r="O263" s="2"/>
      <c r="P263" s="2"/>
      <c r="Q263" s="2"/>
    </row>
    <row r="264" spans="7:17" ht="18" customHeight="1" x14ac:dyDescent="0.3">
      <c r="G264" s="2"/>
      <c r="N264" s="2"/>
      <c r="O264" s="2"/>
      <c r="P264" s="2"/>
      <c r="Q264" s="2"/>
    </row>
    <row r="265" spans="7:17" ht="18" customHeight="1" x14ac:dyDescent="0.3">
      <c r="G265" s="2"/>
      <c r="N265" s="2"/>
      <c r="O265" s="2"/>
      <c r="P265" s="2"/>
      <c r="Q265" s="2"/>
    </row>
    <row r="266" spans="7:17" ht="18" customHeight="1" x14ac:dyDescent="0.3">
      <c r="G266" s="2"/>
      <c r="N266" s="2"/>
      <c r="O266" s="2"/>
      <c r="P266" s="2"/>
      <c r="Q266" s="2"/>
    </row>
    <row r="267" spans="7:17" ht="18" customHeight="1" x14ac:dyDescent="0.3">
      <c r="G267" s="2"/>
      <c r="N267" s="2"/>
      <c r="O267" s="2"/>
      <c r="P267" s="2"/>
      <c r="Q267" s="2"/>
    </row>
    <row r="268" spans="7:17" ht="18" customHeight="1" x14ac:dyDescent="0.3">
      <c r="G268" s="2"/>
      <c r="N268" s="2"/>
      <c r="O268" s="2"/>
      <c r="P268" s="2"/>
      <c r="Q268" s="2"/>
    </row>
    <row r="269" spans="7:17" ht="18" customHeight="1" x14ac:dyDescent="0.3">
      <c r="G269" s="2"/>
      <c r="N269" s="2"/>
      <c r="O269" s="2"/>
      <c r="P269" s="2"/>
      <c r="Q269" s="2"/>
    </row>
    <row r="270" spans="7:17" ht="18" customHeight="1" x14ac:dyDescent="0.3">
      <c r="G270" s="2"/>
      <c r="N270" s="2"/>
      <c r="O270" s="2"/>
      <c r="P270" s="2"/>
      <c r="Q270" s="2"/>
    </row>
    <row r="271" spans="7:17" ht="18" customHeight="1" x14ac:dyDescent="0.3">
      <c r="G271" s="2"/>
      <c r="N271" s="2"/>
      <c r="O271" s="2"/>
      <c r="P271" s="2"/>
      <c r="Q271" s="2"/>
    </row>
    <row r="272" spans="7:17" ht="18" customHeight="1" x14ac:dyDescent="0.3">
      <c r="G272" s="2"/>
      <c r="N272" s="2"/>
      <c r="O272" s="2"/>
      <c r="P272" s="2"/>
      <c r="Q272" s="2"/>
    </row>
    <row r="273" spans="7:17" ht="18" customHeight="1" x14ac:dyDescent="0.3">
      <c r="G273" s="2"/>
      <c r="N273" s="2"/>
      <c r="O273" s="2"/>
      <c r="P273" s="2"/>
      <c r="Q273" s="2"/>
    </row>
    <row r="274" spans="7:17" ht="18" customHeight="1" x14ac:dyDescent="0.3">
      <c r="G274" s="2"/>
      <c r="N274" s="2"/>
      <c r="O274" s="2"/>
      <c r="P274" s="2"/>
      <c r="Q274" s="2"/>
    </row>
    <row r="275" spans="7:17" ht="18" customHeight="1" x14ac:dyDescent="0.3">
      <c r="G275" s="2"/>
      <c r="N275" s="2"/>
      <c r="O275" s="2"/>
      <c r="P275" s="2"/>
      <c r="Q275" s="2"/>
    </row>
    <row r="276" spans="7:17" ht="18" customHeight="1" x14ac:dyDescent="0.3">
      <c r="G276" s="2"/>
      <c r="N276" s="2"/>
      <c r="O276" s="2"/>
      <c r="P276" s="2"/>
      <c r="Q276" s="2"/>
    </row>
    <row r="277" spans="7:17" ht="18" customHeight="1" x14ac:dyDescent="0.3">
      <c r="G277" s="2"/>
      <c r="N277" s="2"/>
      <c r="O277" s="2"/>
      <c r="P277" s="2"/>
      <c r="Q277" s="2"/>
    </row>
    <row r="278" spans="7:17" ht="18" customHeight="1" x14ac:dyDescent="0.3">
      <c r="G278" s="2"/>
      <c r="N278" s="2"/>
      <c r="O278" s="2"/>
      <c r="P278" s="2"/>
      <c r="Q278" s="2"/>
    </row>
    <row r="279" spans="7:17" ht="18" customHeight="1" x14ac:dyDescent="0.3">
      <c r="G279" s="2"/>
      <c r="N279" s="2"/>
      <c r="O279" s="2"/>
      <c r="P279" s="2"/>
      <c r="Q279" s="2"/>
    </row>
    <row r="280" spans="7:17" ht="18" customHeight="1" x14ac:dyDescent="0.3">
      <c r="G280" s="2"/>
      <c r="N280" s="2"/>
      <c r="O280" s="2"/>
      <c r="P280" s="2"/>
      <c r="Q280" s="2"/>
    </row>
    <row r="281" spans="7:17" ht="18" customHeight="1" x14ac:dyDescent="0.3">
      <c r="G281" s="2"/>
      <c r="N281" s="2"/>
      <c r="O281" s="2"/>
      <c r="P281" s="2"/>
      <c r="Q281" s="2"/>
    </row>
    <row r="282" spans="7:17" ht="18" customHeight="1" x14ac:dyDescent="0.3">
      <c r="G282" s="2"/>
      <c r="N282" s="2"/>
      <c r="O282" s="2"/>
      <c r="P282" s="2"/>
      <c r="Q282" s="2"/>
    </row>
    <row r="283" spans="7:17" ht="18" customHeight="1" x14ac:dyDescent="0.3">
      <c r="G283" s="2"/>
      <c r="N283" s="2"/>
      <c r="O283" s="2"/>
      <c r="P283" s="2"/>
      <c r="Q283" s="2"/>
    </row>
    <row r="284" spans="7:17" ht="18" customHeight="1" x14ac:dyDescent="0.3">
      <c r="G284" s="2"/>
      <c r="N284" s="2"/>
      <c r="O284" s="2"/>
      <c r="P284" s="2"/>
      <c r="Q284" s="2"/>
    </row>
    <row r="285" spans="7:17" ht="18" customHeight="1" x14ac:dyDescent="0.3">
      <c r="G285" s="2"/>
      <c r="N285" s="2"/>
      <c r="O285" s="2"/>
      <c r="P285" s="2"/>
      <c r="Q285" s="2"/>
    </row>
    <row r="286" spans="7:17" ht="18" customHeight="1" x14ac:dyDescent="0.3">
      <c r="G286" s="2"/>
      <c r="N286" s="2"/>
      <c r="O286" s="2"/>
      <c r="P286" s="2"/>
      <c r="Q286" s="2"/>
    </row>
    <row r="287" spans="7:17" ht="18" customHeight="1" x14ac:dyDescent="0.3">
      <c r="G287" s="2"/>
      <c r="N287" s="2"/>
      <c r="O287" s="2"/>
      <c r="P287" s="2"/>
      <c r="Q287" s="2"/>
    </row>
    <row r="288" spans="7:17" ht="18" customHeight="1" x14ac:dyDescent="0.3">
      <c r="G288" s="2"/>
      <c r="N288" s="2"/>
      <c r="O288" s="2"/>
      <c r="P288" s="2"/>
      <c r="Q288" s="2"/>
    </row>
    <row r="289" spans="7:17" ht="18" customHeight="1" x14ac:dyDescent="0.3">
      <c r="G289" s="2"/>
      <c r="N289" s="2"/>
      <c r="O289" s="2"/>
      <c r="P289" s="2"/>
      <c r="Q289" s="2"/>
    </row>
    <row r="290" spans="7:17" ht="18" customHeight="1" x14ac:dyDescent="0.3">
      <c r="G290" s="2"/>
      <c r="N290" s="2"/>
      <c r="O290" s="2"/>
      <c r="P290" s="2"/>
      <c r="Q290" s="2"/>
    </row>
    <row r="291" spans="7:17" ht="18" customHeight="1" x14ac:dyDescent="0.3">
      <c r="G291" s="2"/>
      <c r="N291" s="2"/>
      <c r="O291" s="2"/>
      <c r="P291" s="2"/>
      <c r="Q291" s="2"/>
    </row>
    <row r="292" spans="7:17" ht="18" customHeight="1" x14ac:dyDescent="0.3">
      <c r="G292" s="2"/>
      <c r="N292" s="2"/>
      <c r="O292" s="2"/>
      <c r="P292" s="2"/>
      <c r="Q292" s="2"/>
    </row>
    <row r="293" spans="7:17" ht="18" customHeight="1" x14ac:dyDescent="0.3">
      <c r="G293" s="2"/>
      <c r="N293" s="2"/>
      <c r="O293" s="2"/>
      <c r="P293" s="2"/>
      <c r="Q293" s="2"/>
    </row>
    <row r="294" spans="7:17" ht="18" customHeight="1" x14ac:dyDescent="0.3">
      <c r="G294" s="2"/>
      <c r="N294" s="2"/>
      <c r="O294" s="2"/>
      <c r="P294" s="2"/>
      <c r="Q294" s="2"/>
    </row>
    <row r="295" spans="7:17" ht="18" customHeight="1" x14ac:dyDescent="0.3">
      <c r="G295" s="2"/>
      <c r="N295" s="2"/>
      <c r="O295" s="2"/>
      <c r="P295" s="2"/>
      <c r="Q295" s="2"/>
    </row>
    <row r="296" spans="7:17" ht="18" customHeight="1" x14ac:dyDescent="0.3">
      <c r="G296" s="2"/>
      <c r="N296" s="2"/>
      <c r="O296" s="2"/>
      <c r="P296" s="2"/>
      <c r="Q296" s="2"/>
    </row>
    <row r="297" spans="7:17" ht="18" customHeight="1" x14ac:dyDescent="0.3">
      <c r="G297" s="2"/>
      <c r="N297" s="2"/>
      <c r="O297" s="2"/>
      <c r="P297" s="2"/>
      <c r="Q297" s="2"/>
    </row>
    <row r="298" spans="7:17" ht="18" customHeight="1" x14ac:dyDescent="0.3">
      <c r="G298" s="2"/>
      <c r="N298" s="2"/>
      <c r="O298" s="2"/>
      <c r="P298" s="2"/>
      <c r="Q298" s="2"/>
    </row>
    <row r="299" spans="7:17" ht="18" customHeight="1" x14ac:dyDescent="0.3">
      <c r="G299" s="2"/>
      <c r="N299" s="2"/>
      <c r="O299" s="2"/>
      <c r="P299" s="2"/>
      <c r="Q299" s="2"/>
    </row>
    <row r="300" spans="7:17" ht="18" customHeight="1" x14ac:dyDescent="0.3">
      <c r="G300" s="2"/>
      <c r="N300" s="2"/>
      <c r="O300" s="2"/>
      <c r="P300" s="2"/>
      <c r="Q300" s="2"/>
    </row>
    <row r="301" spans="7:17" ht="18" customHeight="1" x14ac:dyDescent="0.3">
      <c r="G301" s="2"/>
      <c r="N301" s="2"/>
      <c r="O301" s="2"/>
      <c r="P301" s="2"/>
      <c r="Q301" s="2"/>
    </row>
    <row r="302" spans="7:17" ht="18" customHeight="1" x14ac:dyDescent="0.3">
      <c r="G302" s="2"/>
      <c r="N302" s="2"/>
      <c r="O302" s="2"/>
      <c r="P302" s="2"/>
      <c r="Q302" s="2"/>
    </row>
    <row r="303" spans="7:17" ht="18" customHeight="1" x14ac:dyDescent="0.3">
      <c r="G303" s="2"/>
      <c r="N303" s="2"/>
      <c r="O303" s="2"/>
      <c r="P303" s="2"/>
      <c r="Q303" s="2"/>
    </row>
    <row r="304" spans="7:17" ht="18" customHeight="1" x14ac:dyDescent="0.3">
      <c r="G304" s="2"/>
      <c r="N304" s="2"/>
      <c r="O304" s="2"/>
      <c r="P304" s="2"/>
      <c r="Q304" s="2"/>
    </row>
    <row r="305" spans="7:17" ht="18" customHeight="1" x14ac:dyDescent="0.3">
      <c r="G305" s="2"/>
      <c r="N305" s="2"/>
      <c r="O305" s="2"/>
      <c r="P305" s="2"/>
      <c r="Q305" s="2"/>
    </row>
    <row r="306" spans="7:17" ht="18" customHeight="1" x14ac:dyDescent="0.3">
      <c r="G306" s="2"/>
      <c r="N306" s="2"/>
      <c r="O306" s="2"/>
      <c r="P306" s="2"/>
      <c r="Q306" s="2"/>
    </row>
    <row r="307" spans="7:17" ht="18" customHeight="1" x14ac:dyDescent="0.3">
      <c r="G307" s="2"/>
      <c r="N307" s="2"/>
      <c r="O307" s="2"/>
      <c r="P307" s="2"/>
      <c r="Q307" s="2"/>
    </row>
    <row r="308" spans="7:17" ht="18" customHeight="1" x14ac:dyDescent="0.3">
      <c r="G308" s="2"/>
      <c r="N308" s="2"/>
      <c r="O308" s="2"/>
      <c r="P308" s="2"/>
      <c r="Q308" s="2"/>
    </row>
    <row r="309" spans="7:17" ht="18" customHeight="1" x14ac:dyDescent="0.3">
      <c r="G309" s="2"/>
      <c r="N309" s="2"/>
      <c r="O309" s="2"/>
      <c r="P309" s="2"/>
      <c r="Q309" s="2"/>
    </row>
    <row r="310" spans="7:17" ht="18" customHeight="1" x14ac:dyDescent="0.3">
      <c r="G310" s="2"/>
      <c r="N310" s="2"/>
      <c r="O310" s="2"/>
      <c r="P310" s="2"/>
      <c r="Q310" s="2"/>
    </row>
    <row r="311" spans="7:17" ht="18" customHeight="1" x14ac:dyDescent="0.3">
      <c r="G311" s="2"/>
      <c r="N311" s="2"/>
      <c r="O311" s="2"/>
      <c r="P311" s="2"/>
      <c r="Q311" s="2"/>
    </row>
    <row r="312" spans="7:17" ht="18" customHeight="1" x14ac:dyDescent="0.3">
      <c r="G312" s="2"/>
      <c r="N312" s="2"/>
      <c r="O312" s="2"/>
      <c r="P312" s="2"/>
      <c r="Q312" s="2"/>
    </row>
    <row r="313" spans="7:17" ht="18" customHeight="1" x14ac:dyDescent="0.3">
      <c r="G313" s="2"/>
      <c r="N313" s="2"/>
      <c r="O313" s="2"/>
      <c r="P313" s="2"/>
      <c r="Q313" s="2"/>
    </row>
    <row r="314" spans="7:17" ht="18" customHeight="1" x14ac:dyDescent="0.3">
      <c r="G314" s="2"/>
      <c r="N314" s="2"/>
      <c r="O314" s="2"/>
      <c r="P314" s="2"/>
      <c r="Q314" s="2"/>
    </row>
    <row r="315" spans="7:17" ht="18" customHeight="1" x14ac:dyDescent="0.3">
      <c r="G315" s="2"/>
      <c r="N315" s="2"/>
      <c r="O315" s="2"/>
      <c r="P315" s="2"/>
      <c r="Q315" s="2"/>
    </row>
    <row r="316" spans="7:17" ht="18" customHeight="1" x14ac:dyDescent="0.3">
      <c r="G316" s="2"/>
      <c r="N316" s="2"/>
      <c r="O316" s="2"/>
      <c r="P316" s="2"/>
      <c r="Q316" s="2"/>
    </row>
    <row r="317" spans="7:17" ht="18" customHeight="1" x14ac:dyDescent="0.3">
      <c r="G317" s="2"/>
      <c r="N317" s="2"/>
      <c r="O317" s="2"/>
      <c r="P317" s="2"/>
      <c r="Q317" s="2"/>
    </row>
    <row r="318" spans="7:17" ht="18" customHeight="1" x14ac:dyDescent="0.3">
      <c r="G318" s="2"/>
      <c r="N318" s="2"/>
      <c r="O318" s="2"/>
      <c r="P318" s="2"/>
      <c r="Q318" s="2"/>
    </row>
    <row r="319" spans="7:17" ht="18" customHeight="1" x14ac:dyDescent="0.3">
      <c r="G319" s="2"/>
      <c r="N319" s="2"/>
      <c r="O319" s="2"/>
      <c r="P319" s="2"/>
      <c r="Q319" s="2"/>
    </row>
    <row r="320" spans="7:17" ht="18" customHeight="1" x14ac:dyDescent="0.3">
      <c r="G320" s="2"/>
      <c r="N320" s="2"/>
      <c r="O320" s="2"/>
      <c r="P320" s="2"/>
      <c r="Q320" s="2"/>
    </row>
    <row r="321" spans="7:17" ht="18" customHeight="1" x14ac:dyDescent="0.3">
      <c r="G321" s="2"/>
      <c r="N321" s="2"/>
      <c r="O321" s="2"/>
      <c r="P321" s="2"/>
      <c r="Q321" s="2"/>
    </row>
    <row r="322" spans="7:17" ht="18" customHeight="1" x14ac:dyDescent="0.3">
      <c r="G322" s="2"/>
      <c r="N322" s="2"/>
      <c r="O322" s="2"/>
      <c r="P322" s="2"/>
      <c r="Q322" s="2"/>
    </row>
    <row r="323" spans="7:17" ht="18" customHeight="1" x14ac:dyDescent="0.3">
      <c r="G323" s="2"/>
      <c r="N323" s="2"/>
      <c r="O323" s="2"/>
      <c r="P323" s="2"/>
      <c r="Q323" s="2"/>
    </row>
    <row r="324" spans="7:17" ht="18" customHeight="1" x14ac:dyDescent="0.3">
      <c r="G324" s="2"/>
      <c r="N324" s="2"/>
      <c r="O324" s="2"/>
      <c r="P324" s="2"/>
      <c r="Q324" s="2"/>
    </row>
    <row r="325" spans="7:17" ht="18" customHeight="1" x14ac:dyDescent="0.3">
      <c r="G325" s="2"/>
      <c r="N325" s="2"/>
      <c r="O325" s="2"/>
      <c r="P325" s="2"/>
      <c r="Q325" s="2"/>
    </row>
    <row r="326" spans="7:17" ht="18" customHeight="1" x14ac:dyDescent="0.3">
      <c r="G326" s="2"/>
      <c r="N326" s="2"/>
      <c r="O326" s="2"/>
      <c r="P326" s="2"/>
      <c r="Q326" s="2"/>
    </row>
    <row r="327" spans="7:17" ht="18" customHeight="1" x14ac:dyDescent="0.3">
      <c r="G327" s="2"/>
      <c r="N327" s="2"/>
      <c r="O327" s="2"/>
      <c r="P327" s="2"/>
      <c r="Q327" s="2"/>
    </row>
    <row r="328" spans="7:17" ht="18" customHeight="1" x14ac:dyDescent="0.3">
      <c r="G328" s="2"/>
      <c r="N328" s="2"/>
      <c r="O328" s="2"/>
      <c r="P328" s="2"/>
      <c r="Q328" s="2"/>
    </row>
    <row r="329" spans="7:17" ht="18" customHeight="1" x14ac:dyDescent="0.3">
      <c r="G329" s="2"/>
      <c r="N329" s="2"/>
      <c r="O329" s="2"/>
      <c r="P329" s="2"/>
      <c r="Q329" s="2"/>
    </row>
    <row r="330" spans="7:17" ht="18" customHeight="1" x14ac:dyDescent="0.3">
      <c r="G330" s="2"/>
      <c r="N330" s="2"/>
      <c r="O330" s="2"/>
      <c r="P330" s="2"/>
      <c r="Q330" s="2"/>
    </row>
    <row r="331" spans="7:17" ht="18" customHeight="1" x14ac:dyDescent="0.3">
      <c r="G331" s="2"/>
      <c r="N331" s="2"/>
      <c r="O331" s="2"/>
      <c r="P331" s="2"/>
      <c r="Q331" s="2"/>
    </row>
    <row r="332" spans="7:17" ht="18" customHeight="1" x14ac:dyDescent="0.3">
      <c r="G332" s="2"/>
      <c r="N332" s="2"/>
      <c r="O332" s="2"/>
      <c r="P332" s="2"/>
      <c r="Q332" s="2"/>
    </row>
    <row r="333" spans="7:17" ht="18" customHeight="1" x14ac:dyDescent="0.3">
      <c r="G333" s="2"/>
      <c r="N333" s="2"/>
      <c r="O333" s="2"/>
      <c r="P333" s="2"/>
      <c r="Q333" s="2"/>
    </row>
    <row r="334" spans="7:17" ht="18" customHeight="1" x14ac:dyDescent="0.3">
      <c r="G334" s="2"/>
      <c r="N334" s="2"/>
      <c r="O334" s="2"/>
      <c r="P334" s="2"/>
      <c r="Q334" s="2"/>
    </row>
    <row r="335" spans="7:17" ht="18" customHeight="1" x14ac:dyDescent="0.3">
      <c r="G335" s="2"/>
      <c r="N335" s="2"/>
      <c r="O335" s="2"/>
      <c r="P335" s="2"/>
      <c r="Q335" s="2"/>
    </row>
    <row r="336" spans="7:17" ht="18" customHeight="1" x14ac:dyDescent="0.3">
      <c r="G336" s="2"/>
      <c r="N336" s="2"/>
      <c r="O336" s="2"/>
      <c r="P336" s="2"/>
      <c r="Q336" s="2"/>
    </row>
    <row r="337" spans="7:17" ht="18" customHeight="1" x14ac:dyDescent="0.3">
      <c r="G337" s="2"/>
      <c r="N337" s="2"/>
      <c r="O337" s="2"/>
      <c r="P337" s="2"/>
      <c r="Q337" s="2"/>
    </row>
    <row r="338" spans="7:17" ht="18" customHeight="1" x14ac:dyDescent="0.3">
      <c r="G338" s="2"/>
      <c r="N338" s="2"/>
      <c r="O338" s="2"/>
      <c r="P338" s="2"/>
      <c r="Q338" s="2"/>
    </row>
    <row r="339" spans="7:17" ht="18" customHeight="1" x14ac:dyDescent="0.3">
      <c r="G339" s="2"/>
      <c r="N339" s="2"/>
      <c r="O339" s="2"/>
      <c r="P339" s="2"/>
      <c r="Q339" s="2"/>
    </row>
    <row r="340" spans="7:17" ht="18" customHeight="1" x14ac:dyDescent="0.3">
      <c r="G340" s="2"/>
      <c r="N340" s="2"/>
      <c r="O340" s="2"/>
      <c r="P340" s="2"/>
      <c r="Q340" s="2"/>
    </row>
    <row r="341" spans="7:17" ht="18" customHeight="1" x14ac:dyDescent="0.3">
      <c r="G341" s="2"/>
      <c r="N341" s="2"/>
      <c r="O341" s="2"/>
      <c r="P341" s="2"/>
      <c r="Q341" s="2"/>
    </row>
    <row r="342" spans="7:17" ht="18" customHeight="1" x14ac:dyDescent="0.3">
      <c r="G342" s="2"/>
      <c r="N342" s="2"/>
      <c r="O342" s="2"/>
      <c r="P342" s="2"/>
      <c r="Q342" s="2"/>
    </row>
    <row r="343" spans="7:17" ht="18" customHeight="1" x14ac:dyDescent="0.3">
      <c r="G343" s="2"/>
      <c r="N343" s="2"/>
      <c r="O343" s="2"/>
      <c r="P343" s="2"/>
      <c r="Q343" s="2"/>
    </row>
    <row r="344" spans="7:17" ht="18" customHeight="1" x14ac:dyDescent="0.3">
      <c r="G344" s="2"/>
      <c r="N344" s="2"/>
      <c r="O344" s="2"/>
      <c r="P344" s="2"/>
      <c r="Q344" s="2"/>
    </row>
    <row r="345" spans="7:17" ht="18" customHeight="1" x14ac:dyDescent="0.3">
      <c r="G345" s="2"/>
      <c r="N345" s="2"/>
      <c r="O345" s="2"/>
      <c r="P345" s="2"/>
      <c r="Q345" s="2"/>
    </row>
    <row r="346" spans="7:17" ht="18" customHeight="1" x14ac:dyDescent="0.3">
      <c r="G346" s="2"/>
      <c r="N346" s="2"/>
      <c r="O346" s="2"/>
      <c r="P346" s="2"/>
      <c r="Q346" s="2"/>
    </row>
    <row r="347" spans="7:17" ht="18" customHeight="1" x14ac:dyDescent="0.3">
      <c r="G347" s="2"/>
      <c r="N347" s="2"/>
      <c r="O347" s="2"/>
      <c r="P347" s="2"/>
      <c r="Q347" s="2"/>
    </row>
    <row r="348" spans="7:17" ht="18" customHeight="1" x14ac:dyDescent="0.3">
      <c r="G348" s="2"/>
      <c r="N348" s="2"/>
      <c r="O348" s="2"/>
      <c r="P348" s="2"/>
      <c r="Q348" s="2"/>
    </row>
    <row r="349" spans="7:17" ht="18" customHeight="1" x14ac:dyDescent="0.3">
      <c r="G349" s="2"/>
      <c r="N349" s="2"/>
      <c r="O349" s="2"/>
      <c r="P349" s="2"/>
      <c r="Q349" s="2"/>
    </row>
    <row r="350" spans="7:17" ht="18" customHeight="1" x14ac:dyDescent="0.3">
      <c r="G350" s="2"/>
      <c r="N350" s="2"/>
      <c r="O350" s="2"/>
      <c r="P350" s="2"/>
      <c r="Q350" s="2"/>
    </row>
    <row r="351" spans="7:17" ht="18" customHeight="1" x14ac:dyDescent="0.3">
      <c r="G351" s="2"/>
      <c r="N351" s="2"/>
      <c r="O351" s="2"/>
      <c r="P351" s="2"/>
      <c r="Q351" s="2"/>
    </row>
    <row r="352" spans="7:17" ht="18" customHeight="1" x14ac:dyDescent="0.3">
      <c r="G352" s="2"/>
      <c r="N352" s="2"/>
      <c r="O352" s="2"/>
      <c r="P352" s="2"/>
      <c r="Q352" s="2"/>
    </row>
    <row r="353" spans="7:17" ht="18" customHeight="1" x14ac:dyDescent="0.3">
      <c r="G353" s="2"/>
      <c r="N353" s="2"/>
      <c r="O353" s="2"/>
      <c r="P353" s="2"/>
      <c r="Q353" s="2"/>
    </row>
    <row r="354" spans="7:17" ht="18" customHeight="1" x14ac:dyDescent="0.3">
      <c r="G354" s="2"/>
      <c r="N354" s="2"/>
      <c r="O354" s="2"/>
      <c r="P354" s="2"/>
      <c r="Q354" s="2"/>
    </row>
    <row r="355" spans="7:17" ht="18" customHeight="1" x14ac:dyDescent="0.3">
      <c r="G355" s="2"/>
      <c r="N355" s="2"/>
      <c r="O355" s="2"/>
      <c r="P355" s="2"/>
      <c r="Q355" s="2"/>
    </row>
    <row r="356" spans="7:17" ht="18" customHeight="1" x14ac:dyDescent="0.3">
      <c r="G356" s="2"/>
      <c r="N356" s="2"/>
      <c r="O356" s="2"/>
      <c r="P356" s="2"/>
      <c r="Q356" s="2"/>
    </row>
    <row r="357" spans="7:17" ht="18" customHeight="1" x14ac:dyDescent="0.3">
      <c r="G357" s="2"/>
      <c r="N357" s="2"/>
      <c r="O357" s="2"/>
      <c r="P357" s="2"/>
      <c r="Q357" s="2"/>
    </row>
    <row r="358" spans="7:17" ht="18" customHeight="1" x14ac:dyDescent="0.3">
      <c r="G358" s="2"/>
      <c r="N358" s="2"/>
      <c r="O358" s="2"/>
      <c r="P358" s="2"/>
      <c r="Q358" s="2"/>
    </row>
    <row r="359" spans="7:17" ht="18" customHeight="1" x14ac:dyDescent="0.3">
      <c r="G359" s="2"/>
      <c r="N359" s="2"/>
      <c r="O359" s="2"/>
      <c r="P359" s="2"/>
      <c r="Q359" s="2"/>
    </row>
    <row r="360" spans="7:17" ht="18" customHeight="1" x14ac:dyDescent="0.3">
      <c r="G360" s="2"/>
      <c r="N360" s="2"/>
      <c r="O360" s="2"/>
      <c r="P360" s="2"/>
      <c r="Q360" s="2"/>
    </row>
    <row r="361" spans="7:17" ht="18" customHeight="1" x14ac:dyDescent="0.3">
      <c r="G361" s="2"/>
      <c r="N361" s="2"/>
      <c r="O361" s="2"/>
      <c r="P361" s="2"/>
      <c r="Q361" s="2"/>
    </row>
    <row r="362" spans="7:17" ht="18" customHeight="1" x14ac:dyDescent="0.3">
      <c r="G362" s="2"/>
      <c r="N362" s="2"/>
      <c r="O362" s="2"/>
      <c r="P362" s="2"/>
      <c r="Q362" s="2"/>
    </row>
    <row r="363" spans="7:17" ht="18" customHeight="1" x14ac:dyDescent="0.3">
      <c r="G363" s="2"/>
      <c r="N363" s="2"/>
      <c r="O363" s="2"/>
      <c r="P363" s="2"/>
      <c r="Q363" s="2"/>
    </row>
    <row r="364" spans="7:17" ht="18" customHeight="1" x14ac:dyDescent="0.3">
      <c r="G364" s="2"/>
      <c r="N364" s="2"/>
      <c r="O364" s="2"/>
      <c r="P364" s="2"/>
      <c r="Q364" s="2"/>
    </row>
    <row r="365" spans="7:17" ht="18" customHeight="1" x14ac:dyDescent="0.3">
      <c r="G365" s="2"/>
      <c r="N365" s="2"/>
      <c r="O365" s="2"/>
      <c r="P365" s="2"/>
      <c r="Q365" s="2"/>
    </row>
    <row r="366" spans="7:17" ht="18" customHeight="1" x14ac:dyDescent="0.3">
      <c r="G366" s="2"/>
      <c r="N366" s="2"/>
      <c r="O366" s="2"/>
      <c r="P366" s="2"/>
      <c r="Q366" s="2"/>
    </row>
    <row r="367" spans="7:17" ht="18" customHeight="1" x14ac:dyDescent="0.3">
      <c r="G367" s="2"/>
      <c r="N367" s="2"/>
      <c r="O367" s="2"/>
      <c r="P367" s="2"/>
      <c r="Q367" s="2"/>
    </row>
    <row r="368" spans="7:17" ht="18" customHeight="1" x14ac:dyDescent="0.3">
      <c r="G368" s="2"/>
      <c r="N368" s="2"/>
      <c r="O368" s="2"/>
      <c r="P368" s="2"/>
      <c r="Q368" s="2"/>
    </row>
    <row r="369" spans="7:17" ht="18" customHeight="1" x14ac:dyDescent="0.3">
      <c r="G369" s="2"/>
      <c r="N369" s="2"/>
      <c r="O369" s="2"/>
      <c r="P369" s="2"/>
      <c r="Q369" s="2"/>
    </row>
    <row r="370" spans="7:17" ht="18" customHeight="1" x14ac:dyDescent="0.3">
      <c r="G370" s="2"/>
      <c r="N370" s="2"/>
      <c r="O370" s="2"/>
      <c r="P370" s="2"/>
      <c r="Q370" s="2"/>
    </row>
    <row r="371" spans="7:17" ht="18" customHeight="1" x14ac:dyDescent="0.3">
      <c r="G371" s="2"/>
      <c r="N371" s="2"/>
      <c r="O371" s="2"/>
      <c r="P371" s="2"/>
      <c r="Q371" s="2"/>
    </row>
    <row r="372" spans="7:17" ht="18" customHeight="1" x14ac:dyDescent="0.3">
      <c r="G372" s="2"/>
      <c r="N372" s="2"/>
      <c r="O372" s="2"/>
      <c r="P372" s="2"/>
      <c r="Q372" s="2"/>
    </row>
    <row r="373" spans="7:17" ht="18" customHeight="1" x14ac:dyDescent="0.3">
      <c r="G373" s="2"/>
      <c r="N373" s="2"/>
      <c r="O373" s="2"/>
      <c r="P373" s="2"/>
      <c r="Q373" s="2"/>
    </row>
    <row r="374" spans="7:17" ht="18" customHeight="1" x14ac:dyDescent="0.3">
      <c r="G374" s="2"/>
      <c r="N374" s="2"/>
      <c r="O374" s="2"/>
      <c r="P374" s="2"/>
      <c r="Q374" s="2"/>
    </row>
    <row r="375" spans="7:17" ht="18" customHeight="1" x14ac:dyDescent="0.3">
      <c r="G375" s="2"/>
      <c r="N375" s="2"/>
      <c r="O375" s="2"/>
      <c r="P375" s="2"/>
      <c r="Q375" s="2"/>
    </row>
    <row r="376" spans="7:17" ht="18" customHeight="1" x14ac:dyDescent="0.3">
      <c r="G376" s="2"/>
      <c r="N376" s="2"/>
      <c r="O376" s="2"/>
      <c r="P376" s="2"/>
      <c r="Q376" s="2"/>
    </row>
    <row r="377" spans="7:17" ht="18" customHeight="1" x14ac:dyDescent="0.3">
      <c r="G377" s="2"/>
      <c r="N377" s="2"/>
      <c r="O377" s="2"/>
      <c r="P377" s="2"/>
      <c r="Q377" s="2"/>
    </row>
    <row r="378" spans="7:17" ht="18" customHeight="1" x14ac:dyDescent="0.3">
      <c r="G378" s="2"/>
      <c r="N378" s="2"/>
      <c r="O378" s="2"/>
      <c r="P378" s="2"/>
      <c r="Q378" s="2"/>
    </row>
    <row r="379" spans="7:17" ht="18" customHeight="1" x14ac:dyDescent="0.3">
      <c r="G379" s="2"/>
      <c r="N379" s="2"/>
      <c r="O379" s="2"/>
      <c r="P379" s="2"/>
      <c r="Q379" s="2"/>
    </row>
    <row r="380" spans="7:17" ht="18" customHeight="1" x14ac:dyDescent="0.3">
      <c r="G380" s="2"/>
      <c r="N380" s="2"/>
      <c r="O380" s="2"/>
      <c r="P380" s="2"/>
      <c r="Q380" s="2"/>
    </row>
    <row r="381" spans="7:17" ht="18" customHeight="1" x14ac:dyDescent="0.3">
      <c r="G381" s="2"/>
      <c r="N381" s="2"/>
      <c r="O381" s="2"/>
      <c r="P381" s="2"/>
      <c r="Q381" s="2"/>
    </row>
    <row r="382" spans="7:17" ht="18" customHeight="1" x14ac:dyDescent="0.3">
      <c r="G382" s="2"/>
      <c r="N382" s="2"/>
      <c r="O382" s="2"/>
      <c r="P382" s="2"/>
      <c r="Q382" s="2"/>
    </row>
    <row r="383" spans="7:17" ht="18" customHeight="1" x14ac:dyDescent="0.3">
      <c r="G383" s="2"/>
      <c r="N383" s="2"/>
      <c r="O383" s="2"/>
      <c r="P383" s="2"/>
      <c r="Q383" s="2"/>
    </row>
    <row r="384" spans="7:17" ht="18" customHeight="1" x14ac:dyDescent="0.3">
      <c r="G384" s="2"/>
      <c r="N384" s="2"/>
      <c r="O384" s="2"/>
      <c r="P384" s="2"/>
      <c r="Q384" s="2"/>
    </row>
    <row r="385" spans="7:17" ht="18" customHeight="1" x14ac:dyDescent="0.3">
      <c r="G385" s="2"/>
      <c r="N385" s="2"/>
      <c r="O385" s="2"/>
      <c r="P385" s="2"/>
      <c r="Q385" s="2"/>
    </row>
    <row r="386" spans="7:17" ht="18" customHeight="1" x14ac:dyDescent="0.3">
      <c r="G386" s="2"/>
      <c r="N386" s="2"/>
      <c r="O386" s="2"/>
      <c r="P386" s="2"/>
      <c r="Q386" s="2"/>
    </row>
    <row r="387" spans="7:17" ht="18" customHeight="1" x14ac:dyDescent="0.3">
      <c r="G387" s="2"/>
      <c r="N387" s="2"/>
      <c r="O387" s="2"/>
      <c r="P387" s="2"/>
      <c r="Q387" s="2"/>
    </row>
    <row r="388" spans="7:17" ht="18" customHeight="1" x14ac:dyDescent="0.3">
      <c r="G388" s="2"/>
      <c r="N388" s="2"/>
      <c r="O388" s="2"/>
      <c r="P388" s="2"/>
      <c r="Q388" s="2"/>
    </row>
    <row r="389" spans="7:17" ht="18" customHeight="1" x14ac:dyDescent="0.3">
      <c r="G389" s="2"/>
      <c r="N389" s="2"/>
      <c r="O389" s="2"/>
      <c r="P389" s="2"/>
      <c r="Q389" s="2"/>
    </row>
    <row r="390" spans="7:17" ht="18" customHeight="1" x14ac:dyDescent="0.3">
      <c r="G390" s="2"/>
      <c r="N390" s="2"/>
      <c r="O390" s="2"/>
      <c r="P390" s="2"/>
      <c r="Q390" s="2"/>
    </row>
    <row r="391" spans="7:17" ht="18" customHeight="1" x14ac:dyDescent="0.3">
      <c r="G391" s="2"/>
      <c r="N391" s="2"/>
      <c r="O391" s="2"/>
      <c r="P391" s="2"/>
      <c r="Q391" s="2"/>
    </row>
    <row r="392" spans="7:17" ht="18" customHeight="1" x14ac:dyDescent="0.3">
      <c r="G392" s="2"/>
      <c r="N392" s="2"/>
      <c r="O392" s="2"/>
      <c r="P392" s="2"/>
      <c r="Q392" s="2"/>
    </row>
    <row r="393" spans="7:17" ht="18" customHeight="1" x14ac:dyDescent="0.3">
      <c r="G393" s="2"/>
      <c r="N393" s="2"/>
      <c r="O393" s="2"/>
      <c r="P393" s="2"/>
      <c r="Q393" s="2"/>
    </row>
    <row r="394" spans="7:17" ht="18" customHeight="1" x14ac:dyDescent="0.3">
      <c r="G394" s="2"/>
      <c r="N394" s="2"/>
      <c r="O394" s="2"/>
      <c r="P394" s="2"/>
      <c r="Q394" s="2"/>
    </row>
    <row r="395" spans="7:17" ht="18" customHeight="1" x14ac:dyDescent="0.3">
      <c r="G395" s="2"/>
      <c r="N395" s="2"/>
      <c r="O395" s="2"/>
      <c r="P395" s="2"/>
      <c r="Q395" s="2"/>
    </row>
    <row r="396" spans="7:17" ht="18" customHeight="1" x14ac:dyDescent="0.3">
      <c r="G396" s="2"/>
      <c r="N396" s="2"/>
      <c r="O396" s="2"/>
      <c r="P396" s="2"/>
      <c r="Q396" s="2"/>
    </row>
    <row r="397" spans="7:17" ht="18" customHeight="1" x14ac:dyDescent="0.3">
      <c r="G397" s="2"/>
      <c r="N397" s="2"/>
      <c r="O397" s="2"/>
      <c r="P397" s="2"/>
      <c r="Q397" s="2"/>
    </row>
    <row r="398" spans="7:17" ht="18" customHeight="1" x14ac:dyDescent="0.3">
      <c r="G398" s="2"/>
      <c r="N398" s="2"/>
      <c r="O398" s="2"/>
      <c r="P398" s="2"/>
      <c r="Q398" s="2"/>
    </row>
    <row r="399" spans="7:17" ht="18" customHeight="1" x14ac:dyDescent="0.3">
      <c r="G399" s="2"/>
      <c r="N399" s="2"/>
      <c r="O399" s="2"/>
      <c r="P399" s="2"/>
      <c r="Q399" s="2"/>
    </row>
    <row r="400" spans="7:17" ht="18" customHeight="1" x14ac:dyDescent="0.3">
      <c r="G400" s="2"/>
      <c r="N400" s="2"/>
      <c r="O400" s="2"/>
      <c r="P400" s="2"/>
      <c r="Q400" s="2"/>
    </row>
    <row r="401" spans="7:17" ht="18" customHeight="1" x14ac:dyDescent="0.3">
      <c r="G401" s="2"/>
      <c r="N401" s="2"/>
      <c r="O401" s="2"/>
      <c r="P401" s="2"/>
      <c r="Q401" s="2"/>
    </row>
    <row r="402" spans="7:17" ht="18" customHeight="1" x14ac:dyDescent="0.3">
      <c r="G402" s="2"/>
      <c r="N402" s="2"/>
      <c r="O402" s="2"/>
      <c r="P402" s="2"/>
      <c r="Q402" s="2"/>
    </row>
    <row r="403" spans="7:17" ht="18" customHeight="1" x14ac:dyDescent="0.3">
      <c r="G403" s="2"/>
      <c r="N403" s="2"/>
      <c r="O403" s="2"/>
      <c r="P403" s="2"/>
      <c r="Q403" s="2"/>
    </row>
    <row r="404" spans="7:17" ht="18" customHeight="1" x14ac:dyDescent="0.3">
      <c r="G404" s="2"/>
      <c r="N404" s="2"/>
      <c r="O404" s="2"/>
      <c r="P404" s="2"/>
      <c r="Q404" s="2"/>
    </row>
    <row r="405" spans="7:17" ht="18" customHeight="1" x14ac:dyDescent="0.3">
      <c r="G405" s="2"/>
      <c r="N405" s="2"/>
      <c r="O405" s="2"/>
      <c r="P405" s="2"/>
      <c r="Q405" s="2"/>
    </row>
    <row r="406" spans="7:17" ht="18" customHeight="1" x14ac:dyDescent="0.3">
      <c r="G406" s="2"/>
      <c r="N406" s="2"/>
      <c r="O406" s="2"/>
      <c r="P406" s="2"/>
      <c r="Q406" s="2"/>
    </row>
    <row r="407" spans="7:17" ht="18" customHeight="1" x14ac:dyDescent="0.3">
      <c r="G407" s="2"/>
      <c r="N407" s="2"/>
      <c r="O407" s="2"/>
      <c r="P407" s="2"/>
      <c r="Q407" s="2"/>
    </row>
    <row r="408" spans="7:17" ht="18" customHeight="1" x14ac:dyDescent="0.3">
      <c r="G408" s="2"/>
      <c r="N408" s="2"/>
      <c r="O408" s="2"/>
      <c r="P408" s="2"/>
      <c r="Q408" s="2"/>
    </row>
    <row r="409" spans="7:17" ht="18" customHeight="1" x14ac:dyDescent="0.3">
      <c r="G409" s="2"/>
      <c r="N409" s="2"/>
      <c r="O409" s="2"/>
      <c r="P409" s="2"/>
      <c r="Q409" s="2"/>
    </row>
    <row r="410" spans="7:17" ht="18" customHeight="1" x14ac:dyDescent="0.3">
      <c r="G410" s="2"/>
      <c r="N410" s="2"/>
      <c r="O410" s="2"/>
      <c r="P410" s="2"/>
      <c r="Q410" s="2"/>
    </row>
    <row r="411" spans="7:17" ht="18" customHeight="1" x14ac:dyDescent="0.3">
      <c r="G411" s="2"/>
      <c r="N411" s="2"/>
      <c r="O411" s="2"/>
      <c r="P411" s="2"/>
      <c r="Q411" s="2"/>
    </row>
    <row r="412" spans="7:17" ht="18" customHeight="1" x14ac:dyDescent="0.3">
      <c r="G412" s="2"/>
      <c r="N412" s="2"/>
      <c r="O412" s="2"/>
      <c r="P412" s="2"/>
      <c r="Q412" s="2"/>
    </row>
    <row r="413" spans="7:17" ht="18" customHeight="1" x14ac:dyDescent="0.3">
      <c r="G413" s="2"/>
      <c r="N413" s="2"/>
      <c r="O413" s="2"/>
      <c r="P413" s="2"/>
      <c r="Q413" s="2"/>
    </row>
    <row r="414" spans="7:17" ht="18" customHeight="1" x14ac:dyDescent="0.3">
      <c r="G414" s="2"/>
      <c r="N414" s="2"/>
      <c r="O414" s="2"/>
      <c r="P414" s="2"/>
      <c r="Q414" s="2"/>
    </row>
    <row r="415" spans="7:17" ht="18" customHeight="1" x14ac:dyDescent="0.3">
      <c r="G415" s="2"/>
      <c r="N415" s="2"/>
      <c r="O415" s="2"/>
      <c r="P415" s="2"/>
      <c r="Q415" s="2"/>
    </row>
    <row r="416" spans="7:17" ht="18" customHeight="1" x14ac:dyDescent="0.3">
      <c r="G416" s="2"/>
      <c r="N416" s="2"/>
      <c r="O416" s="2"/>
      <c r="P416" s="2"/>
      <c r="Q416" s="2"/>
    </row>
    <row r="417" spans="7:17" ht="18" customHeight="1" x14ac:dyDescent="0.3">
      <c r="G417" s="2"/>
      <c r="N417" s="2"/>
      <c r="O417" s="2"/>
      <c r="P417" s="2"/>
      <c r="Q417" s="2"/>
    </row>
    <row r="418" spans="7:17" ht="18" customHeight="1" x14ac:dyDescent="0.3">
      <c r="G418" s="2"/>
      <c r="N418" s="2"/>
      <c r="O418" s="2"/>
      <c r="P418" s="2"/>
      <c r="Q418" s="2"/>
    </row>
    <row r="419" spans="7:17" ht="18" customHeight="1" x14ac:dyDescent="0.3">
      <c r="G419" s="2"/>
      <c r="N419" s="2"/>
      <c r="O419" s="2"/>
      <c r="P419" s="2"/>
      <c r="Q419" s="2"/>
    </row>
    <row r="420" spans="7:17" ht="18" customHeight="1" x14ac:dyDescent="0.3">
      <c r="G420" s="2"/>
      <c r="N420" s="2"/>
      <c r="O420" s="2"/>
      <c r="P420" s="2"/>
      <c r="Q420" s="2"/>
    </row>
    <row r="421" spans="7:17" ht="18" customHeight="1" x14ac:dyDescent="0.3">
      <c r="G421" s="2"/>
      <c r="N421" s="2"/>
      <c r="O421" s="2"/>
      <c r="P421" s="2"/>
      <c r="Q421" s="2"/>
    </row>
    <row r="422" spans="7:17" ht="18" customHeight="1" x14ac:dyDescent="0.3">
      <c r="G422" s="2"/>
      <c r="N422" s="2"/>
      <c r="O422" s="2"/>
      <c r="P422" s="2"/>
      <c r="Q422" s="2"/>
    </row>
    <row r="423" spans="7:17" ht="18" customHeight="1" x14ac:dyDescent="0.3">
      <c r="G423" s="2"/>
      <c r="N423" s="2"/>
      <c r="O423" s="2"/>
      <c r="P423" s="2"/>
      <c r="Q423" s="2"/>
    </row>
    <row r="424" spans="7:17" ht="18" customHeight="1" x14ac:dyDescent="0.3">
      <c r="G424" s="2"/>
      <c r="N424" s="2"/>
      <c r="O424" s="2"/>
      <c r="P424" s="2"/>
      <c r="Q424" s="2"/>
    </row>
    <row r="425" spans="7:17" ht="18" customHeight="1" x14ac:dyDescent="0.3">
      <c r="G425" s="2"/>
      <c r="N425" s="2"/>
      <c r="O425" s="2"/>
      <c r="P425" s="2"/>
      <c r="Q425" s="2"/>
    </row>
    <row r="426" spans="7:17" ht="18" customHeight="1" x14ac:dyDescent="0.3">
      <c r="G426" s="2"/>
      <c r="N426" s="2"/>
      <c r="O426" s="2"/>
      <c r="P426" s="2"/>
      <c r="Q426" s="2"/>
    </row>
    <row r="427" spans="7:17" x14ac:dyDescent="0.3">
      <c r="G427" s="2"/>
      <c r="N427" s="2"/>
      <c r="O427" s="2"/>
      <c r="P427" s="2"/>
      <c r="Q427" s="2"/>
    </row>
    <row r="428" spans="7:17" x14ac:dyDescent="0.3">
      <c r="G428" s="2"/>
      <c r="N428" s="2"/>
      <c r="O428" s="2"/>
      <c r="P428" s="2"/>
      <c r="Q428" s="2"/>
    </row>
    <row r="429" spans="7:17" x14ac:dyDescent="0.3">
      <c r="G429" s="2"/>
      <c r="N429" s="2"/>
      <c r="O429" s="2"/>
      <c r="P429" s="2"/>
      <c r="Q429" s="2"/>
    </row>
    <row r="430" spans="7:17" x14ac:dyDescent="0.3">
      <c r="G430" s="2"/>
      <c r="N430" s="2"/>
      <c r="O430" s="2"/>
      <c r="P430" s="2"/>
      <c r="Q430" s="2"/>
    </row>
    <row r="431" spans="7:17" x14ac:dyDescent="0.3">
      <c r="G431" s="2"/>
      <c r="N431" s="2"/>
      <c r="O431" s="2"/>
      <c r="P431" s="2"/>
      <c r="Q431" s="2"/>
    </row>
    <row r="432" spans="7:17" x14ac:dyDescent="0.3">
      <c r="G432" s="2"/>
      <c r="N432" s="2"/>
      <c r="O432" s="2"/>
      <c r="P432" s="2"/>
      <c r="Q432" s="2"/>
    </row>
    <row r="433" spans="7:17" x14ac:dyDescent="0.3">
      <c r="G433" s="2"/>
      <c r="N433" s="2"/>
      <c r="O433" s="2"/>
      <c r="P433" s="2"/>
      <c r="Q433" s="2"/>
    </row>
    <row r="434" spans="7:17" x14ac:dyDescent="0.3">
      <c r="G434" s="2"/>
      <c r="N434" s="2"/>
      <c r="O434" s="2"/>
      <c r="P434" s="2"/>
      <c r="Q434" s="2"/>
    </row>
  </sheetData>
  <autoFilter ref="J10:O23">
    <sortState ref="J11:O23">
      <sortCondition descending="1" ref="K10:K23"/>
    </sortState>
  </autoFilter>
  <mergeCells count="49">
    <mergeCell ref="F33:G33"/>
    <mergeCell ref="U33:V33"/>
    <mergeCell ref="B1:T3"/>
    <mergeCell ref="B9:H9"/>
    <mergeCell ref="J9:T9"/>
    <mergeCell ref="B12:B13"/>
    <mergeCell ref="C12:C13"/>
    <mergeCell ref="D12:D13"/>
    <mergeCell ref="E12:E13"/>
    <mergeCell ref="F12:F13"/>
    <mergeCell ref="G12:G13"/>
    <mergeCell ref="H12:H13"/>
    <mergeCell ref="G15:G16"/>
    <mergeCell ref="H15:H16"/>
    <mergeCell ref="B18:B19"/>
    <mergeCell ref="C18:C19"/>
    <mergeCell ref="D18:D19"/>
    <mergeCell ref="E18:E19"/>
    <mergeCell ref="F18:F19"/>
    <mergeCell ref="G18:G19"/>
    <mergeCell ref="H18:H19"/>
    <mergeCell ref="B15:B16"/>
    <mergeCell ref="C15:C16"/>
    <mergeCell ref="D15:D16"/>
    <mergeCell ref="E15:E16"/>
    <mergeCell ref="F15:F16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21:B22"/>
    <mergeCell ref="C21:C22"/>
    <mergeCell ref="D21:D22"/>
    <mergeCell ref="E21:E22"/>
    <mergeCell ref="F21:F22"/>
    <mergeCell ref="G27:G28"/>
    <mergeCell ref="H27:H28"/>
    <mergeCell ref="B30:H30"/>
    <mergeCell ref="B27:B28"/>
    <mergeCell ref="C27:C28"/>
    <mergeCell ref="D27:D28"/>
    <mergeCell ref="E27:E28"/>
    <mergeCell ref="F27:F28"/>
    <mergeCell ref="J30:V30"/>
  </mergeCells>
  <phoneticPr fontId="3" type="noConversion"/>
  <conditionalFormatting sqref="B11:H11 B14:H14 B17:H17 B20:H20 B23:H23 B26:H26">
    <cfRule type="expression" dxfId="49" priority="6">
      <formula>MONTH(B11)&lt;&gt;$A$2</formula>
    </cfRule>
  </conditionalFormatting>
  <conditionalFormatting sqref="B11:H28">
    <cfRule type="expression" dxfId="48" priority="5">
      <formula>B11="무지출"</formula>
    </cfRule>
  </conditionalFormatting>
  <conditionalFormatting sqref="U58:U78 U81:U84 U106:U165">
    <cfRule type="expression" dxfId="3" priority="4">
      <formula>$U58&lt;0</formula>
    </cfRule>
  </conditionalFormatting>
  <conditionalFormatting sqref="U86:U104">
    <cfRule type="expression" dxfId="2" priority="3">
      <formula>$U86&lt;0</formula>
    </cfRule>
  </conditionalFormatting>
  <conditionalFormatting sqref="U85">
    <cfRule type="expression" dxfId="1" priority="2">
      <formula>$U85&lt;0</formula>
    </cfRule>
  </conditionalFormatting>
  <conditionalFormatting sqref="U105">
    <cfRule type="expression" dxfId="0" priority="1">
      <formula>$U105&lt;0</formula>
    </cfRule>
  </conditionalFormatting>
  <dataValidations count="5">
    <dataValidation type="list" allowBlank="1" showInputMessage="1" showErrorMessage="1" sqref="N58:N77 D58:D77 N34:N53 D34:D53 N81:N165">
      <formula1>_20_대분류</formula1>
    </dataValidation>
    <dataValidation type="list" allowBlank="1" showInputMessage="1" showErrorMessage="1" sqref="L58:L77 L34:L53 L81:L165">
      <formula1>_10_결제항목</formula1>
    </dataValidation>
    <dataValidation type="list" allowBlank="1" showInputMessage="1" showErrorMessage="1" sqref="E58:E77 O58:O77 O34:O53 E34:E53 O81:O165">
      <formula1>OFFSET(_20_소분류,,MATCH(D34,_20_대분류,)-1,COUNTA(OFFSET(_20_소분류,,MATCH(D34,_20_대분류,)-1,,1)),1)</formula1>
    </dataValidation>
    <dataValidation type="list" allowBlank="1" showInputMessage="1" showErrorMessage="1" sqref="M34:M53 M58:M77 M81:M165">
      <formula1>OFFSET(_10_결제분류상세,,MATCH(L34,_10_결제분류,)-1,COUNTA(OFFSET(_10_결제분류상세,,MATCH(L34,_10_결제분류,)-1,,1)),1)</formula1>
    </dataValidation>
    <dataValidation type="list" allowBlank="1" showInputMessage="1" showErrorMessage="1" sqref="C58:C77 C34:C53 K34:K53 K58:K77 K81:K165">
      <formula1>_10_대상분류</formula1>
    </dataValidation>
  </dataValidations>
  <hyperlinks>
    <hyperlink ref="X81" r:id="rId1" display="https://blog.naver.com/mkjang0202/222983209628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  <pageSetUpPr autoPageBreaks="0" fitToPage="1"/>
  </sheetPr>
  <dimension ref="A1:Y88"/>
  <sheetViews>
    <sheetView showGridLines="0" zoomScaleNormal="100" workbookViewId="0">
      <pane ySplit="3" topLeftCell="A46" activePane="bottomLeft" state="frozen"/>
      <selection pane="bottomLeft" activeCell="D57" sqref="D57"/>
    </sheetView>
  </sheetViews>
  <sheetFormatPr defaultRowHeight="16.5" x14ac:dyDescent="0.3"/>
  <cols>
    <col min="1" max="1" width="4.625" customWidth="1"/>
    <col min="2" max="2" width="12.625" customWidth="1"/>
    <col min="3" max="16" width="10.625" customWidth="1"/>
    <col min="17" max="17" width="4.625" customWidth="1"/>
    <col min="19" max="19" width="9.375" bestFit="1" customWidth="1"/>
    <col min="20" max="20" width="11.375" bestFit="1" customWidth="1"/>
    <col min="21" max="21" width="11.125" bestFit="1" customWidth="1"/>
    <col min="22" max="23" width="9.625" bestFit="1" customWidth="1"/>
    <col min="24" max="24" width="9.375" bestFit="1" customWidth="1"/>
  </cols>
  <sheetData>
    <row r="1" spans="1:17" ht="40.5" customHeight="1" x14ac:dyDescent="0.3">
      <c r="A1" s="10"/>
      <c r="B1" s="543" t="s">
        <v>121</v>
      </c>
      <c r="C1" s="54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7.25" thickBot="1" x14ac:dyDescent="0.35"/>
    <row r="3" spans="1:17" ht="30" customHeight="1" thickBot="1" x14ac:dyDescent="0.35">
      <c r="B3" s="29"/>
      <c r="C3" s="30" t="s">
        <v>28</v>
      </c>
      <c r="D3" s="30" t="s">
        <v>31</v>
      </c>
      <c r="E3" s="30" t="s">
        <v>32</v>
      </c>
      <c r="F3" s="30" t="s">
        <v>33</v>
      </c>
      <c r="G3" s="30" t="s">
        <v>34</v>
      </c>
      <c r="H3" s="30" t="s">
        <v>35</v>
      </c>
      <c r="I3" s="30" t="s">
        <v>36</v>
      </c>
      <c r="J3" s="30" t="s">
        <v>37</v>
      </c>
      <c r="K3" s="30" t="s">
        <v>38</v>
      </c>
      <c r="L3" s="30" t="s">
        <v>39</v>
      </c>
      <c r="M3" s="30" t="s">
        <v>40</v>
      </c>
      <c r="N3" s="31" t="s">
        <v>41</v>
      </c>
      <c r="O3" s="280" t="s">
        <v>4</v>
      </c>
      <c r="P3" s="250" t="s">
        <v>42</v>
      </c>
    </row>
    <row r="4" spans="1:17" ht="24.95" customHeight="1" thickBot="1" x14ac:dyDescent="0.35">
      <c r="B4" s="283" t="s">
        <v>172</v>
      </c>
      <c r="C4" s="284">
        <f t="shared" ref="C4:N4" si="0">SUM(C5:C18)</f>
        <v>3650000</v>
      </c>
      <c r="D4" s="284">
        <f t="shared" si="0"/>
        <v>0</v>
      </c>
      <c r="E4" s="284">
        <f t="shared" si="0"/>
        <v>0</v>
      </c>
      <c r="F4" s="284">
        <f t="shared" si="0"/>
        <v>0</v>
      </c>
      <c r="G4" s="284">
        <f t="shared" si="0"/>
        <v>0</v>
      </c>
      <c r="H4" s="284">
        <f t="shared" si="0"/>
        <v>0</v>
      </c>
      <c r="I4" s="284">
        <f t="shared" si="0"/>
        <v>0</v>
      </c>
      <c r="J4" s="284">
        <f t="shared" si="0"/>
        <v>0</v>
      </c>
      <c r="K4" s="284">
        <f t="shared" si="0"/>
        <v>0</v>
      </c>
      <c r="L4" s="284">
        <f t="shared" si="0"/>
        <v>0</v>
      </c>
      <c r="M4" s="284">
        <f t="shared" si="0"/>
        <v>0</v>
      </c>
      <c r="N4" s="284">
        <f t="shared" si="0"/>
        <v>0</v>
      </c>
      <c r="O4" s="286">
        <f>SUM(C4:N4)</f>
        <v>3650000</v>
      </c>
      <c r="P4" s="288">
        <f>O4/12</f>
        <v>304166.66666666669</v>
      </c>
    </row>
    <row r="5" spans="1:17" ht="18" customHeight="1" x14ac:dyDescent="0.3">
      <c r="B5" s="39" t="str">
        <f>IF(항목!C5="","",항목!C5)</f>
        <v>급여</v>
      </c>
      <c r="C5" s="53">
        <v>3500000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281">
        <f t="shared" ref="O5:O17" si="1">SUM(C5:N5)</f>
        <v>3500000</v>
      </c>
      <c r="P5" s="202">
        <f t="shared" ref="P5:P17" si="2">O5/12</f>
        <v>291666.66666666669</v>
      </c>
    </row>
    <row r="6" spans="1:17" ht="18" customHeight="1" x14ac:dyDescent="0.3">
      <c r="B6" s="32" t="str">
        <f>IF(항목!C6="","",항목!C6)</f>
        <v>수당</v>
      </c>
      <c r="C6" s="33"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282">
        <f t="shared" si="1"/>
        <v>0</v>
      </c>
      <c r="P6" s="226">
        <f t="shared" si="2"/>
        <v>0</v>
      </c>
    </row>
    <row r="7" spans="1:17" ht="18" customHeight="1" x14ac:dyDescent="0.3">
      <c r="B7" s="32" t="str">
        <f>IF(항목!C7="","",항목!C7)</f>
        <v>상여</v>
      </c>
      <c r="C7" s="33"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282">
        <f t="shared" si="1"/>
        <v>0</v>
      </c>
      <c r="P7" s="226">
        <f t="shared" si="2"/>
        <v>0</v>
      </c>
    </row>
    <row r="8" spans="1:17" ht="18" customHeight="1" x14ac:dyDescent="0.3">
      <c r="B8" s="32" t="str">
        <f>IF(항목!C8="","",항목!C8)</f>
        <v>투자수익</v>
      </c>
      <c r="C8" s="33">
        <v>50000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60"/>
      <c r="O8" s="282">
        <f t="shared" si="1"/>
        <v>50000</v>
      </c>
      <c r="P8" s="226">
        <f t="shared" si="2"/>
        <v>4166.666666666667</v>
      </c>
    </row>
    <row r="9" spans="1:17" ht="18" customHeight="1" x14ac:dyDescent="0.3">
      <c r="B9" s="32" t="str">
        <f>IF(항목!C9="","",항목!C9)</f>
        <v>이자</v>
      </c>
      <c r="C9" s="33">
        <v>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60"/>
      <c r="O9" s="282">
        <f t="shared" si="1"/>
        <v>0</v>
      </c>
      <c r="P9" s="226">
        <f t="shared" si="2"/>
        <v>0</v>
      </c>
    </row>
    <row r="10" spans="1:17" ht="18" customHeight="1" x14ac:dyDescent="0.3">
      <c r="B10" s="32" t="str">
        <f>IF(항목!C10="","",항목!C10)</f>
        <v>부수익</v>
      </c>
      <c r="C10" s="33">
        <v>100000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282">
        <f t="shared" si="1"/>
        <v>100000</v>
      </c>
      <c r="P10" s="226">
        <f t="shared" si="2"/>
        <v>8333.3333333333339</v>
      </c>
    </row>
    <row r="11" spans="1:17" ht="18" customHeight="1" x14ac:dyDescent="0.3">
      <c r="B11" s="32" t="str">
        <f>IF(항목!C11="","",항목!C11)</f>
        <v>처분소득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282">
        <f t="shared" si="1"/>
        <v>0</v>
      </c>
      <c r="P11" s="226">
        <f t="shared" si="2"/>
        <v>0</v>
      </c>
    </row>
    <row r="12" spans="1:17" ht="18" customHeight="1" x14ac:dyDescent="0.3">
      <c r="B12" s="32" t="str">
        <f>IF(항목!C12="","",항목!C12)</f>
        <v>기타 수입</v>
      </c>
      <c r="C12" s="33">
        <v>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82">
        <f t="shared" si="1"/>
        <v>0</v>
      </c>
      <c r="P12" s="226">
        <f t="shared" si="2"/>
        <v>0</v>
      </c>
    </row>
    <row r="13" spans="1:17" ht="18" customHeight="1" x14ac:dyDescent="0.3">
      <c r="B13" s="32" t="str">
        <f>IF(항목!C13="","",항목!C13)</f>
        <v/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282">
        <f t="shared" si="1"/>
        <v>0</v>
      </c>
      <c r="P13" s="226">
        <f t="shared" si="2"/>
        <v>0</v>
      </c>
    </row>
    <row r="14" spans="1:17" ht="18" customHeight="1" x14ac:dyDescent="0.3">
      <c r="B14" s="32" t="str">
        <f>IF(항목!C14="","",항목!C14)</f>
        <v/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282">
        <f t="shared" si="1"/>
        <v>0</v>
      </c>
      <c r="P14" s="226">
        <f t="shared" si="2"/>
        <v>0</v>
      </c>
    </row>
    <row r="15" spans="1:17" ht="18" customHeight="1" thickBot="1" x14ac:dyDescent="0.35">
      <c r="B15" s="32" t="str">
        <f>IF(항목!C15="","",항목!C15)</f>
        <v/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282">
        <f t="shared" si="1"/>
        <v>0</v>
      </c>
      <c r="P15" s="226">
        <f t="shared" si="2"/>
        <v>0</v>
      </c>
    </row>
    <row r="16" spans="1:17" ht="18" customHeight="1" x14ac:dyDescent="0.3">
      <c r="B16" s="32" t="str">
        <f>IF(항목!C16="","",항목!C16)</f>
        <v/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82">
        <f t="shared" si="1"/>
        <v>0</v>
      </c>
      <c r="P16" s="226">
        <f t="shared" si="2"/>
        <v>0</v>
      </c>
    </row>
    <row r="17" spans="2:25" ht="18" customHeight="1" x14ac:dyDescent="0.3">
      <c r="B17" s="32" t="str">
        <f>IF(항목!C17="","",항목!C17)</f>
        <v/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282">
        <f t="shared" si="1"/>
        <v>0</v>
      </c>
      <c r="P17" s="226">
        <f t="shared" si="2"/>
        <v>0</v>
      </c>
    </row>
    <row r="18" spans="2:25" ht="18" customHeight="1" thickBot="1" x14ac:dyDescent="0.35">
      <c r="B18" s="32" t="str">
        <f>IF(항목!C18="","",항목!C18)</f>
        <v/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282"/>
      <c r="P18" s="226"/>
    </row>
    <row r="19" spans="2:25" ht="24.95" customHeight="1" thickBot="1" x14ac:dyDescent="0.35">
      <c r="B19" s="283" t="str">
        <f>항목!D3</f>
        <v>저축성지출</v>
      </c>
      <c r="C19" s="284">
        <f t="shared" ref="C19:N19" si="3">SUM(C20:C39)</f>
        <v>1850000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5">
        <f t="shared" si="3"/>
        <v>0</v>
      </c>
      <c r="O19" s="286">
        <f>SUM(C19:N19)</f>
        <v>1850000</v>
      </c>
      <c r="P19" s="287">
        <f t="shared" ref="P19:P47" si="4">O19/12</f>
        <v>154166.66666666666</v>
      </c>
      <c r="R19" s="544"/>
      <c r="S19" s="544"/>
      <c r="T19" s="544"/>
      <c r="U19" s="544"/>
      <c r="V19" s="544"/>
      <c r="W19" s="544"/>
      <c r="X19" s="544"/>
    </row>
    <row r="20" spans="2:25" ht="18" customHeight="1" x14ac:dyDescent="0.3">
      <c r="B20" s="39" t="s">
        <v>314</v>
      </c>
      <c r="C20" s="53">
        <v>500000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281">
        <f t="shared" ref="O20:O39" si="5">SUM(C20:N20)</f>
        <v>500000</v>
      </c>
      <c r="P20" s="254">
        <f t="shared" si="4"/>
        <v>41666.666666666664</v>
      </c>
      <c r="R20" s="91"/>
      <c r="S20" s="91"/>
      <c r="T20" s="91"/>
      <c r="U20" s="91"/>
      <c r="V20" s="91"/>
      <c r="W20" s="91"/>
      <c r="X20" s="91"/>
      <c r="Y20" s="89"/>
    </row>
    <row r="21" spans="2:25" ht="18" customHeight="1" x14ac:dyDescent="0.3">
      <c r="B21" s="39" t="s">
        <v>315</v>
      </c>
      <c r="C21" s="53">
        <v>250000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281">
        <f t="shared" si="5"/>
        <v>250000</v>
      </c>
      <c r="P21" s="254">
        <f t="shared" si="4"/>
        <v>20833.333333333332</v>
      </c>
      <c r="R21" s="91"/>
      <c r="S21" s="91"/>
      <c r="T21" s="92"/>
      <c r="U21" s="93"/>
      <c r="V21" s="93"/>
      <c r="W21" s="94"/>
      <c r="X21" s="92"/>
    </row>
    <row r="22" spans="2:25" ht="18" customHeight="1" x14ac:dyDescent="0.3">
      <c r="B22" s="39" t="s">
        <v>234</v>
      </c>
      <c r="C22" s="53">
        <v>100000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281">
        <f t="shared" si="5"/>
        <v>100000</v>
      </c>
      <c r="P22" s="254">
        <f t="shared" si="4"/>
        <v>8333.3333333333339</v>
      </c>
      <c r="R22" s="91"/>
      <c r="S22" s="91"/>
      <c r="T22" s="92"/>
      <c r="U22" s="93"/>
      <c r="V22" s="93"/>
      <c r="W22" s="94"/>
      <c r="X22" s="92"/>
    </row>
    <row r="23" spans="2:25" ht="18" customHeight="1" x14ac:dyDescent="0.3">
      <c r="B23" s="39" t="s">
        <v>219</v>
      </c>
      <c r="C23" s="53">
        <v>1000000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281">
        <f t="shared" si="5"/>
        <v>1000000</v>
      </c>
      <c r="P23" s="254">
        <f t="shared" si="4"/>
        <v>83333.333333333328</v>
      </c>
      <c r="R23" s="91"/>
      <c r="S23" s="91"/>
      <c r="T23" s="92"/>
      <c r="U23" s="93"/>
      <c r="V23" s="93"/>
      <c r="W23" s="94"/>
      <c r="X23" s="92"/>
    </row>
    <row r="24" spans="2:25" ht="18" customHeight="1" x14ac:dyDescent="0.3">
      <c r="B24" s="39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281">
        <f t="shared" si="5"/>
        <v>0</v>
      </c>
      <c r="P24" s="254">
        <f t="shared" si="4"/>
        <v>0</v>
      </c>
      <c r="R24" s="91"/>
      <c r="S24" s="91"/>
      <c r="T24" s="92"/>
      <c r="U24" s="93"/>
      <c r="V24" s="93"/>
      <c r="W24" s="94"/>
      <c r="X24" s="92"/>
    </row>
    <row r="25" spans="2:25" ht="18" customHeight="1" x14ac:dyDescent="0.3">
      <c r="B25" s="39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81">
        <f t="shared" si="5"/>
        <v>0</v>
      </c>
      <c r="P25" s="254">
        <f t="shared" si="4"/>
        <v>0</v>
      </c>
      <c r="R25" s="91"/>
      <c r="S25" s="91"/>
      <c r="T25" s="92"/>
      <c r="U25" s="93"/>
      <c r="V25" s="93"/>
      <c r="W25" s="94"/>
      <c r="X25" s="92"/>
    </row>
    <row r="26" spans="2:25" ht="18" customHeight="1" x14ac:dyDescent="0.3">
      <c r="B26" s="39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81">
        <f t="shared" si="5"/>
        <v>0</v>
      </c>
      <c r="P26" s="254">
        <f t="shared" si="4"/>
        <v>0</v>
      </c>
      <c r="R26" s="91"/>
      <c r="S26" s="91"/>
      <c r="T26" s="92"/>
      <c r="U26" s="93"/>
      <c r="V26" s="93"/>
      <c r="W26" s="94"/>
      <c r="X26" s="92"/>
    </row>
    <row r="27" spans="2:25" ht="18" customHeight="1" x14ac:dyDescent="0.3">
      <c r="B27" s="39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81">
        <f t="shared" si="5"/>
        <v>0</v>
      </c>
      <c r="P27" s="254">
        <f t="shared" si="4"/>
        <v>0</v>
      </c>
      <c r="R27" s="91"/>
      <c r="S27" s="91"/>
      <c r="T27" s="92"/>
      <c r="U27" s="93"/>
      <c r="V27" s="93"/>
      <c r="W27" s="94"/>
      <c r="X27" s="92"/>
    </row>
    <row r="28" spans="2:25" ht="18" customHeight="1" x14ac:dyDescent="0.3">
      <c r="B28" s="39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81">
        <f t="shared" si="5"/>
        <v>0</v>
      </c>
      <c r="P28" s="254">
        <f t="shared" si="4"/>
        <v>0</v>
      </c>
      <c r="R28" s="91"/>
      <c r="S28" s="91"/>
      <c r="T28" s="92"/>
      <c r="U28" s="93"/>
      <c r="V28" s="93"/>
      <c r="W28" s="94"/>
      <c r="X28" s="92"/>
    </row>
    <row r="29" spans="2:25" ht="18" customHeight="1" x14ac:dyDescent="0.3">
      <c r="B29" s="39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81">
        <f t="shared" si="5"/>
        <v>0</v>
      </c>
      <c r="P29" s="254">
        <f t="shared" si="4"/>
        <v>0</v>
      </c>
      <c r="R29" s="91"/>
      <c r="S29" s="91"/>
      <c r="T29" s="92"/>
      <c r="U29" s="93"/>
      <c r="V29" s="93"/>
      <c r="W29" s="94"/>
      <c r="X29" s="92"/>
    </row>
    <row r="30" spans="2:25" ht="18" customHeight="1" x14ac:dyDescent="0.3">
      <c r="B30" s="39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81">
        <f t="shared" si="5"/>
        <v>0</v>
      </c>
      <c r="P30" s="254">
        <f t="shared" si="4"/>
        <v>0</v>
      </c>
      <c r="R30" s="91"/>
      <c r="S30" s="91"/>
      <c r="T30" s="92"/>
      <c r="U30" s="93"/>
      <c r="V30" s="93"/>
      <c r="W30" s="94"/>
      <c r="X30" s="92"/>
    </row>
    <row r="31" spans="2:25" ht="18" customHeight="1" x14ac:dyDescent="0.3">
      <c r="B31" s="39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81">
        <f t="shared" si="5"/>
        <v>0</v>
      </c>
      <c r="P31" s="254">
        <f t="shared" si="4"/>
        <v>0</v>
      </c>
      <c r="R31" s="91"/>
      <c r="S31" s="91"/>
      <c r="T31" s="92"/>
      <c r="U31" s="93"/>
      <c r="V31" s="93"/>
      <c r="W31" s="94"/>
      <c r="X31" s="92"/>
    </row>
    <row r="32" spans="2:25" ht="18" customHeight="1" x14ac:dyDescent="0.3">
      <c r="B32" s="39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81">
        <f t="shared" si="5"/>
        <v>0</v>
      </c>
      <c r="P32" s="254">
        <f t="shared" si="4"/>
        <v>0</v>
      </c>
      <c r="R32" s="91"/>
      <c r="S32" s="91"/>
      <c r="T32" s="92"/>
      <c r="U32" s="93"/>
      <c r="V32" s="93"/>
      <c r="W32" s="94"/>
      <c r="X32" s="92"/>
    </row>
    <row r="33" spans="2:24" ht="18" customHeight="1" x14ac:dyDescent="0.3">
      <c r="B33" s="39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81">
        <f t="shared" si="5"/>
        <v>0</v>
      </c>
      <c r="P33" s="254">
        <f t="shared" si="4"/>
        <v>0</v>
      </c>
      <c r="R33" s="91"/>
      <c r="S33" s="91"/>
      <c r="T33" s="92"/>
      <c r="U33" s="93"/>
      <c r="V33" s="93"/>
      <c r="W33" s="94"/>
      <c r="X33" s="92"/>
    </row>
    <row r="34" spans="2:24" ht="18" customHeight="1" x14ac:dyDescent="0.3">
      <c r="B34" s="39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81">
        <f t="shared" si="5"/>
        <v>0</v>
      </c>
      <c r="P34" s="254">
        <f t="shared" si="4"/>
        <v>0</v>
      </c>
      <c r="R34" s="91"/>
      <c r="S34" s="91"/>
      <c r="T34" s="92"/>
      <c r="U34" s="93"/>
      <c r="V34" s="93"/>
      <c r="W34" s="94"/>
      <c r="X34" s="92"/>
    </row>
    <row r="35" spans="2:24" ht="18" customHeight="1" x14ac:dyDescent="0.3">
      <c r="B35" s="39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81">
        <f t="shared" si="5"/>
        <v>0</v>
      </c>
      <c r="P35" s="254">
        <f t="shared" si="4"/>
        <v>0</v>
      </c>
      <c r="R35" s="91"/>
      <c r="S35" s="91"/>
      <c r="T35" s="92"/>
      <c r="U35" s="93"/>
      <c r="V35" s="93"/>
      <c r="W35" s="94"/>
      <c r="X35" s="92"/>
    </row>
    <row r="36" spans="2:24" ht="18" customHeight="1" x14ac:dyDescent="0.3">
      <c r="B36" s="39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81">
        <f t="shared" si="5"/>
        <v>0</v>
      </c>
      <c r="P36" s="254">
        <f t="shared" si="4"/>
        <v>0</v>
      </c>
      <c r="R36" s="544"/>
      <c r="S36" s="544"/>
      <c r="T36" s="544"/>
      <c r="U36" s="544"/>
      <c r="V36" s="544"/>
      <c r="W36" s="544"/>
      <c r="X36" s="95"/>
    </row>
    <row r="37" spans="2:24" ht="18" customHeight="1" x14ac:dyDescent="0.3">
      <c r="B37" s="39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81">
        <f t="shared" si="5"/>
        <v>0</v>
      </c>
      <c r="P37" s="254">
        <f t="shared" si="4"/>
        <v>0</v>
      </c>
    </row>
    <row r="38" spans="2:24" ht="18" customHeight="1" x14ac:dyDescent="0.3">
      <c r="B38" s="39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81">
        <f t="shared" si="5"/>
        <v>0</v>
      </c>
      <c r="P38" s="254">
        <f t="shared" si="4"/>
        <v>0</v>
      </c>
    </row>
    <row r="39" spans="2:24" ht="18" customHeight="1" thickBot="1" x14ac:dyDescent="0.35">
      <c r="B39" s="135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281">
        <f t="shared" si="5"/>
        <v>0</v>
      </c>
      <c r="P39" s="254">
        <f t="shared" si="4"/>
        <v>0</v>
      </c>
    </row>
    <row r="40" spans="2:24" ht="24.95" customHeight="1" thickBot="1" x14ac:dyDescent="0.35">
      <c r="B40" s="283" t="s">
        <v>44</v>
      </c>
      <c r="C40" s="284">
        <f>SUM(C41:C53)</f>
        <v>1062000</v>
      </c>
      <c r="D40" s="284">
        <f t="shared" ref="D40:N40" si="6">SUM(D41:D53)</f>
        <v>0</v>
      </c>
      <c r="E40" s="284">
        <f t="shared" si="6"/>
        <v>0</v>
      </c>
      <c r="F40" s="284">
        <f t="shared" si="6"/>
        <v>0</v>
      </c>
      <c r="G40" s="284">
        <f t="shared" si="6"/>
        <v>0</v>
      </c>
      <c r="H40" s="284">
        <f t="shared" si="6"/>
        <v>0</v>
      </c>
      <c r="I40" s="284">
        <f t="shared" si="6"/>
        <v>0</v>
      </c>
      <c r="J40" s="284">
        <f t="shared" si="6"/>
        <v>0</v>
      </c>
      <c r="K40" s="284">
        <f t="shared" si="6"/>
        <v>0</v>
      </c>
      <c r="L40" s="284">
        <f t="shared" si="6"/>
        <v>0</v>
      </c>
      <c r="M40" s="284">
        <f t="shared" si="6"/>
        <v>0</v>
      </c>
      <c r="N40" s="284">
        <f t="shared" si="6"/>
        <v>0</v>
      </c>
      <c r="O40" s="286">
        <f>SUM(C40:N40)</f>
        <v>1062000</v>
      </c>
      <c r="P40" s="287">
        <f t="shared" si="4"/>
        <v>88500</v>
      </c>
    </row>
    <row r="41" spans="2:24" ht="18" customHeight="1" x14ac:dyDescent="0.3">
      <c r="B41" s="39" t="str">
        <f>항목!E3</f>
        <v>식비</v>
      </c>
      <c r="C41" s="53">
        <v>50000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81">
        <f>SUM(C41:N41)</f>
        <v>50000</v>
      </c>
      <c r="P41" s="254">
        <f t="shared" si="4"/>
        <v>4166.666666666667</v>
      </c>
    </row>
    <row r="42" spans="2:24" ht="18" customHeight="1" x14ac:dyDescent="0.3">
      <c r="B42" s="32" t="str">
        <f>항목!F3</f>
        <v>주거비</v>
      </c>
      <c r="C42" s="33">
        <v>200000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281">
        <f>SUM(C42:N42)</f>
        <v>200000</v>
      </c>
      <c r="P42" s="254">
        <f t="shared" si="4"/>
        <v>16666.666666666668</v>
      </c>
    </row>
    <row r="43" spans="2:24" ht="18" customHeight="1" x14ac:dyDescent="0.3">
      <c r="B43" s="32" t="str">
        <f>항목!G3</f>
        <v>생활용품비</v>
      </c>
      <c r="C43" s="33">
        <v>30000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281">
        <f t="shared" ref="O43:O53" si="7">SUM(C43:N43)</f>
        <v>30000</v>
      </c>
      <c r="P43" s="254">
        <f t="shared" si="4"/>
        <v>2500</v>
      </c>
    </row>
    <row r="44" spans="2:24" ht="18" customHeight="1" x14ac:dyDescent="0.3">
      <c r="B44" s="32" t="str">
        <f>항목!H3</f>
        <v>반려동물비</v>
      </c>
      <c r="C44" s="33">
        <v>10000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281">
        <f t="shared" si="7"/>
        <v>10000</v>
      </c>
      <c r="P44" s="254">
        <f t="shared" si="4"/>
        <v>833.33333333333337</v>
      </c>
    </row>
    <row r="45" spans="2:24" ht="18" customHeight="1" x14ac:dyDescent="0.3">
      <c r="B45" s="32" t="str">
        <f>항목!I3</f>
        <v>의류미용비</v>
      </c>
      <c r="C45" s="33">
        <v>10000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281">
        <f t="shared" si="7"/>
        <v>10000</v>
      </c>
      <c r="P45" s="254">
        <f t="shared" si="4"/>
        <v>833.33333333333337</v>
      </c>
    </row>
    <row r="46" spans="2:24" ht="18" customHeight="1" x14ac:dyDescent="0.3">
      <c r="B46" s="32" t="str">
        <f>항목!J3</f>
        <v>교육비</v>
      </c>
      <c r="C46" s="33">
        <v>500000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281">
        <f t="shared" si="7"/>
        <v>500000</v>
      </c>
      <c r="P46" s="254">
        <f t="shared" si="4"/>
        <v>41666.666666666664</v>
      </c>
    </row>
    <row r="47" spans="2:24" ht="18" customHeight="1" x14ac:dyDescent="0.3">
      <c r="B47" s="32" t="str">
        <f>항목!K3</f>
        <v>문화생활비</v>
      </c>
      <c r="C47" s="33">
        <v>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281">
        <f t="shared" si="7"/>
        <v>0</v>
      </c>
      <c r="P47" s="254">
        <f t="shared" si="4"/>
        <v>0</v>
      </c>
    </row>
    <row r="48" spans="2:24" ht="18" customHeight="1" x14ac:dyDescent="0.3">
      <c r="B48" s="32" t="str">
        <f>항목!L3</f>
        <v>의료비</v>
      </c>
      <c r="C48" s="33">
        <v>12000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281">
        <f t="shared" si="7"/>
        <v>12000</v>
      </c>
      <c r="P48" s="254">
        <f t="shared" ref="P48:P53" si="8">O48/12</f>
        <v>1000</v>
      </c>
    </row>
    <row r="49" spans="2:24" ht="18" customHeight="1" x14ac:dyDescent="0.3">
      <c r="B49" s="32" t="str">
        <f>항목!M3</f>
        <v>유류교통비</v>
      </c>
      <c r="C49" s="33">
        <v>100000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281">
        <f t="shared" si="7"/>
        <v>100000</v>
      </c>
      <c r="P49" s="254">
        <f t="shared" si="8"/>
        <v>8333.3333333333339</v>
      </c>
    </row>
    <row r="50" spans="2:24" ht="18" customHeight="1" x14ac:dyDescent="0.3">
      <c r="B50" s="32" t="str">
        <f>항목!N3</f>
        <v>통신비</v>
      </c>
      <c r="C50" s="33">
        <v>50000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281">
        <f t="shared" si="7"/>
        <v>50000</v>
      </c>
      <c r="P50" s="254">
        <f t="shared" si="8"/>
        <v>4166.666666666667</v>
      </c>
    </row>
    <row r="51" spans="2:24" ht="18" customHeight="1" x14ac:dyDescent="0.3">
      <c r="B51" s="32" t="str">
        <f>항목!O3</f>
        <v>경조사회비</v>
      </c>
      <c r="C51" s="33">
        <v>50000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281">
        <f t="shared" si="7"/>
        <v>50000</v>
      </c>
      <c r="P51" s="254">
        <f t="shared" si="8"/>
        <v>4166.666666666667</v>
      </c>
    </row>
    <row r="52" spans="2:24" ht="18" customHeight="1" x14ac:dyDescent="0.3">
      <c r="B52" s="32" t="str">
        <f>항목!P3</f>
        <v>용돈</v>
      </c>
      <c r="C52" s="33">
        <v>50000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281">
        <f t="shared" si="7"/>
        <v>50000</v>
      </c>
      <c r="P52" s="254">
        <f t="shared" si="8"/>
        <v>4166.666666666667</v>
      </c>
    </row>
    <row r="53" spans="2:24" ht="18" customHeight="1" thickBot="1" x14ac:dyDescent="0.35">
      <c r="B53" s="34" t="str">
        <f>항목!Q3</f>
        <v>추가항목</v>
      </c>
      <c r="C53" s="33">
        <v>0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281">
        <f t="shared" si="7"/>
        <v>0</v>
      </c>
      <c r="P53" s="254">
        <f t="shared" si="8"/>
        <v>0</v>
      </c>
    </row>
    <row r="54" spans="2:24" ht="24.95" customHeight="1" thickBot="1" x14ac:dyDescent="0.35">
      <c r="B54" s="283" t="s">
        <v>171</v>
      </c>
      <c r="C54" s="284">
        <f t="shared" ref="C54:N54" si="9">C19+C40</f>
        <v>2912000</v>
      </c>
      <c r="D54" s="284">
        <f t="shared" si="9"/>
        <v>0</v>
      </c>
      <c r="E54" s="284">
        <f t="shared" si="9"/>
        <v>0</v>
      </c>
      <c r="F54" s="284">
        <f t="shared" si="9"/>
        <v>0</v>
      </c>
      <c r="G54" s="284">
        <f t="shared" si="9"/>
        <v>0</v>
      </c>
      <c r="H54" s="284">
        <f t="shared" si="9"/>
        <v>0</v>
      </c>
      <c r="I54" s="284">
        <f t="shared" si="9"/>
        <v>0</v>
      </c>
      <c r="J54" s="284">
        <f t="shared" si="9"/>
        <v>0</v>
      </c>
      <c r="K54" s="284">
        <f t="shared" si="9"/>
        <v>0</v>
      </c>
      <c r="L54" s="284">
        <f t="shared" si="9"/>
        <v>0</v>
      </c>
      <c r="M54" s="284">
        <f t="shared" si="9"/>
        <v>0</v>
      </c>
      <c r="N54" s="284">
        <f t="shared" si="9"/>
        <v>0</v>
      </c>
      <c r="O54" s="286">
        <f>SUM(C54:N54)</f>
        <v>2912000</v>
      </c>
      <c r="P54" s="287">
        <f>O54/12</f>
        <v>242666.66666666666</v>
      </c>
    </row>
    <row r="55" spans="2:24" ht="24.95" customHeight="1" thickBot="1" x14ac:dyDescent="0.35">
      <c r="B55" s="283" t="s">
        <v>170</v>
      </c>
      <c r="C55" s="301">
        <f t="shared" ref="C55:N55" si="10">C4-C54</f>
        <v>738000</v>
      </c>
      <c r="D55" s="301">
        <f t="shared" si="10"/>
        <v>0</v>
      </c>
      <c r="E55" s="301">
        <f t="shared" si="10"/>
        <v>0</v>
      </c>
      <c r="F55" s="301">
        <f t="shared" si="10"/>
        <v>0</v>
      </c>
      <c r="G55" s="301">
        <f t="shared" si="10"/>
        <v>0</v>
      </c>
      <c r="H55" s="301">
        <f t="shared" si="10"/>
        <v>0</v>
      </c>
      <c r="I55" s="301">
        <f t="shared" si="10"/>
        <v>0</v>
      </c>
      <c r="J55" s="301">
        <f t="shared" si="10"/>
        <v>0</v>
      </c>
      <c r="K55" s="301">
        <f t="shared" si="10"/>
        <v>0</v>
      </c>
      <c r="L55" s="301">
        <f t="shared" si="10"/>
        <v>0</v>
      </c>
      <c r="M55" s="301">
        <f t="shared" si="10"/>
        <v>0</v>
      </c>
      <c r="N55" s="301">
        <f t="shared" si="10"/>
        <v>0</v>
      </c>
      <c r="O55" s="302"/>
      <c r="P55" s="303"/>
    </row>
    <row r="56" spans="2:24" ht="24.95" customHeight="1" x14ac:dyDescent="0.3"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2:24" s="49" customFormat="1" ht="18" customHeight="1" x14ac:dyDescent="0.3">
      <c r="R57"/>
      <c r="S57"/>
      <c r="T57"/>
      <c r="U57"/>
      <c r="V57"/>
      <c r="W57"/>
      <c r="X57"/>
    </row>
    <row r="58" spans="2:24" s="49" customFormat="1" ht="18" customHeight="1" x14ac:dyDescent="0.3">
      <c r="F58" s="68"/>
    </row>
    <row r="59" spans="2:24" s="49" customFormat="1" ht="18" customHeight="1" x14ac:dyDescent="0.3"/>
    <row r="60" spans="2:24" s="49" customFormat="1" ht="18" customHeight="1" x14ac:dyDescent="0.3"/>
    <row r="61" spans="2:24" s="49" customFormat="1" ht="18" customHeight="1" x14ac:dyDescent="0.3"/>
    <row r="62" spans="2:24" s="49" customFormat="1" ht="18" customHeight="1" x14ac:dyDescent="0.3"/>
    <row r="63" spans="2:24" s="49" customFormat="1" ht="18" customHeight="1" x14ac:dyDescent="0.3"/>
    <row r="64" spans="2:24" s="49" customFormat="1" ht="18" customHeight="1" x14ac:dyDescent="0.3"/>
    <row r="65" s="49" customFormat="1" ht="18" customHeight="1" x14ac:dyDescent="0.3"/>
    <row r="66" s="49" customFormat="1" ht="18" customHeight="1" x14ac:dyDescent="0.3"/>
    <row r="67" s="49" customFormat="1" ht="18" customHeight="1" x14ac:dyDescent="0.3"/>
    <row r="68" s="49" customFormat="1" ht="18" customHeight="1" x14ac:dyDescent="0.3"/>
    <row r="69" s="49" customFormat="1" ht="18" customHeight="1" x14ac:dyDescent="0.3"/>
    <row r="70" s="49" customFormat="1" ht="18" customHeight="1" x14ac:dyDescent="0.3"/>
    <row r="71" s="49" customFormat="1" ht="18" customHeight="1" x14ac:dyDescent="0.3"/>
    <row r="72" s="49" customFormat="1" ht="18" customHeight="1" x14ac:dyDescent="0.3"/>
    <row r="73" s="49" customFormat="1" ht="18" customHeight="1" x14ac:dyDescent="0.3"/>
    <row r="74" s="49" customFormat="1" ht="18" customHeight="1" x14ac:dyDescent="0.3"/>
    <row r="75" s="49" customFormat="1" ht="18" customHeight="1" x14ac:dyDescent="0.3"/>
    <row r="76" s="49" customFormat="1" ht="18" customHeight="1" x14ac:dyDescent="0.3"/>
    <row r="77" s="49" customFormat="1" ht="18" customHeight="1" x14ac:dyDescent="0.3"/>
    <row r="78" s="49" customFormat="1" ht="18" customHeight="1" x14ac:dyDescent="0.3"/>
    <row r="79" s="49" customFormat="1" ht="18" customHeight="1" x14ac:dyDescent="0.3"/>
    <row r="80" s="49" customFormat="1" ht="18" customHeight="1" x14ac:dyDescent="0.3"/>
    <row r="81" spans="2:24" s="49" customFormat="1" ht="18" customHeight="1" x14ac:dyDescent="0.3"/>
    <row r="82" spans="2:24" s="49" customFormat="1" ht="18" customHeight="1" x14ac:dyDescent="0.3"/>
    <row r="83" spans="2:24" s="49" customFormat="1" ht="18" customHeight="1" x14ac:dyDescent="0.3"/>
    <row r="84" spans="2:24" s="49" customFormat="1" ht="18" customHeight="1" x14ac:dyDescent="0.3"/>
    <row r="85" spans="2:24" s="49" customFormat="1" ht="18" customHeight="1" x14ac:dyDescent="0.3"/>
    <row r="86" spans="2:24" s="49" customFormat="1" ht="18" customHeight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24" s="49" customFormat="1" ht="18" customHeight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24" x14ac:dyDescent="0.3">
      <c r="R88" s="49"/>
      <c r="S88" s="49"/>
      <c r="T88" s="49"/>
      <c r="U88" s="49"/>
      <c r="V88" s="49"/>
      <c r="W88" s="49"/>
      <c r="X88" s="49"/>
    </row>
  </sheetData>
  <mergeCells count="3">
    <mergeCell ref="B1:C1"/>
    <mergeCell ref="R36:W36"/>
    <mergeCell ref="R19:X19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colBreaks count="1" manualBreakCount="1">
    <brk id="1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5"/>
    <pageSetUpPr autoPageBreaks="0" fitToPage="1"/>
  </sheetPr>
  <dimension ref="A1:S199"/>
  <sheetViews>
    <sheetView showGridLines="0" zoomScaleNormal="100" workbookViewId="0">
      <selection activeCell="G22" sqref="G22"/>
    </sheetView>
  </sheetViews>
  <sheetFormatPr defaultRowHeight="16.5" x14ac:dyDescent="0.3"/>
  <cols>
    <col min="1" max="1" width="4.625" customWidth="1"/>
    <col min="2" max="2" width="12.625" customWidth="1"/>
    <col min="3" max="16" width="10.625" customWidth="1"/>
    <col min="17" max="17" width="4.625" customWidth="1"/>
  </cols>
  <sheetData>
    <row r="1" spans="1:17" ht="40.5" customHeight="1" x14ac:dyDescent="0.3">
      <c r="A1" s="10"/>
      <c r="B1" s="543" t="s">
        <v>134</v>
      </c>
      <c r="C1" s="54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7.25" thickBot="1" x14ac:dyDescent="0.35"/>
    <row r="3" spans="1:17" ht="30" customHeight="1" thickBot="1" x14ac:dyDescent="0.35">
      <c r="B3" s="13"/>
      <c r="C3" s="14" t="s">
        <v>28</v>
      </c>
      <c r="D3" s="14" t="s">
        <v>31</v>
      </c>
      <c r="E3" s="14" t="s">
        <v>32</v>
      </c>
      <c r="F3" s="14" t="s">
        <v>33</v>
      </c>
      <c r="G3" s="14" t="s">
        <v>34</v>
      </c>
      <c r="H3" s="14" t="s">
        <v>35</v>
      </c>
      <c r="I3" s="14" t="s">
        <v>36</v>
      </c>
      <c r="J3" s="14" t="s">
        <v>37</v>
      </c>
      <c r="K3" s="14" t="s">
        <v>38</v>
      </c>
      <c r="L3" s="14" t="s">
        <v>39</v>
      </c>
      <c r="M3" s="14" t="s">
        <v>40</v>
      </c>
      <c r="N3" s="18" t="s">
        <v>41</v>
      </c>
      <c r="O3" s="22" t="s">
        <v>4</v>
      </c>
      <c r="P3" s="19" t="s">
        <v>42</v>
      </c>
    </row>
    <row r="4" spans="1:17" ht="24.95" customHeight="1" thickBot="1" x14ac:dyDescent="0.35">
      <c r="B4" s="133" t="s">
        <v>1</v>
      </c>
      <c r="C4" s="137">
        <f>연간_항목별수입!C20-예산!C4</f>
        <v>-3650000</v>
      </c>
      <c r="D4" s="137">
        <f>연간_항목별수입!D20-예산!D4</f>
        <v>0</v>
      </c>
      <c r="E4" s="137">
        <f>연간_항목별수입!E20-예산!E4</f>
        <v>0</v>
      </c>
      <c r="F4" s="137">
        <f>연간_항목별수입!F20-예산!F4</f>
        <v>0</v>
      </c>
      <c r="G4" s="137">
        <f>연간_항목별수입!G20-예산!G4</f>
        <v>0</v>
      </c>
      <c r="H4" s="137">
        <f>연간_항목별수입!H20-예산!H4</f>
        <v>0</v>
      </c>
      <c r="I4" s="137">
        <f>연간_항목별수입!I20-예산!I4</f>
        <v>0</v>
      </c>
      <c r="J4" s="137">
        <f>연간_항목별수입!J20-예산!J4</f>
        <v>0</v>
      </c>
      <c r="K4" s="137">
        <f>연간_항목별수입!K20-예산!K4</f>
        <v>0</v>
      </c>
      <c r="L4" s="137">
        <f>연간_항목별수입!L20-예산!L4</f>
        <v>0</v>
      </c>
      <c r="M4" s="137">
        <f>연간_항목별수입!M20-예산!M4</f>
        <v>0</v>
      </c>
      <c r="N4" s="137">
        <f>연간_항목별수입!N20-예산!N4</f>
        <v>0</v>
      </c>
      <c r="O4" s="138">
        <f>SUM(C4:N4)</f>
        <v>-3650000</v>
      </c>
      <c r="P4" s="139">
        <f>O4/12</f>
        <v>-304166.66666666669</v>
      </c>
    </row>
    <row r="5" spans="1:17" ht="24.95" customHeight="1" thickBot="1" x14ac:dyDescent="0.35">
      <c r="B5" s="133" t="str">
        <f>항목!D3</f>
        <v>저축성지출</v>
      </c>
      <c r="C5" s="134">
        <f>연간_항목별지출!C4-예산!C19</f>
        <v>-1850000</v>
      </c>
      <c r="D5" s="134">
        <f>연간_항목별지출!D4-예산!D19</f>
        <v>0</v>
      </c>
      <c r="E5" s="134">
        <f>연간_항목별지출!E4-예산!E19</f>
        <v>0</v>
      </c>
      <c r="F5" s="134">
        <f>연간_항목별지출!F4-예산!F19</f>
        <v>0</v>
      </c>
      <c r="G5" s="134">
        <f>연간_항목별지출!G4-예산!G19</f>
        <v>0</v>
      </c>
      <c r="H5" s="134">
        <f>연간_항목별지출!H4-예산!H19</f>
        <v>0</v>
      </c>
      <c r="I5" s="134">
        <f>연간_항목별지출!I4-예산!I19</f>
        <v>0</v>
      </c>
      <c r="J5" s="134">
        <f>연간_항목별지출!J4-예산!J19</f>
        <v>0</v>
      </c>
      <c r="K5" s="134">
        <f>연간_항목별지출!K4-예산!K19</f>
        <v>0</v>
      </c>
      <c r="L5" s="134">
        <f>연간_항목별지출!L4-예산!L19</f>
        <v>0</v>
      </c>
      <c r="M5" s="134">
        <f>연간_항목별지출!M4-예산!M19</f>
        <v>0</v>
      </c>
      <c r="N5" s="134">
        <f>연간_항목별지출!N4-예산!N19</f>
        <v>0</v>
      </c>
      <c r="O5" s="24">
        <f>SUM(C5:N5)</f>
        <v>-1850000</v>
      </c>
      <c r="P5" s="21">
        <f t="shared" ref="P5:P13" si="0">O5/12</f>
        <v>-154166.66666666666</v>
      </c>
    </row>
    <row r="6" spans="1:17" ht="24.95" customHeight="1" thickBot="1" x14ac:dyDescent="0.35">
      <c r="B6" s="133" t="s">
        <v>44</v>
      </c>
      <c r="C6" s="134">
        <f>예산!C40-연간_항목별지출!C5</f>
        <v>1062000</v>
      </c>
      <c r="D6" s="134">
        <f>예산!D40-연간_항목별지출!D5</f>
        <v>0</v>
      </c>
      <c r="E6" s="134">
        <f>예산!E40-연간_항목별지출!E5</f>
        <v>0</v>
      </c>
      <c r="F6" s="134">
        <f>예산!F40-연간_항목별지출!F5</f>
        <v>0</v>
      </c>
      <c r="G6" s="134">
        <f>예산!G40-연간_항목별지출!G5</f>
        <v>0</v>
      </c>
      <c r="H6" s="134">
        <f>예산!H40-연간_항목별지출!H5</f>
        <v>0</v>
      </c>
      <c r="I6" s="134">
        <f>예산!I40-연간_항목별지출!I5</f>
        <v>0</v>
      </c>
      <c r="J6" s="134">
        <f>예산!J40-연간_항목별지출!J5</f>
        <v>0</v>
      </c>
      <c r="K6" s="134">
        <f>예산!K40-연간_항목별지출!K5</f>
        <v>0</v>
      </c>
      <c r="L6" s="134">
        <f>예산!L40-연간_항목별지출!L5</f>
        <v>0</v>
      </c>
      <c r="M6" s="134">
        <f>예산!M40-연간_항목별지출!M5</f>
        <v>0</v>
      </c>
      <c r="N6" s="134">
        <f>예산!N40-연간_항목별지출!N5</f>
        <v>0</v>
      </c>
      <c r="O6" s="24">
        <f>SUM(C6:N6)</f>
        <v>1062000</v>
      </c>
      <c r="P6" s="21">
        <f t="shared" si="0"/>
        <v>88500</v>
      </c>
    </row>
    <row r="7" spans="1:17" ht="18" customHeight="1" x14ac:dyDescent="0.3">
      <c r="B7" s="90" t="str">
        <f>항목!E3</f>
        <v>식비</v>
      </c>
      <c r="C7" s="12">
        <f>예산!C41-연간_항목별지출!C6</f>
        <v>50000</v>
      </c>
      <c r="D7" s="12">
        <f>예산!D41-연간_항목별지출!D6</f>
        <v>0</v>
      </c>
      <c r="E7" s="12">
        <f>예산!E41-연간_항목별지출!E6</f>
        <v>0</v>
      </c>
      <c r="F7" s="12">
        <f>예산!F41-연간_항목별지출!F6</f>
        <v>0</v>
      </c>
      <c r="G7" s="12">
        <f>예산!G41-연간_항목별지출!G6</f>
        <v>0</v>
      </c>
      <c r="H7" s="12">
        <f>예산!H41-연간_항목별지출!H6</f>
        <v>0</v>
      </c>
      <c r="I7" s="12">
        <f>예산!I41-연간_항목별지출!I6</f>
        <v>0</v>
      </c>
      <c r="J7" s="12">
        <f>예산!J41-연간_항목별지출!J6</f>
        <v>0</v>
      </c>
      <c r="K7" s="12">
        <f>예산!K41-연간_항목별지출!K6</f>
        <v>0</v>
      </c>
      <c r="L7" s="12">
        <f>예산!L41-연간_항목별지출!L6</f>
        <v>0</v>
      </c>
      <c r="M7" s="12">
        <f>예산!M41-연간_항목별지출!M6</f>
        <v>0</v>
      </c>
      <c r="N7" s="12">
        <f>예산!N41-연간_항목별지출!N6</f>
        <v>0</v>
      </c>
      <c r="O7" s="23">
        <f>SUM(C7:N7)</f>
        <v>50000</v>
      </c>
      <c r="P7" s="20">
        <f t="shared" si="0"/>
        <v>4166.666666666667</v>
      </c>
    </row>
    <row r="8" spans="1:17" ht="18" customHeight="1" x14ac:dyDescent="0.3">
      <c r="B8" s="11" t="str">
        <f>항목!F3</f>
        <v>주거비</v>
      </c>
      <c r="C8" s="12">
        <f>예산!C42-연간_항목별지출!C7</f>
        <v>200000</v>
      </c>
      <c r="D8" s="12">
        <f>예산!D42-연간_항목별지출!D7</f>
        <v>0</v>
      </c>
      <c r="E8" s="12">
        <f>예산!E42-연간_항목별지출!E7</f>
        <v>0</v>
      </c>
      <c r="F8" s="12">
        <f>예산!F42-연간_항목별지출!F7</f>
        <v>0</v>
      </c>
      <c r="G8" s="12">
        <f>예산!G42-연간_항목별지출!G7</f>
        <v>0</v>
      </c>
      <c r="H8" s="12">
        <f>예산!H42-연간_항목별지출!H7</f>
        <v>0</v>
      </c>
      <c r="I8" s="12">
        <f>예산!I42-연간_항목별지출!I7</f>
        <v>0</v>
      </c>
      <c r="J8" s="12">
        <f>예산!J42-연간_항목별지출!J7</f>
        <v>0</v>
      </c>
      <c r="K8" s="12">
        <f>예산!K42-연간_항목별지출!K7</f>
        <v>0</v>
      </c>
      <c r="L8" s="12">
        <f>예산!L42-연간_항목별지출!L7</f>
        <v>0</v>
      </c>
      <c r="M8" s="12">
        <f>예산!M42-연간_항목별지출!M7</f>
        <v>0</v>
      </c>
      <c r="N8" s="12">
        <f>예산!N42-연간_항목별지출!N7</f>
        <v>0</v>
      </c>
      <c r="O8" s="23">
        <f>SUM(C8:N8)</f>
        <v>200000</v>
      </c>
      <c r="P8" s="20">
        <f t="shared" si="0"/>
        <v>16666.666666666668</v>
      </c>
    </row>
    <row r="9" spans="1:17" ht="18" customHeight="1" x14ac:dyDescent="0.3">
      <c r="B9" s="11" t="str">
        <f>항목!G3</f>
        <v>생활용품비</v>
      </c>
      <c r="C9" s="12">
        <f>예산!C43-연간_항목별지출!C8</f>
        <v>30000</v>
      </c>
      <c r="D9" s="12">
        <f>예산!D43-연간_항목별지출!D8</f>
        <v>0</v>
      </c>
      <c r="E9" s="12">
        <f>예산!E43-연간_항목별지출!E8</f>
        <v>0</v>
      </c>
      <c r="F9" s="12">
        <f>예산!F43-연간_항목별지출!F8</f>
        <v>0</v>
      </c>
      <c r="G9" s="12">
        <f>예산!G43-연간_항목별지출!G8</f>
        <v>0</v>
      </c>
      <c r="H9" s="12">
        <f>예산!H43-연간_항목별지출!H8</f>
        <v>0</v>
      </c>
      <c r="I9" s="12">
        <f>예산!I43-연간_항목별지출!I8</f>
        <v>0</v>
      </c>
      <c r="J9" s="12">
        <f>예산!J43-연간_항목별지출!J8</f>
        <v>0</v>
      </c>
      <c r="K9" s="12">
        <f>예산!K43-연간_항목별지출!K8</f>
        <v>0</v>
      </c>
      <c r="L9" s="12">
        <f>예산!L43-연간_항목별지출!L8</f>
        <v>0</v>
      </c>
      <c r="M9" s="12">
        <f>예산!M43-연간_항목별지출!M8</f>
        <v>0</v>
      </c>
      <c r="N9" s="12">
        <f>예산!N43-연간_항목별지출!N8</f>
        <v>0</v>
      </c>
      <c r="O9" s="23">
        <f t="shared" ref="O9:O19" si="1">SUM(C9:N9)</f>
        <v>30000</v>
      </c>
      <c r="P9" s="20">
        <f t="shared" si="0"/>
        <v>2500</v>
      </c>
    </row>
    <row r="10" spans="1:17" ht="18" customHeight="1" x14ac:dyDescent="0.3">
      <c r="B10" s="11" t="str">
        <f>항목!H3</f>
        <v>반려동물비</v>
      </c>
      <c r="C10" s="12">
        <f>예산!C44-연간_항목별지출!C9</f>
        <v>10000</v>
      </c>
      <c r="D10" s="12">
        <f>예산!D44-연간_항목별지출!D9</f>
        <v>0</v>
      </c>
      <c r="E10" s="12">
        <f>예산!E44-연간_항목별지출!E9</f>
        <v>0</v>
      </c>
      <c r="F10" s="12">
        <f>예산!F44-연간_항목별지출!F9</f>
        <v>0</v>
      </c>
      <c r="G10" s="12">
        <f>예산!G44-연간_항목별지출!G9</f>
        <v>0</v>
      </c>
      <c r="H10" s="12">
        <f>예산!H44-연간_항목별지출!H9</f>
        <v>0</v>
      </c>
      <c r="I10" s="12">
        <f>예산!I44-연간_항목별지출!I9</f>
        <v>0</v>
      </c>
      <c r="J10" s="12">
        <f>예산!J44-연간_항목별지출!J9</f>
        <v>0</v>
      </c>
      <c r="K10" s="12">
        <f>예산!K44-연간_항목별지출!K9</f>
        <v>0</v>
      </c>
      <c r="L10" s="12">
        <f>예산!L44-연간_항목별지출!L9</f>
        <v>0</v>
      </c>
      <c r="M10" s="12">
        <f>예산!M44-연간_항목별지출!M9</f>
        <v>0</v>
      </c>
      <c r="N10" s="12">
        <f>예산!N44-연간_항목별지출!N9</f>
        <v>0</v>
      </c>
      <c r="O10" s="23">
        <f t="shared" si="1"/>
        <v>10000</v>
      </c>
      <c r="P10" s="20">
        <f t="shared" si="0"/>
        <v>833.33333333333337</v>
      </c>
    </row>
    <row r="11" spans="1:17" ht="18" customHeight="1" x14ac:dyDescent="0.3">
      <c r="B11" s="11" t="str">
        <f>항목!I3</f>
        <v>의류미용비</v>
      </c>
      <c r="C11" s="12">
        <f>예산!C45-연간_항목별지출!C10</f>
        <v>10000</v>
      </c>
      <c r="D11" s="12">
        <f>예산!D45-연간_항목별지출!D10</f>
        <v>0</v>
      </c>
      <c r="E11" s="12">
        <f>예산!E45-연간_항목별지출!E10</f>
        <v>0</v>
      </c>
      <c r="F11" s="12">
        <f>예산!F45-연간_항목별지출!F10</f>
        <v>0</v>
      </c>
      <c r="G11" s="12">
        <f>예산!G45-연간_항목별지출!G10</f>
        <v>0</v>
      </c>
      <c r="H11" s="12">
        <f>예산!H45-연간_항목별지출!H10</f>
        <v>0</v>
      </c>
      <c r="I11" s="12">
        <f>예산!I45-연간_항목별지출!I10</f>
        <v>0</v>
      </c>
      <c r="J11" s="12">
        <f>예산!J45-연간_항목별지출!J10</f>
        <v>0</v>
      </c>
      <c r="K11" s="12">
        <f>예산!K45-연간_항목별지출!K10</f>
        <v>0</v>
      </c>
      <c r="L11" s="12">
        <f>예산!L45-연간_항목별지출!L10</f>
        <v>0</v>
      </c>
      <c r="M11" s="12">
        <f>예산!M45-연간_항목별지출!M10</f>
        <v>0</v>
      </c>
      <c r="N11" s="12">
        <f>예산!N45-연간_항목별지출!N10</f>
        <v>0</v>
      </c>
      <c r="O11" s="23">
        <f t="shared" si="1"/>
        <v>10000</v>
      </c>
      <c r="P11" s="20">
        <f t="shared" si="0"/>
        <v>833.33333333333337</v>
      </c>
    </row>
    <row r="12" spans="1:17" ht="18" customHeight="1" x14ac:dyDescent="0.3">
      <c r="B12" s="11" t="str">
        <f>항목!J3</f>
        <v>교육비</v>
      </c>
      <c r="C12" s="12">
        <f>예산!C46-연간_항목별지출!C11</f>
        <v>500000</v>
      </c>
      <c r="D12" s="12">
        <f>예산!D46-연간_항목별지출!D11</f>
        <v>0</v>
      </c>
      <c r="E12" s="12">
        <f>예산!E46-연간_항목별지출!E11</f>
        <v>0</v>
      </c>
      <c r="F12" s="12">
        <f>예산!F46-연간_항목별지출!F11</f>
        <v>0</v>
      </c>
      <c r="G12" s="12">
        <f>예산!G46-연간_항목별지출!G11</f>
        <v>0</v>
      </c>
      <c r="H12" s="12">
        <f>예산!H46-연간_항목별지출!H11</f>
        <v>0</v>
      </c>
      <c r="I12" s="12">
        <f>예산!I46-연간_항목별지출!I11</f>
        <v>0</v>
      </c>
      <c r="J12" s="12">
        <f>예산!J46-연간_항목별지출!J11</f>
        <v>0</v>
      </c>
      <c r="K12" s="12">
        <f>예산!K46-연간_항목별지출!K11</f>
        <v>0</v>
      </c>
      <c r="L12" s="12">
        <f>예산!L46-연간_항목별지출!L11</f>
        <v>0</v>
      </c>
      <c r="M12" s="12">
        <f>예산!M46-연간_항목별지출!M11</f>
        <v>0</v>
      </c>
      <c r="N12" s="12">
        <f>예산!N46-연간_항목별지출!N11</f>
        <v>0</v>
      </c>
      <c r="O12" s="23">
        <f t="shared" si="1"/>
        <v>500000</v>
      </c>
      <c r="P12" s="20">
        <f t="shared" si="0"/>
        <v>41666.666666666664</v>
      </c>
    </row>
    <row r="13" spans="1:17" ht="18" customHeight="1" x14ac:dyDescent="0.3">
      <c r="B13" s="11" t="str">
        <f>항목!K3</f>
        <v>문화생활비</v>
      </c>
      <c r="C13" s="12">
        <f>예산!C47-연간_항목별지출!C12</f>
        <v>0</v>
      </c>
      <c r="D13" s="12">
        <f>예산!D47-연간_항목별지출!D12</f>
        <v>0</v>
      </c>
      <c r="E13" s="12">
        <f>예산!E47-연간_항목별지출!E12</f>
        <v>0</v>
      </c>
      <c r="F13" s="12">
        <f>예산!F47-연간_항목별지출!F12</f>
        <v>0</v>
      </c>
      <c r="G13" s="12">
        <f>예산!G47-연간_항목별지출!G12</f>
        <v>0</v>
      </c>
      <c r="H13" s="12">
        <f>예산!H47-연간_항목별지출!H12</f>
        <v>0</v>
      </c>
      <c r="I13" s="12">
        <f>예산!I47-연간_항목별지출!I12</f>
        <v>0</v>
      </c>
      <c r="J13" s="12">
        <f>예산!J47-연간_항목별지출!J12</f>
        <v>0</v>
      </c>
      <c r="K13" s="12">
        <f>예산!K47-연간_항목별지출!K12</f>
        <v>0</v>
      </c>
      <c r="L13" s="12">
        <f>예산!L47-연간_항목별지출!L12</f>
        <v>0</v>
      </c>
      <c r="M13" s="12">
        <f>예산!M47-연간_항목별지출!M12</f>
        <v>0</v>
      </c>
      <c r="N13" s="12">
        <f>예산!N47-연간_항목별지출!N12</f>
        <v>0</v>
      </c>
      <c r="O13" s="23">
        <f t="shared" si="1"/>
        <v>0</v>
      </c>
      <c r="P13" s="20">
        <f t="shared" si="0"/>
        <v>0</v>
      </c>
    </row>
    <row r="14" spans="1:17" ht="18" customHeight="1" x14ac:dyDescent="0.3">
      <c r="B14" s="11" t="str">
        <f>항목!L3</f>
        <v>의료비</v>
      </c>
      <c r="C14" s="12">
        <f>예산!C48-연간_항목별지출!C13</f>
        <v>12000</v>
      </c>
      <c r="D14" s="12">
        <f>예산!D48-연간_항목별지출!D13</f>
        <v>0</v>
      </c>
      <c r="E14" s="12">
        <f>예산!E48-연간_항목별지출!E13</f>
        <v>0</v>
      </c>
      <c r="F14" s="12">
        <f>예산!F48-연간_항목별지출!F13</f>
        <v>0</v>
      </c>
      <c r="G14" s="12">
        <f>예산!G48-연간_항목별지출!G13</f>
        <v>0</v>
      </c>
      <c r="H14" s="12">
        <f>예산!H48-연간_항목별지출!H13</f>
        <v>0</v>
      </c>
      <c r="I14" s="12">
        <f>예산!I48-연간_항목별지출!I13</f>
        <v>0</v>
      </c>
      <c r="J14" s="12">
        <f>예산!J48-연간_항목별지출!J13</f>
        <v>0</v>
      </c>
      <c r="K14" s="12">
        <f>예산!K48-연간_항목별지출!K13</f>
        <v>0</v>
      </c>
      <c r="L14" s="12">
        <f>예산!L48-연간_항목별지출!L13</f>
        <v>0</v>
      </c>
      <c r="M14" s="12">
        <f>예산!M48-연간_항목별지출!M13</f>
        <v>0</v>
      </c>
      <c r="N14" s="12">
        <f>예산!N48-연간_항목별지출!N13</f>
        <v>0</v>
      </c>
      <c r="O14" s="23">
        <f t="shared" si="1"/>
        <v>12000</v>
      </c>
      <c r="P14" s="20">
        <f t="shared" ref="P14:P19" si="2">O14/12</f>
        <v>1000</v>
      </c>
    </row>
    <row r="15" spans="1:17" ht="18" customHeight="1" x14ac:dyDescent="0.3">
      <c r="B15" s="11" t="str">
        <f>항목!M3</f>
        <v>유류교통비</v>
      </c>
      <c r="C15" s="12">
        <f>예산!C49-연간_항목별지출!C14</f>
        <v>100000</v>
      </c>
      <c r="D15" s="12">
        <f>예산!D49-연간_항목별지출!D14</f>
        <v>0</v>
      </c>
      <c r="E15" s="12">
        <f>예산!E49-연간_항목별지출!E14</f>
        <v>0</v>
      </c>
      <c r="F15" s="12">
        <f>예산!F49-연간_항목별지출!F14</f>
        <v>0</v>
      </c>
      <c r="G15" s="12">
        <f>예산!G49-연간_항목별지출!G14</f>
        <v>0</v>
      </c>
      <c r="H15" s="12">
        <f>예산!H49-연간_항목별지출!H14</f>
        <v>0</v>
      </c>
      <c r="I15" s="12">
        <f>예산!I49-연간_항목별지출!I14</f>
        <v>0</v>
      </c>
      <c r="J15" s="12">
        <f>예산!J49-연간_항목별지출!J14</f>
        <v>0</v>
      </c>
      <c r="K15" s="12">
        <f>예산!K49-연간_항목별지출!K14</f>
        <v>0</v>
      </c>
      <c r="L15" s="12">
        <f>예산!L49-연간_항목별지출!L14</f>
        <v>0</v>
      </c>
      <c r="M15" s="12">
        <f>예산!M49-연간_항목별지출!M14</f>
        <v>0</v>
      </c>
      <c r="N15" s="12">
        <f>예산!N49-연간_항목별지출!N14</f>
        <v>0</v>
      </c>
      <c r="O15" s="23">
        <f t="shared" si="1"/>
        <v>100000</v>
      </c>
      <c r="P15" s="20">
        <f t="shared" si="2"/>
        <v>8333.3333333333339</v>
      </c>
    </row>
    <row r="16" spans="1:17" ht="18" customHeight="1" x14ac:dyDescent="0.3">
      <c r="B16" s="11" t="str">
        <f>항목!N3</f>
        <v>통신비</v>
      </c>
      <c r="C16" s="12">
        <f>예산!C50-연간_항목별지출!C15</f>
        <v>50000</v>
      </c>
      <c r="D16" s="12">
        <f>예산!D50-연간_항목별지출!D15</f>
        <v>0</v>
      </c>
      <c r="E16" s="12">
        <f>예산!E50-연간_항목별지출!E15</f>
        <v>0</v>
      </c>
      <c r="F16" s="12">
        <f>예산!F50-연간_항목별지출!F15</f>
        <v>0</v>
      </c>
      <c r="G16" s="12">
        <f>예산!G50-연간_항목별지출!G15</f>
        <v>0</v>
      </c>
      <c r="H16" s="12">
        <f>예산!H50-연간_항목별지출!H15</f>
        <v>0</v>
      </c>
      <c r="I16" s="12">
        <f>예산!I50-연간_항목별지출!I15</f>
        <v>0</v>
      </c>
      <c r="J16" s="12">
        <f>예산!J50-연간_항목별지출!J15</f>
        <v>0</v>
      </c>
      <c r="K16" s="12">
        <f>예산!K50-연간_항목별지출!K15</f>
        <v>0</v>
      </c>
      <c r="L16" s="12">
        <f>예산!L50-연간_항목별지출!L15</f>
        <v>0</v>
      </c>
      <c r="M16" s="12">
        <f>예산!M50-연간_항목별지출!M15</f>
        <v>0</v>
      </c>
      <c r="N16" s="12">
        <f>예산!N50-연간_항목별지출!N15</f>
        <v>0</v>
      </c>
      <c r="O16" s="23">
        <f t="shared" si="1"/>
        <v>50000</v>
      </c>
      <c r="P16" s="20">
        <f t="shared" si="2"/>
        <v>4166.666666666667</v>
      </c>
    </row>
    <row r="17" spans="1:19" ht="18" customHeight="1" x14ac:dyDescent="0.3">
      <c r="B17" s="11" t="str">
        <f>항목!O3</f>
        <v>경조사회비</v>
      </c>
      <c r="C17" s="12">
        <f>예산!C51-연간_항목별지출!C16</f>
        <v>50000</v>
      </c>
      <c r="D17" s="12">
        <f>예산!D51-연간_항목별지출!D16</f>
        <v>0</v>
      </c>
      <c r="E17" s="12">
        <f>예산!E51-연간_항목별지출!E16</f>
        <v>0</v>
      </c>
      <c r="F17" s="12">
        <f>예산!F51-연간_항목별지출!F16</f>
        <v>0</v>
      </c>
      <c r="G17" s="12">
        <f>예산!G51-연간_항목별지출!G16</f>
        <v>0</v>
      </c>
      <c r="H17" s="12">
        <f>예산!H51-연간_항목별지출!H16</f>
        <v>0</v>
      </c>
      <c r="I17" s="12">
        <f>예산!I51-연간_항목별지출!I16</f>
        <v>0</v>
      </c>
      <c r="J17" s="12">
        <f>예산!J51-연간_항목별지출!J16</f>
        <v>0</v>
      </c>
      <c r="K17" s="12">
        <f>예산!K51-연간_항목별지출!K16</f>
        <v>0</v>
      </c>
      <c r="L17" s="12">
        <f>예산!L51-연간_항목별지출!L16</f>
        <v>0</v>
      </c>
      <c r="M17" s="12">
        <f>예산!M51-연간_항목별지출!M16</f>
        <v>0</v>
      </c>
      <c r="N17" s="12">
        <f>예산!N51-연간_항목별지출!N16</f>
        <v>0</v>
      </c>
      <c r="O17" s="23">
        <f t="shared" si="1"/>
        <v>50000</v>
      </c>
      <c r="P17" s="20">
        <f t="shared" si="2"/>
        <v>4166.666666666667</v>
      </c>
    </row>
    <row r="18" spans="1:19" ht="18" customHeight="1" x14ac:dyDescent="0.3">
      <c r="B18" s="11" t="str">
        <f>항목!P3</f>
        <v>용돈</v>
      </c>
      <c r="C18" s="12">
        <f>예산!C52-연간_항목별지출!C17</f>
        <v>50000</v>
      </c>
      <c r="D18" s="12">
        <f>예산!D52-연간_항목별지출!D17</f>
        <v>0</v>
      </c>
      <c r="E18" s="12">
        <f>예산!E52-연간_항목별지출!E17</f>
        <v>0</v>
      </c>
      <c r="F18" s="12">
        <f>예산!F52-연간_항목별지출!F17</f>
        <v>0</v>
      </c>
      <c r="G18" s="12">
        <f>예산!G52-연간_항목별지출!G17</f>
        <v>0</v>
      </c>
      <c r="H18" s="12">
        <f>예산!H52-연간_항목별지출!H17</f>
        <v>0</v>
      </c>
      <c r="I18" s="12">
        <f>예산!I52-연간_항목별지출!I17</f>
        <v>0</v>
      </c>
      <c r="J18" s="12">
        <f>예산!J52-연간_항목별지출!J17</f>
        <v>0</v>
      </c>
      <c r="K18" s="12">
        <f>예산!K52-연간_항목별지출!K17</f>
        <v>0</v>
      </c>
      <c r="L18" s="12">
        <f>예산!L52-연간_항목별지출!L17</f>
        <v>0</v>
      </c>
      <c r="M18" s="12">
        <f>예산!M52-연간_항목별지출!M17</f>
        <v>0</v>
      </c>
      <c r="N18" s="12">
        <f>예산!N52-연간_항목별지출!N17</f>
        <v>0</v>
      </c>
      <c r="O18" s="23">
        <f t="shared" si="1"/>
        <v>50000</v>
      </c>
      <c r="P18" s="20">
        <f t="shared" si="2"/>
        <v>4166.666666666667</v>
      </c>
    </row>
    <row r="19" spans="1:19" ht="18" customHeight="1" thickBot="1" x14ac:dyDescent="0.35">
      <c r="B19" s="15" t="str">
        <f>항목!Q3</f>
        <v>추가항목</v>
      </c>
      <c r="C19" s="12">
        <f>예산!C53-연간_항목별지출!C18</f>
        <v>0</v>
      </c>
      <c r="D19" s="12">
        <f>예산!D53-연간_항목별지출!D18</f>
        <v>0</v>
      </c>
      <c r="E19" s="12">
        <f>예산!E53-연간_항목별지출!E18</f>
        <v>0</v>
      </c>
      <c r="F19" s="12">
        <f>예산!F53-연간_항목별지출!F18</f>
        <v>0</v>
      </c>
      <c r="G19" s="12">
        <f>예산!G53-연간_항목별지출!G18</f>
        <v>0</v>
      </c>
      <c r="H19" s="12">
        <f>예산!H53-연간_항목별지출!H18</f>
        <v>0</v>
      </c>
      <c r="I19" s="12">
        <f>예산!I53-연간_항목별지출!I18</f>
        <v>0</v>
      </c>
      <c r="J19" s="12">
        <f>예산!J53-연간_항목별지출!J18</f>
        <v>0</v>
      </c>
      <c r="K19" s="12">
        <f>예산!K53-연간_항목별지출!K18</f>
        <v>0</v>
      </c>
      <c r="L19" s="12">
        <f>예산!L53-연간_항목별지출!L18</f>
        <v>0</v>
      </c>
      <c r="M19" s="12">
        <f>예산!M53-연간_항목별지출!M18</f>
        <v>0</v>
      </c>
      <c r="N19" s="12">
        <f>예산!N53-연간_항목별지출!N18</f>
        <v>0</v>
      </c>
      <c r="O19" s="23">
        <f t="shared" si="1"/>
        <v>0</v>
      </c>
      <c r="P19" s="20">
        <f t="shared" si="2"/>
        <v>0</v>
      </c>
    </row>
    <row r="20" spans="1:19" ht="24.95" customHeight="1" thickBot="1" x14ac:dyDescent="0.35">
      <c r="B20" s="16" t="s">
        <v>57</v>
      </c>
      <c r="C20" s="17">
        <f>C4+C6</f>
        <v>-2588000</v>
      </c>
      <c r="D20" s="17">
        <f t="shared" ref="D20:N20" si="3">D4+D6</f>
        <v>0</v>
      </c>
      <c r="E20" s="17">
        <f t="shared" si="3"/>
        <v>0</v>
      </c>
      <c r="F20" s="17">
        <f t="shared" si="3"/>
        <v>0</v>
      </c>
      <c r="G20" s="17">
        <f t="shared" si="3"/>
        <v>0</v>
      </c>
      <c r="H20" s="17">
        <f t="shared" si="3"/>
        <v>0</v>
      </c>
      <c r="I20" s="17">
        <f t="shared" si="3"/>
        <v>0</v>
      </c>
      <c r="J20" s="17">
        <f t="shared" si="3"/>
        <v>0</v>
      </c>
      <c r="K20" s="17">
        <f t="shared" si="3"/>
        <v>0</v>
      </c>
      <c r="L20" s="17">
        <f t="shared" si="3"/>
        <v>0</v>
      </c>
      <c r="M20" s="17">
        <f t="shared" si="3"/>
        <v>0</v>
      </c>
      <c r="N20" s="17">
        <f t="shared" si="3"/>
        <v>0</v>
      </c>
      <c r="O20" s="24">
        <f>SUM(C20:N20)</f>
        <v>-2588000</v>
      </c>
      <c r="P20" s="21">
        <f>O20/12</f>
        <v>-215666.66666666666</v>
      </c>
    </row>
    <row r="21" spans="1:19" x14ac:dyDescent="0.3">
      <c r="A21" s="366"/>
      <c r="B21" s="366"/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</row>
    <row r="22" spans="1:19" x14ac:dyDescent="0.3">
      <c r="A22" s="366"/>
      <c r="B22" s="366"/>
      <c r="C22" s="366"/>
      <c r="D22" s="366"/>
      <c r="E22" s="366"/>
      <c r="F22" s="366"/>
      <c r="G22" s="431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6"/>
    </row>
    <row r="23" spans="1:19" x14ac:dyDescent="0.3">
      <c r="A23" s="366"/>
      <c r="B23" s="366"/>
      <c r="C23" s="366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</row>
    <row r="24" spans="1:19" x14ac:dyDescent="0.3">
      <c r="A24" s="366"/>
      <c r="B24" s="366"/>
      <c r="C24" s="366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</row>
    <row r="25" spans="1:19" x14ac:dyDescent="0.3">
      <c r="A25" s="366"/>
      <c r="B25" s="366"/>
      <c r="C25" s="366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</row>
    <row r="26" spans="1:19" x14ac:dyDescent="0.3">
      <c r="A26" s="366"/>
      <c r="B26" s="366"/>
      <c r="C26" s="366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</row>
    <row r="27" spans="1:19" x14ac:dyDescent="0.3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</row>
    <row r="28" spans="1:19" x14ac:dyDescent="0.3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</row>
    <row r="29" spans="1:19" x14ac:dyDescent="0.3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</row>
    <row r="30" spans="1:19" x14ac:dyDescent="0.3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</row>
    <row r="31" spans="1:19" x14ac:dyDescent="0.3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</row>
    <row r="32" spans="1:19" x14ac:dyDescent="0.3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</row>
    <row r="33" spans="1:19" x14ac:dyDescent="0.3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</row>
    <row r="34" spans="1:19" x14ac:dyDescent="0.3">
      <c r="A34" s="366"/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</row>
    <row r="35" spans="1:19" x14ac:dyDescent="0.3">
      <c r="A35" s="366"/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  <c r="P35" s="366"/>
      <c r="Q35" s="366"/>
      <c r="R35" s="366"/>
      <c r="S35" s="366"/>
    </row>
    <row r="36" spans="1:19" x14ac:dyDescent="0.3">
      <c r="A36" s="366"/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6"/>
      <c r="R36" s="366"/>
      <c r="S36" s="366"/>
    </row>
    <row r="37" spans="1:19" x14ac:dyDescent="0.3">
      <c r="A37" s="366"/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</row>
    <row r="38" spans="1:19" x14ac:dyDescent="0.3">
      <c r="A38" s="366"/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  <c r="N38" s="366"/>
      <c r="O38" s="366"/>
      <c r="P38" s="366"/>
      <c r="Q38" s="366"/>
      <c r="R38" s="366"/>
      <c r="S38" s="366"/>
    </row>
    <row r="39" spans="1:19" x14ac:dyDescent="0.3">
      <c r="A39" s="366"/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66"/>
      <c r="M39" s="366"/>
      <c r="N39" s="366"/>
      <c r="O39" s="366"/>
      <c r="P39" s="366"/>
      <c r="Q39" s="366"/>
      <c r="R39" s="366"/>
      <c r="S39" s="366"/>
    </row>
    <row r="40" spans="1:19" x14ac:dyDescent="0.3">
      <c r="A40" s="366"/>
      <c r="B40" s="366"/>
      <c r="C40" s="366"/>
      <c r="D40" s="366"/>
      <c r="E40" s="366"/>
      <c r="F40" s="366"/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</row>
    <row r="41" spans="1:19" x14ac:dyDescent="0.3">
      <c r="A41" s="366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</row>
    <row r="42" spans="1:19" x14ac:dyDescent="0.3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</row>
    <row r="43" spans="1:19" x14ac:dyDescent="0.3">
      <c r="A43" s="366"/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</row>
    <row r="44" spans="1:19" x14ac:dyDescent="0.3">
      <c r="A44" s="366"/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  <c r="N44" s="366"/>
      <c r="O44" s="366"/>
      <c r="P44" s="366"/>
      <c r="Q44" s="366"/>
      <c r="R44" s="366"/>
      <c r="S44" s="366"/>
    </row>
    <row r="45" spans="1:19" x14ac:dyDescent="0.3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  <c r="N45" s="366"/>
      <c r="O45" s="366"/>
      <c r="P45" s="366"/>
      <c r="Q45" s="366"/>
      <c r="R45" s="366"/>
      <c r="S45" s="366"/>
    </row>
    <row r="46" spans="1:19" x14ac:dyDescent="0.3">
      <c r="A46" s="366"/>
      <c r="B46" s="366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</row>
    <row r="47" spans="1:19" x14ac:dyDescent="0.3">
      <c r="A47" s="366"/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</row>
    <row r="48" spans="1:19" x14ac:dyDescent="0.3">
      <c r="A48" s="366"/>
      <c r="B48" s="366"/>
      <c r="C48" s="366"/>
      <c r="D48" s="366"/>
      <c r="E48" s="366"/>
      <c r="F48" s="366"/>
      <c r="G48" s="366"/>
      <c r="H48" s="366"/>
      <c r="I48" s="366"/>
      <c r="J48" s="366"/>
      <c r="K48" s="366"/>
      <c r="L48" s="366"/>
      <c r="M48" s="366"/>
      <c r="N48" s="366"/>
      <c r="O48" s="366"/>
      <c r="P48" s="366"/>
      <c r="Q48" s="366"/>
      <c r="R48" s="366"/>
      <c r="S48" s="366"/>
    </row>
    <row r="49" spans="1:19" x14ac:dyDescent="0.3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66"/>
      <c r="L49" s="366"/>
      <c r="M49" s="366"/>
      <c r="N49" s="366"/>
      <c r="O49" s="366"/>
      <c r="P49" s="366"/>
      <c r="Q49" s="366"/>
      <c r="R49" s="366"/>
      <c r="S49" s="366"/>
    </row>
    <row r="50" spans="1:19" x14ac:dyDescent="0.3">
      <c r="A50" s="366"/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6"/>
      <c r="R50" s="366"/>
      <c r="S50" s="366"/>
    </row>
    <row r="51" spans="1:19" x14ac:dyDescent="0.3">
      <c r="A51" s="366"/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</row>
    <row r="52" spans="1:19" x14ac:dyDescent="0.3">
      <c r="A52" s="366"/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</row>
    <row r="53" spans="1:19" x14ac:dyDescent="0.3">
      <c r="A53" s="366"/>
      <c r="B53" s="366"/>
      <c r="C53" s="366"/>
      <c r="D53" s="366"/>
      <c r="E53" s="366"/>
      <c r="F53" s="366"/>
      <c r="G53" s="366"/>
      <c r="H53" s="366"/>
      <c r="I53" s="366"/>
      <c r="J53" s="366"/>
      <c r="K53" s="366"/>
      <c r="L53" s="366"/>
      <c r="M53" s="366"/>
      <c r="N53" s="366"/>
      <c r="O53" s="366"/>
      <c r="P53" s="366"/>
      <c r="Q53" s="366"/>
      <c r="R53" s="366"/>
      <c r="S53" s="366"/>
    </row>
    <row r="54" spans="1:19" x14ac:dyDescent="0.3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</row>
    <row r="55" spans="1:19" x14ac:dyDescent="0.3">
      <c r="A55" s="366"/>
      <c r="B55" s="366"/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R55" s="366"/>
      <c r="S55" s="366"/>
    </row>
    <row r="56" spans="1:19" x14ac:dyDescent="0.3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</row>
    <row r="57" spans="1:19" x14ac:dyDescent="0.3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</row>
    <row r="58" spans="1:19" x14ac:dyDescent="0.3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</row>
    <row r="59" spans="1:19" x14ac:dyDescent="0.3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</row>
    <row r="60" spans="1:19" x14ac:dyDescent="0.3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</row>
    <row r="61" spans="1:19" x14ac:dyDescent="0.3">
      <c r="A61" s="366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</row>
    <row r="62" spans="1:19" x14ac:dyDescent="0.3">
      <c r="A62" s="366"/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</row>
    <row r="63" spans="1:19" x14ac:dyDescent="0.3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</row>
    <row r="64" spans="1:19" x14ac:dyDescent="0.3">
      <c r="A64" s="366"/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</row>
    <row r="65" spans="1:19" x14ac:dyDescent="0.3">
      <c r="A65" s="366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</row>
    <row r="66" spans="1:19" x14ac:dyDescent="0.3">
      <c r="A66" s="366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</row>
    <row r="67" spans="1:19" x14ac:dyDescent="0.3">
      <c r="A67" s="366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6"/>
    </row>
    <row r="68" spans="1:19" x14ac:dyDescent="0.3">
      <c r="A68" s="366"/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</row>
    <row r="69" spans="1:19" x14ac:dyDescent="0.3">
      <c r="A69" s="366"/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</row>
    <row r="70" spans="1:19" x14ac:dyDescent="0.3">
      <c r="A70" s="366"/>
      <c r="B70" s="366"/>
      <c r="C70" s="366"/>
      <c r="D70" s="366"/>
      <c r="E70" s="366"/>
      <c r="F70" s="366"/>
      <c r="G70" s="366"/>
      <c r="H70" s="366"/>
      <c r="I70" s="366"/>
      <c r="J70" s="366"/>
      <c r="K70" s="366"/>
      <c r="L70" s="366"/>
      <c r="M70" s="366"/>
      <c r="N70" s="366"/>
      <c r="O70" s="366"/>
      <c r="P70" s="366"/>
      <c r="Q70" s="366"/>
      <c r="R70" s="366"/>
      <c r="S70" s="366"/>
    </row>
    <row r="71" spans="1:19" x14ac:dyDescent="0.3">
      <c r="A71" s="366"/>
      <c r="B71" s="366"/>
      <c r="C71" s="366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366"/>
      <c r="Q71" s="366"/>
      <c r="R71" s="366"/>
      <c r="S71" s="366"/>
    </row>
    <row r="72" spans="1:19" x14ac:dyDescent="0.3">
      <c r="A72" s="366"/>
      <c r="B72" s="366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6"/>
      <c r="Q72" s="366"/>
      <c r="R72" s="366"/>
      <c r="S72" s="366"/>
    </row>
    <row r="73" spans="1:19" x14ac:dyDescent="0.3">
      <c r="A73" s="366"/>
      <c r="B73" s="366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6"/>
      <c r="Q73" s="366"/>
      <c r="R73" s="366"/>
      <c r="S73" s="366"/>
    </row>
    <row r="74" spans="1:19" x14ac:dyDescent="0.3">
      <c r="A74" s="366"/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</row>
    <row r="75" spans="1:19" x14ac:dyDescent="0.3">
      <c r="A75" s="366"/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</row>
    <row r="76" spans="1:19" x14ac:dyDescent="0.3">
      <c r="A76" s="366"/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</row>
    <row r="77" spans="1:19" x14ac:dyDescent="0.3">
      <c r="A77" s="366"/>
      <c r="B77" s="366"/>
      <c r="C77" s="366"/>
      <c r="D77" s="366"/>
      <c r="E77" s="366"/>
      <c r="F77" s="366"/>
      <c r="G77" s="366"/>
      <c r="H77" s="366"/>
      <c r="I77" s="366"/>
      <c r="J77" s="366"/>
      <c r="K77" s="366"/>
      <c r="L77" s="366"/>
      <c r="M77" s="366"/>
      <c r="N77" s="366"/>
      <c r="O77" s="366"/>
      <c r="P77" s="366"/>
      <c r="Q77" s="366"/>
      <c r="R77" s="366"/>
      <c r="S77" s="366"/>
    </row>
    <row r="78" spans="1:19" x14ac:dyDescent="0.3">
      <c r="A78" s="366"/>
      <c r="B78" s="366"/>
      <c r="C78" s="366"/>
      <c r="D78" s="366"/>
      <c r="E78" s="366"/>
      <c r="F78" s="366"/>
      <c r="G78" s="366"/>
      <c r="H78" s="366"/>
      <c r="I78" s="366"/>
      <c r="J78" s="366"/>
      <c r="K78" s="366"/>
      <c r="L78" s="366"/>
      <c r="M78" s="366"/>
      <c r="N78" s="366"/>
      <c r="O78" s="366"/>
      <c r="P78" s="366"/>
      <c r="Q78" s="366"/>
      <c r="R78" s="366"/>
      <c r="S78" s="366"/>
    </row>
    <row r="79" spans="1:19" x14ac:dyDescent="0.3">
      <c r="A79" s="366"/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</row>
    <row r="80" spans="1:19" x14ac:dyDescent="0.3">
      <c r="A80" s="366"/>
      <c r="B80" s="366"/>
      <c r="C80" s="366"/>
      <c r="D80" s="366"/>
      <c r="E80" s="366"/>
      <c r="F80" s="366"/>
      <c r="G80" s="366"/>
      <c r="H80" s="366"/>
      <c r="I80" s="366"/>
      <c r="J80" s="366"/>
      <c r="K80" s="366"/>
      <c r="L80" s="366"/>
      <c r="M80" s="366"/>
      <c r="N80" s="366"/>
      <c r="O80" s="366"/>
      <c r="P80" s="366"/>
      <c r="Q80" s="366"/>
      <c r="R80" s="366"/>
      <c r="S80" s="366"/>
    </row>
    <row r="81" spans="1:19" x14ac:dyDescent="0.3">
      <c r="A81" s="366"/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</row>
    <row r="82" spans="1:19" x14ac:dyDescent="0.3">
      <c r="A82" s="366"/>
      <c r="B82" s="366"/>
      <c r="C82" s="366"/>
      <c r="D82" s="366"/>
      <c r="E82" s="366"/>
      <c r="F82" s="366"/>
      <c r="G82" s="366"/>
      <c r="H82" s="366"/>
      <c r="I82" s="366"/>
      <c r="J82" s="366"/>
      <c r="K82" s="366"/>
      <c r="L82" s="366"/>
      <c r="M82" s="366"/>
      <c r="N82" s="366"/>
      <c r="O82" s="366"/>
      <c r="P82" s="366"/>
      <c r="Q82" s="366"/>
      <c r="R82" s="366"/>
      <c r="S82" s="366"/>
    </row>
    <row r="83" spans="1:19" x14ac:dyDescent="0.3">
      <c r="A83" s="366"/>
      <c r="B83" s="366"/>
      <c r="C83" s="366"/>
      <c r="D83" s="366"/>
      <c r="E83" s="366"/>
      <c r="F83" s="366"/>
      <c r="G83" s="366"/>
      <c r="H83" s="366"/>
      <c r="I83" s="366"/>
      <c r="J83" s="366"/>
      <c r="K83" s="366"/>
      <c r="L83" s="366"/>
      <c r="M83" s="366"/>
      <c r="N83" s="366"/>
      <c r="O83" s="366"/>
      <c r="P83" s="366"/>
      <c r="Q83" s="366"/>
      <c r="R83" s="366"/>
      <c r="S83" s="366"/>
    </row>
    <row r="84" spans="1:19" x14ac:dyDescent="0.3">
      <c r="A84" s="366"/>
      <c r="B84" s="366"/>
      <c r="C84" s="366"/>
      <c r="D84" s="366"/>
      <c r="E84" s="366"/>
      <c r="F84" s="366"/>
      <c r="G84" s="366"/>
      <c r="H84" s="366"/>
      <c r="I84" s="366"/>
      <c r="J84" s="366"/>
      <c r="K84" s="366"/>
      <c r="L84" s="366"/>
      <c r="M84" s="366"/>
      <c r="N84" s="366"/>
      <c r="O84" s="366"/>
      <c r="P84" s="366"/>
      <c r="Q84" s="366"/>
      <c r="R84" s="366"/>
      <c r="S84" s="366"/>
    </row>
    <row r="85" spans="1:19" x14ac:dyDescent="0.3">
      <c r="A85" s="366"/>
      <c r="B85" s="366"/>
      <c r="C85" s="366"/>
      <c r="D85" s="366"/>
      <c r="E85" s="366"/>
      <c r="F85" s="366"/>
      <c r="G85" s="366"/>
      <c r="H85" s="366"/>
      <c r="I85" s="366"/>
      <c r="J85" s="366"/>
      <c r="K85" s="366"/>
      <c r="L85" s="366"/>
      <c r="M85" s="366"/>
      <c r="N85" s="366"/>
      <c r="O85" s="366"/>
      <c r="P85" s="366"/>
      <c r="Q85" s="366"/>
      <c r="R85" s="366"/>
      <c r="S85" s="366"/>
    </row>
    <row r="86" spans="1:19" x14ac:dyDescent="0.3">
      <c r="A86" s="366"/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</row>
    <row r="87" spans="1:19" x14ac:dyDescent="0.3">
      <c r="A87" s="366"/>
      <c r="B87" s="366"/>
      <c r="C87" s="366"/>
      <c r="D87" s="366"/>
      <c r="E87" s="366"/>
      <c r="F87" s="366"/>
      <c r="G87" s="366"/>
      <c r="H87" s="366"/>
      <c r="I87" s="366"/>
      <c r="J87" s="366"/>
      <c r="K87" s="366"/>
      <c r="L87" s="366"/>
      <c r="M87" s="366"/>
      <c r="N87" s="366"/>
      <c r="O87" s="366"/>
      <c r="P87" s="366"/>
      <c r="Q87" s="366"/>
      <c r="R87" s="366"/>
      <c r="S87" s="366"/>
    </row>
    <row r="88" spans="1:19" x14ac:dyDescent="0.3">
      <c r="A88" s="366"/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</row>
    <row r="89" spans="1:19" x14ac:dyDescent="0.3">
      <c r="A89" s="366"/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</row>
    <row r="90" spans="1:19" x14ac:dyDescent="0.3">
      <c r="A90" s="366"/>
      <c r="B90" s="366"/>
      <c r="C90" s="366"/>
      <c r="D90" s="366"/>
      <c r="E90" s="366"/>
      <c r="F90" s="366"/>
      <c r="G90" s="366"/>
      <c r="H90" s="366"/>
      <c r="I90" s="366"/>
      <c r="J90" s="366"/>
      <c r="K90" s="366"/>
      <c r="L90" s="366"/>
      <c r="M90" s="366"/>
      <c r="N90" s="366"/>
      <c r="O90" s="366"/>
      <c r="P90" s="366"/>
      <c r="Q90" s="366"/>
      <c r="R90" s="366"/>
      <c r="S90" s="366"/>
    </row>
    <row r="91" spans="1:19" x14ac:dyDescent="0.3">
      <c r="A91" s="366"/>
      <c r="B91" s="366"/>
      <c r="C91" s="366"/>
      <c r="D91" s="366"/>
      <c r="E91" s="366"/>
      <c r="F91" s="366"/>
      <c r="G91" s="366"/>
      <c r="H91" s="366"/>
      <c r="I91" s="366"/>
      <c r="J91" s="366"/>
      <c r="K91" s="366"/>
      <c r="L91" s="366"/>
      <c r="M91" s="366"/>
      <c r="N91" s="366"/>
      <c r="O91" s="366"/>
      <c r="P91" s="366"/>
      <c r="Q91" s="366"/>
      <c r="R91" s="366"/>
      <c r="S91" s="366"/>
    </row>
    <row r="92" spans="1:19" x14ac:dyDescent="0.3">
      <c r="A92" s="366"/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</row>
    <row r="93" spans="1:19" x14ac:dyDescent="0.3">
      <c r="A93" s="366"/>
      <c r="B93" s="366"/>
      <c r="C93" s="366"/>
      <c r="D93" s="366"/>
      <c r="E93" s="366"/>
      <c r="F93" s="366"/>
      <c r="G93" s="366"/>
      <c r="H93" s="366"/>
      <c r="I93" s="366"/>
      <c r="J93" s="366"/>
      <c r="K93" s="366"/>
      <c r="L93" s="366"/>
      <c r="M93" s="366"/>
      <c r="N93" s="366"/>
      <c r="O93" s="366"/>
      <c r="P93" s="366"/>
      <c r="Q93" s="366"/>
      <c r="R93" s="366"/>
      <c r="S93" s="366"/>
    </row>
    <row r="94" spans="1:19" x14ac:dyDescent="0.3">
      <c r="A94" s="366"/>
      <c r="B94" s="366"/>
      <c r="C94" s="366"/>
      <c r="D94" s="366"/>
      <c r="E94" s="366"/>
      <c r="F94" s="366"/>
      <c r="G94" s="366"/>
      <c r="H94" s="366"/>
      <c r="I94" s="366"/>
      <c r="J94" s="366"/>
      <c r="K94" s="366"/>
      <c r="L94" s="366"/>
      <c r="M94" s="366"/>
      <c r="N94" s="366"/>
      <c r="O94" s="366"/>
      <c r="P94" s="366"/>
      <c r="Q94" s="366"/>
      <c r="R94" s="366"/>
      <c r="S94" s="366"/>
    </row>
    <row r="95" spans="1:19" x14ac:dyDescent="0.3">
      <c r="A95" s="366"/>
      <c r="B95" s="366"/>
      <c r="C95" s="366"/>
      <c r="D95" s="366"/>
      <c r="E95" s="366"/>
      <c r="F95" s="366"/>
      <c r="G95" s="366"/>
      <c r="H95" s="366"/>
      <c r="I95" s="366"/>
      <c r="J95" s="366"/>
      <c r="K95" s="366"/>
      <c r="L95" s="366"/>
      <c r="M95" s="366"/>
      <c r="N95" s="366"/>
      <c r="O95" s="366"/>
      <c r="P95" s="366"/>
      <c r="Q95" s="366"/>
      <c r="R95" s="366"/>
      <c r="S95" s="366"/>
    </row>
    <row r="96" spans="1:19" x14ac:dyDescent="0.3">
      <c r="A96" s="366"/>
      <c r="B96" s="366"/>
      <c r="C96" s="366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</row>
    <row r="97" spans="1:19" x14ac:dyDescent="0.3">
      <c r="A97" s="366"/>
      <c r="B97" s="366"/>
      <c r="C97" s="366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</row>
    <row r="98" spans="1:19" x14ac:dyDescent="0.3">
      <c r="A98" s="366"/>
      <c r="B98" s="366"/>
      <c r="C98" s="366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</row>
    <row r="99" spans="1:19" x14ac:dyDescent="0.3">
      <c r="A99" s="366"/>
      <c r="B99" s="366"/>
      <c r="C99" s="366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</row>
    <row r="100" spans="1:19" x14ac:dyDescent="0.3">
      <c r="A100" s="366"/>
      <c r="B100" s="366"/>
      <c r="C100" s="366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</row>
    <row r="101" spans="1:19" x14ac:dyDescent="0.3">
      <c r="A101" s="366"/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</row>
    <row r="102" spans="1:19" x14ac:dyDescent="0.3">
      <c r="A102" s="366"/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</row>
    <row r="103" spans="1:19" x14ac:dyDescent="0.3">
      <c r="A103" s="366"/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</row>
    <row r="104" spans="1:19" x14ac:dyDescent="0.3">
      <c r="A104" s="366"/>
      <c r="B104" s="366"/>
      <c r="C104" s="366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</row>
    <row r="105" spans="1:19" x14ac:dyDescent="0.3">
      <c r="A105" s="366"/>
      <c r="B105" s="366"/>
      <c r="C105" s="366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</row>
    <row r="106" spans="1:19" x14ac:dyDescent="0.3">
      <c r="A106" s="366"/>
      <c r="B106" s="366"/>
      <c r="C106" s="366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</row>
    <row r="107" spans="1:19" x14ac:dyDescent="0.3">
      <c r="A107" s="366"/>
      <c r="B107" s="366"/>
      <c r="C107" s="366"/>
      <c r="D107" s="366"/>
      <c r="E107" s="366"/>
      <c r="F107" s="366"/>
      <c r="G107" s="366"/>
      <c r="H107" s="366"/>
      <c r="I107" s="366"/>
      <c r="J107" s="366"/>
      <c r="K107" s="366"/>
      <c r="L107" s="366"/>
      <c r="M107" s="366"/>
      <c r="N107" s="366"/>
      <c r="O107" s="366"/>
      <c r="P107" s="366"/>
      <c r="Q107" s="366"/>
      <c r="R107" s="366"/>
      <c r="S107" s="366"/>
    </row>
    <row r="108" spans="1:19" x14ac:dyDescent="0.3">
      <c r="A108" s="366"/>
      <c r="B108" s="366"/>
      <c r="C108" s="366"/>
      <c r="D108" s="366"/>
      <c r="E108" s="366"/>
      <c r="F108" s="366"/>
      <c r="G108" s="366"/>
      <c r="H108" s="366"/>
      <c r="I108" s="366"/>
      <c r="J108" s="366"/>
      <c r="K108" s="366"/>
      <c r="L108" s="366"/>
      <c r="M108" s="366"/>
      <c r="N108" s="366"/>
      <c r="O108" s="366"/>
      <c r="P108" s="366"/>
      <c r="Q108" s="366"/>
      <c r="R108" s="366"/>
      <c r="S108" s="366"/>
    </row>
    <row r="109" spans="1:19" x14ac:dyDescent="0.3">
      <c r="A109" s="366"/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</row>
    <row r="110" spans="1:19" x14ac:dyDescent="0.3">
      <c r="A110" s="366"/>
      <c r="B110" s="366"/>
      <c r="C110" s="366"/>
      <c r="D110" s="366"/>
      <c r="E110" s="366"/>
      <c r="F110" s="366"/>
      <c r="G110" s="366"/>
      <c r="H110" s="366"/>
      <c r="I110" s="366"/>
      <c r="J110" s="366"/>
      <c r="K110" s="366"/>
      <c r="L110" s="366"/>
      <c r="M110" s="366"/>
      <c r="N110" s="366"/>
      <c r="O110" s="366"/>
      <c r="P110" s="366"/>
      <c r="Q110" s="366"/>
      <c r="R110" s="366"/>
      <c r="S110" s="366"/>
    </row>
    <row r="111" spans="1:19" x14ac:dyDescent="0.3">
      <c r="A111" s="366"/>
      <c r="B111" s="366"/>
      <c r="C111" s="366"/>
      <c r="D111" s="366"/>
      <c r="E111" s="366"/>
      <c r="F111" s="366"/>
      <c r="G111" s="366"/>
      <c r="H111" s="366"/>
      <c r="I111" s="366"/>
      <c r="J111" s="366"/>
      <c r="K111" s="366"/>
      <c r="L111" s="366"/>
      <c r="M111" s="366"/>
      <c r="N111" s="366"/>
      <c r="O111" s="366"/>
      <c r="P111" s="366"/>
      <c r="Q111" s="366"/>
      <c r="R111" s="366"/>
      <c r="S111" s="366"/>
    </row>
    <row r="112" spans="1:19" x14ac:dyDescent="0.3">
      <c r="A112" s="366"/>
      <c r="B112" s="366"/>
      <c r="C112" s="366"/>
      <c r="D112" s="366"/>
      <c r="E112" s="366"/>
      <c r="F112" s="366"/>
      <c r="G112" s="366"/>
      <c r="H112" s="366"/>
      <c r="I112" s="366"/>
      <c r="J112" s="366"/>
      <c r="K112" s="366"/>
      <c r="L112" s="366"/>
      <c r="M112" s="366"/>
      <c r="N112" s="366"/>
      <c r="O112" s="366"/>
      <c r="P112" s="366"/>
      <c r="Q112" s="366"/>
      <c r="R112" s="366"/>
      <c r="S112" s="366"/>
    </row>
    <row r="113" spans="1:19" x14ac:dyDescent="0.3">
      <c r="A113" s="366"/>
      <c r="B113" s="366"/>
      <c r="C113" s="366"/>
      <c r="D113" s="366"/>
      <c r="E113" s="366"/>
      <c r="F113" s="366"/>
      <c r="G113" s="366"/>
      <c r="H113" s="366"/>
      <c r="I113" s="366"/>
      <c r="J113" s="366"/>
      <c r="K113" s="366"/>
      <c r="L113" s="366"/>
      <c r="M113" s="366"/>
      <c r="N113" s="366"/>
      <c r="O113" s="366"/>
      <c r="P113" s="366"/>
      <c r="Q113" s="366"/>
      <c r="R113" s="366"/>
      <c r="S113" s="366"/>
    </row>
    <row r="114" spans="1:19" x14ac:dyDescent="0.3">
      <c r="A114" s="366"/>
      <c r="B114" s="366"/>
      <c r="C114" s="366"/>
      <c r="D114" s="366"/>
      <c r="E114" s="366"/>
      <c r="F114" s="366"/>
      <c r="G114" s="366"/>
      <c r="H114" s="366"/>
      <c r="I114" s="366"/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</row>
    <row r="115" spans="1:19" x14ac:dyDescent="0.3">
      <c r="A115" s="366"/>
      <c r="B115" s="366"/>
      <c r="C115" s="366"/>
      <c r="D115" s="366"/>
      <c r="E115" s="366"/>
      <c r="F115" s="366"/>
      <c r="G115" s="366"/>
      <c r="H115" s="366"/>
      <c r="I115" s="366"/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</row>
    <row r="116" spans="1:19" x14ac:dyDescent="0.3">
      <c r="A116" s="366"/>
      <c r="B116" s="366"/>
      <c r="C116" s="366"/>
      <c r="D116" s="366"/>
      <c r="E116" s="366"/>
      <c r="F116" s="366"/>
      <c r="G116" s="366"/>
      <c r="H116" s="366"/>
      <c r="I116" s="366"/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</row>
    <row r="117" spans="1:19" x14ac:dyDescent="0.3">
      <c r="A117" s="366"/>
      <c r="B117" s="366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</row>
    <row r="118" spans="1:19" x14ac:dyDescent="0.3">
      <c r="A118" s="366"/>
      <c r="B118" s="366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</row>
    <row r="119" spans="1:19" x14ac:dyDescent="0.3">
      <c r="A119" s="366"/>
      <c r="B119" s="366"/>
      <c r="C119" s="366"/>
      <c r="D119" s="366"/>
      <c r="E119" s="366"/>
      <c r="F119" s="366"/>
      <c r="G119" s="366"/>
      <c r="H119" s="366"/>
      <c r="I119" s="366"/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</row>
    <row r="120" spans="1:19" x14ac:dyDescent="0.3">
      <c r="A120" s="366"/>
      <c r="B120" s="366"/>
      <c r="C120" s="366"/>
      <c r="D120" s="366"/>
      <c r="E120" s="366"/>
      <c r="F120" s="366"/>
      <c r="G120" s="366"/>
      <c r="H120" s="366"/>
      <c r="I120" s="366"/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</row>
    <row r="121" spans="1:19" x14ac:dyDescent="0.3">
      <c r="A121" s="366"/>
      <c r="B121" s="366"/>
      <c r="C121" s="366"/>
      <c r="D121" s="366"/>
      <c r="E121" s="366"/>
      <c r="F121" s="366"/>
      <c r="G121" s="366"/>
      <c r="H121" s="366"/>
      <c r="I121" s="366"/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</row>
    <row r="122" spans="1:19" x14ac:dyDescent="0.3">
      <c r="A122" s="366"/>
      <c r="B122" s="366"/>
      <c r="C122" s="366"/>
      <c r="D122" s="366"/>
      <c r="E122" s="366"/>
      <c r="F122" s="366"/>
      <c r="G122" s="366"/>
      <c r="H122" s="366"/>
      <c r="I122" s="366"/>
      <c r="J122" s="366"/>
      <c r="K122" s="366"/>
      <c r="L122" s="366"/>
      <c r="M122" s="366"/>
      <c r="N122" s="366"/>
      <c r="O122" s="366"/>
      <c r="P122" s="366"/>
      <c r="Q122" s="366"/>
      <c r="R122" s="366"/>
      <c r="S122" s="366"/>
    </row>
    <row r="123" spans="1:19" x14ac:dyDescent="0.3">
      <c r="A123" s="366"/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</row>
    <row r="124" spans="1:19" x14ac:dyDescent="0.3">
      <c r="A124" s="366"/>
      <c r="B124" s="366"/>
      <c r="C124" s="366"/>
      <c r="D124" s="366"/>
      <c r="E124" s="366"/>
      <c r="F124" s="366"/>
      <c r="G124" s="366"/>
      <c r="H124" s="366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</row>
    <row r="125" spans="1:19" x14ac:dyDescent="0.3">
      <c r="A125" s="366"/>
      <c r="B125" s="366"/>
      <c r="C125" s="366"/>
      <c r="D125" s="366"/>
      <c r="E125" s="366"/>
      <c r="F125" s="366"/>
      <c r="G125" s="366"/>
      <c r="H125" s="366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</row>
    <row r="126" spans="1:19" x14ac:dyDescent="0.3">
      <c r="A126" s="366"/>
      <c r="B126" s="366"/>
      <c r="C126" s="366"/>
      <c r="D126" s="366"/>
      <c r="E126" s="366"/>
      <c r="F126" s="366"/>
      <c r="G126" s="366"/>
      <c r="H126" s="366"/>
      <c r="I126" s="366"/>
      <c r="J126" s="366"/>
      <c r="K126" s="366"/>
      <c r="L126" s="366"/>
      <c r="M126" s="366"/>
      <c r="N126" s="366"/>
      <c r="O126" s="366"/>
      <c r="P126" s="366"/>
      <c r="Q126" s="366"/>
      <c r="R126" s="366"/>
      <c r="S126" s="366"/>
    </row>
    <row r="127" spans="1:19" x14ac:dyDescent="0.3">
      <c r="A127" s="366"/>
      <c r="B127" s="366"/>
      <c r="C127" s="366"/>
      <c r="D127" s="366"/>
      <c r="E127" s="366"/>
      <c r="F127" s="366"/>
      <c r="G127" s="366"/>
      <c r="H127" s="366"/>
      <c r="I127" s="366"/>
      <c r="J127" s="366"/>
      <c r="K127" s="366"/>
      <c r="L127" s="366"/>
      <c r="M127" s="366"/>
      <c r="N127" s="366"/>
      <c r="O127" s="366"/>
      <c r="P127" s="366"/>
      <c r="Q127" s="366"/>
      <c r="R127" s="366"/>
      <c r="S127" s="366"/>
    </row>
    <row r="128" spans="1:19" x14ac:dyDescent="0.3">
      <c r="A128" s="366"/>
      <c r="B128" s="366"/>
      <c r="C128" s="366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</row>
    <row r="129" spans="1:19" x14ac:dyDescent="0.3">
      <c r="A129" s="366"/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</row>
    <row r="130" spans="1:19" x14ac:dyDescent="0.3">
      <c r="A130" s="366"/>
      <c r="B130" s="366"/>
      <c r="C130" s="366"/>
      <c r="D130" s="366"/>
      <c r="E130" s="366"/>
      <c r="F130" s="366"/>
      <c r="G130" s="366"/>
      <c r="H130" s="366"/>
      <c r="I130" s="366"/>
      <c r="J130" s="366"/>
      <c r="K130" s="366"/>
      <c r="L130" s="366"/>
      <c r="M130" s="366"/>
      <c r="N130" s="366"/>
      <c r="O130" s="366"/>
      <c r="P130" s="366"/>
      <c r="Q130" s="366"/>
      <c r="R130" s="366"/>
      <c r="S130" s="366"/>
    </row>
    <row r="131" spans="1:19" x14ac:dyDescent="0.3">
      <c r="A131" s="366"/>
      <c r="B131" s="366"/>
      <c r="C131" s="366"/>
      <c r="D131" s="366"/>
      <c r="E131" s="366"/>
      <c r="F131" s="366"/>
      <c r="G131" s="366"/>
      <c r="H131" s="366"/>
      <c r="I131" s="366"/>
      <c r="J131" s="366"/>
      <c r="K131" s="366"/>
      <c r="L131" s="366"/>
      <c r="M131" s="366"/>
      <c r="N131" s="366"/>
      <c r="O131" s="366"/>
      <c r="P131" s="366"/>
      <c r="Q131" s="366"/>
      <c r="R131" s="366"/>
      <c r="S131" s="366"/>
    </row>
    <row r="132" spans="1:19" x14ac:dyDescent="0.3">
      <c r="A132" s="366"/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</row>
    <row r="133" spans="1:19" x14ac:dyDescent="0.3">
      <c r="A133" s="366"/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</row>
    <row r="134" spans="1:19" x14ac:dyDescent="0.3">
      <c r="A134" s="366"/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</row>
    <row r="135" spans="1:19" x14ac:dyDescent="0.3">
      <c r="A135" s="366"/>
      <c r="B135" s="366"/>
      <c r="C135" s="366"/>
      <c r="D135" s="366"/>
      <c r="E135" s="366"/>
      <c r="F135" s="366"/>
      <c r="G135" s="366"/>
      <c r="H135" s="366"/>
      <c r="I135" s="366"/>
      <c r="J135" s="366"/>
      <c r="K135" s="366"/>
      <c r="L135" s="366"/>
      <c r="M135" s="366"/>
      <c r="N135" s="366"/>
      <c r="O135" s="366"/>
      <c r="P135" s="366"/>
      <c r="Q135" s="366"/>
      <c r="R135" s="366"/>
      <c r="S135" s="366"/>
    </row>
    <row r="136" spans="1:19" x14ac:dyDescent="0.3">
      <c r="A136" s="366"/>
      <c r="B136" s="366"/>
      <c r="C136" s="366"/>
      <c r="D136" s="366"/>
      <c r="E136" s="366"/>
      <c r="F136" s="366"/>
      <c r="G136" s="366"/>
      <c r="H136" s="366"/>
      <c r="I136" s="366"/>
      <c r="J136" s="366"/>
      <c r="K136" s="366"/>
      <c r="L136" s="366"/>
      <c r="M136" s="366"/>
      <c r="N136" s="366"/>
      <c r="O136" s="366"/>
      <c r="P136" s="366"/>
      <c r="Q136" s="366"/>
      <c r="R136" s="366"/>
      <c r="S136" s="366"/>
    </row>
    <row r="137" spans="1:19" x14ac:dyDescent="0.3">
      <c r="A137" s="366"/>
      <c r="B137" s="366"/>
      <c r="C137" s="366"/>
      <c r="D137" s="366"/>
      <c r="E137" s="366"/>
      <c r="F137" s="366"/>
      <c r="G137" s="366"/>
      <c r="H137" s="366"/>
      <c r="I137" s="366"/>
      <c r="J137" s="366"/>
      <c r="K137" s="366"/>
      <c r="L137" s="366"/>
      <c r="M137" s="366"/>
      <c r="N137" s="366"/>
      <c r="O137" s="366"/>
      <c r="P137" s="366"/>
      <c r="Q137" s="366"/>
      <c r="R137" s="366"/>
      <c r="S137" s="366"/>
    </row>
    <row r="138" spans="1:19" x14ac:dyDescent="0.3">
      <c r="A138" s="366"/>
      <c r="B138" s="366"/>
      <c r="C138" s="366"/>
      <c r="D138" s="366"/>
      <c r="E138" s="366"/>
      <c r="F138" s="366"/>
      <c r="G138" s="366"/>
      <c r="H138" s="366"/>
      <c r="I138" s="366"/>
      <c r="J138" s="366"/>
      <c r="K138" s="366"/>
      <c r="L138" s="366"/>
      <c r="M138" s="366"/>
      <c r="N138" s="366"/>
      <c r="O138" s="366"/>
      <c r="P138" s="366"/>
      <c r="Q138" s="366"/>
      <c r="R138" s="366"/>
      <c r="S138" s="366"/>
    </row>
    <row r="139" spans="1:19" x14ac:dyDescent="0.3">
      <c r="A139" s="366"/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366"/>
      <c r="O139" s="366"/>
      <c r="P139" s="366"/>
      <c r="Q139" s="366"/>
      <c r="R139" s="366"/>
      <c r="S139" s="366"/>
    </row>
    <row r="140" spans="1:19" x14ac:dyDescent="0.3">
      <c r="A140" s="366"/>
      <c r="B140" s="366"/>
      <c r="C140" s="366"/>
      <c r="D140" s="366"/>
      <c r="E140" s="366"/>
      <c r="F140" s="366"/>
      <c r="G140" s="366"/>
      <c r="H140" s="366"/>
      <c r="I140" s="366"/>
      <c r="J140" s="366"/>
      <c r="K140" s="366"/>
      <c r="L140" s="366"/>
      <c r="M140" s="366"/>
      <c r="N140" s="366"/>
      <c r="O140" s="366"/>
      <c r="P140" s="366"/>
      <c r="Q140" s="366"/>
      <c r="R140" s="366"/>
      <c r="S140" s="366"/>
    </row>
    <row r="141" spans="1:19" x14ac:dyDescent="0.3">
      <c r="A141" s="366"/>
      <c r="B141" s="366"/>
      <c r="C141" s="366"/>
      <c r="D141" s="366"/>
      <c r="E141" s="366"/>
      <c r="F141" s="366"/>
      <c r="G141" s="366"/>
      <c r="H141" s="366"/>
      <c r="I141" s="366"/>
      <c r="J141" s="366"/>
      <c r="K141" s="366"/>
      <c r="L141" s="366"/>
      <c r="M141" s="366"/>
      <c r="N141" s="366"/>
      <c r="O141" s="366"/>
      <c r="P141" s="366"/>
      <c r="Q141" s="366"/>
      <c r="R141" s="366"/>
      <c r="S141" s="366"/>
    </row>
    <row r="142" spans="1:19" x14ac:dyDescent="0.3">
      <c r="A142" s="366"/>
      <c r="B142" s="366"/>
      <c r="C142" s="366"/>
      <c r="D142" s="366"/>
      <c r="E142" s="366"/>
      <c r="F142" s="366"/>
      <c r="G142" s="366"/>
      <c r="H142" s="366"/>
      <c r="I142" s="366"/>
      <c r="J142" s="366"/>
      <c r="K142" s="366"/>
      <c r="L142" s="366"/>
      <c r="M142" s="366"/>
      <c r="N142" s="366"/>
      <c r="O142" s="366"/>
      <c r="P142" s="366"/>
      <c r="Q142" s="366"/>
      <c r="R142" s="366"/>
      <c r="S142" s="366"/>
    </row>
    <row r="143" spans="1:19" x14ac:dyDescent="0.3">
      <c r="A143" s="366"/>
      <c r="B143" s="366"/>
      <c r="C143" s="366"/>
      <c r="D143" s="366"/>
      <c r="E143" s="366"/>
      <c r="F143" s="366"/>
      <c r="G143" s="366"/>
      <c r="H143" s="366"/>
      <c r="I143" s="366"/>
      <c r="J143" s="366"/>
      <c r="K143" s="366"/>
      <c r="L143" s="366"/>
      <c r="M143" s="366"/>
      <c r="N143" s="366"/>
      <c r="O143" s="366"/>
      <c r="P143" s="366"/>
      <c r="Q143" s="366"/>
      <c r="R143" s="366"/>
      <c r="S143" s="366"/>
    </row>
    <row r="144" spans="1:19" x14ac:dyDescent="0.3">
      <c r="A144" s="366"/>
      <c r="B144" s="366"/>
      <c r="C144" s="366"/>
      <c r="D144" s="366"/>
      <c r="E144" s="366"/>
      <c r="F144" s="366"/>
      <c r="G144" s="366"/>
      <c r="H144" s="366"/>
      <c r="I144" s="366"/>
      <c r="J144" s="366"/>
      <c r="K144" s="366"/>
      <c r="L144" s="366"/>
      <c r="M144" s="366"/>
      <c r="N144" s="366"/>
      <c r="O144" s="366"/>
      <c r="P144" s="366"/>
      <c r="Q144" s="366"/>
      <c r="R144" s="366"/>
      <c r="S144" s="366"/>
    </row>
    <row r="145" spans="1:19" x14ac:dyDescent="0.3">
      <c r="A145" s="366"/>
      <c r="B145" s="366"/>
      <c r="C145" s="366"/>
      <c r="D145" s="366"/>
      <c r="E145" s="366"/>
      <c r="F145" s="366"/>
      <c r="G145" s="366"/>
      <c r="H145" s="366"/>
      <c r="I145" s="366"/>
      <c r="J145" s="366"/>
      <c r="K145" s="366"/>
      <c r="L145" s="366"/>
      <c r="M145" s="366"/>
      <c r="N145" s="366"/>
      <c r="O145" s="366"/>
      <c r="P145" s="366"/>
      <c r="Q145" s="366"/>
      <c r="R145" s="366"/>
      <c r="S145" s="366"/>
    </row>
    <row r="146" spans="1:19" x14ac:dyDescent="0.3">
      <c r="A146" s="366"/>
      <c r="B146" s="366"/>
      <c r="C146" s="366"/>
      <c r="D146" s="366"/>
      <c r="E146" s="366"/>
      <c r="F146" s="366"/>
      <c r="G146" s="366"/>
      <c r="H146" s="366"/>
      <c r="I146" s="366"/>
      <c r="J146" s="366"/>
      <c r="K146" s="366"/>
      <c r="L146" s="366"/>
      <c r="M146" s="366"/>
      <c r="N146" s="366"/>
      <c r="O146" s="366"/>
      <c r="P146" s="366"/>
      <c r="Q146" s="366"/>
      <c r="R146" s="366"/>
      <c r="S146" s="366"/>
    </row>
    <row r="147" spans="1:19" x14ac:dyDescent="0.3">
      <c r="A147" s="366"/>
      <c r="B147" s="366"/>
      <c r="C147" s="366"/>
      <c r="D147" s="366"/>
      <c r="E147" s="366"/>
      <c r="F147" s="366"/>
      <c r="G147" s="366"/>
      <c r="H147" s="366"/>
      <c r="I147" s="366"/>
      <c r="J147" s="366"/>
      <c r="K147" s="366"/>
      <c r="L147" s="366"/>
      <c r="M147" s="366"/>
      <c r="N147" s="366"/>
      <c r="O147" s="366"/>
      <c r="P147" s="366"/>
      <c r="Q147" s="366"/>
      <c r="R147" s="366"/>
      <c r="S147" s="366"/>
    </row>
    <row r="148" spans="1:19" x14ac:dyDescent="0.3">
      <c r="A148" s="366"/>
      <c r="B148" s="366"/>
      <c r="C148" s="366"/>
      <c r="D148" s="366"/>
      <c r="E148" s="366"/>
      <c r="F148" s="366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6"/>
      <c r="R148" s="366"/>
      <c r="S148" s="366"/>
    </row>
    <row r="149" spans="1:19" x14ac:dyDescent="0.3">
      <c r="A149" s="366"/>
      <c r="B149" s="366"/>
      <c r="C149" s="366"/>
      <c r="D149" s="366"/>
      <c r="E149" s="366"/>
      <c r="F149" s="366"/>
      <c r="G149" s="366"/>
      <c r="H149" s="366"/>
      <c r="I149" s="366"/>
      <c r="J149" s="366"/>
      <c r="K149" s="366"/>
      <c r="L149" s="366"/>
      <c r="M149" s="366"/>
      <c r="N149" s="366"/>
      <c r="O149" s="366"/>
      <c r="P149" s="366"/>
      <c r="Q149" s="366"/>
      <c r="R149" s="366"/>
      <c r="S149" s="366"/>
    </row>
    <row r="150" spans="1:19" x14ac:dyDescent="0.3">
      <c r="A150" s="366"/>
      <c r="B150" s="366"/>
      <c r="C150" s="366"/>
      <c r="D150" s="366"/>
      <c r="E150" s="366"/>
      <c r="F150" s="366"/>
      <c r="G150" s="366"/>
      <c r="H150" s="366"/>
      <c r="I150" s="366"/>
      <c r="J150" s="366"/>
      <c r="K150" s="366"/>
      <c r="L150" s="366"/>
      <c r="M150" s="366"/>
      <c r="N150" s="366"/>
      <c r="O150" s="366"/>
      <c r="P150" s="366"/>
      <c r="Q150" s="366"/>
      <c r="R150" s="366"/>
      <c r="S150" s="366"/>
    </row>
    <row r="151" spans="1:19" x14ac:dyDescent="0.3">
      <c r="A151" s="366"/>
      <c r="B151" s="366"/>
      <c r="C151" s="366"/>
      <c r="D151" s="366"/>
      <c r="E151" s="366"/>
      <c r="F151" s="366"/>
      <c r="G151" s="366"/>
      <c r="H151" s="366"/>
      <c r="I151" s="366"/>
      <c r="J151" s="366"/>
      <c r="K151" s="366"/>
      <c r="L151" s="366"/>
      <c r="M151" s="366"/>
      <c r="N151" s="366"/>
      <c r="O151" s="366"/>
      <c r="P151" s="366"/>
      <c r="Q151" s="366"/>
      <c r="R151" s="366"/>
      <c r="S151" s="366"/>
    </row>
    <row r="152" spans="1:19" x14ac:dyDescent="0.3">
      <c r="A152" s="366"/>
      <c r="B152" s="366"/>
      <c r="C152" s="366"/>
      <c r="D152" s="366"/>
      <c r="E152" s="366"/>
      <c r="F152" s="366"/>
      <c r="G152" s="366"/>
      <c r="H152" s="366"/>
      <c r="I152" s="366"/>
      <c r="J152" s="366"/>
      <c r="K152" s="366"/>
      <c r="L152" s="366"/>
      <c r="M152" s="366"/>
      <c r="N152" s="366"/>
      <c r="O152" s="366"/>
      <c r="P152" s="366"/>
      <c r="Q152" s="366"/>
      <c r="R152" s="366"/>
      <c r="S152" s="366"/>
    </row>
    <row r="153" spans="1:19" x14ac:dyDescent="0.3">
      <c r="A153" s="366"/>
      <c r="B153" s="366"/>
      <c r="C153" s="366"/>
      <c r="D153" s="366"/>
      <c r="E153" s="366"/>
      <c r="F153" s="366"/>
      <c r="G153" s="366"/>
      <c r="H153" s="366"/>
      <c r="I153" s="366"/>
      <c r="J153" s="366"/>
      <c r="K153" s="366"/>
      <c r="L153" s="366"/>
      <c r="M153" s="366"/>
      <c r="N153" s="366"/>
      <c r="O153" s="366"/>
      <c r="P153" s="366"/>
      <c r="Q153" s="366"/>
      <c r="R153" s="366"/>
      <c r="S153" s="366"/>
    </row>
    <row r="154" spans="1:19" x14ac:dyDescent="0.3">
      <c r="A154" s="366"/>
      <c r="B154" s="366"/>
      <c r="C154" s="366"/>
      <c r="D154" s="366"/>
      <c r="E154" s="366"/>
      <c r="F154" s="366"/>
      <c r="G154" s="366"/>
      <c r="H154" s="366"/>
      <c r="I154" s="366"/>
      <c r="J154" s="366"/>
      <c r="K154" s="366"/>
      <c r="L154" s="366"/>
      <c r="M154" s="366"/>
      <c r="N154" s="366"/>
      <c r="O154" s="366"/>
      <c r="P154" s="366"/>
      <c r="Q154" s="366"/>
      <c r="R154" s="366"/>
      <c r="S154" s="366"/>
    </row>
    <row r="155" spans="1:19" x14ac:dyDescent="0.3">
      <c r="A155" s="366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366"/>
      <c r="R155" s="366"/>
      <c r="S155" s="366"/>
    </row>
    <row r="156" spans="1:19" x14ac:dyDescent="0.3">
      <c r="A156" s="366"/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</row>
    <row r="157" spans="1:19" x14ac:dyDescent="0.3">
      <c r="A157" s="366"/>
      <c r="B157" s="366"/>
      <c r="C157" s="366"/>
      <c r="D157" s="366"/>
      <c r="E157" s="366"/>
      <c r="F157" s="366"/>
      <c r="G157" s="366"/>
      <c r="H157" s="366"/>
      <c r="I157" s="366"/>
      <c r="J157" s="366"/>
      <c r="K157" s="366"/>
      <c r="L157" s="366"/>
      <c r="M157" s="366"/>
      <c r="N157" s="366"/>
      <c r="O157" s="366"/>
      <c r="P157" s="366"/>
      <c r="Q157" s="366"/>
      <c r="R157" s="366"/>
      <c r="S157" s="366"/>
    </row>
    <row r="158" spans="1:19" x14ac:dyDescent="0.3">
      <c r="A158" s="366"/>
      <c r="B158" s="366"/>
      <c r="C158" s="366"/>
      <c r="D158" s="366"/>
      <c r="E158" s="366"/>
      <c r="F158" s="366"/>
      <c r="G158" s="366"/>
      <c r="H158" s="366"/>
      <c r="I158" s="366"/>
      <c r="J158" s="366"/>
      <c r="K158" s="366"/>
      <c r="L158" s="366"/>
      <c r="M158" s="366"/>
      <c r="N158" s="366"/>
      <c r="O158" s="366"/>
      <c r="P158" s="366"/>
      <c r="Q158" s="366"/>
      <c r="R158" s="366"/>
      <c r="S158" s="366"/>
    </row>
    <row r="159" spans="1:19" x14ac:dyDescent="0.3">
      <c r="A159" s="366"/>
      <c r="B159" s="366"/>
      <c r="C159" s="366"/>
      <c r="D159" s="366"/>
      <c r="E159" s="366"/>
      <c r="F159" s="366"/>
      <c r="G159" s="366"/>
      <c r="H159" s="366"/>
      <c r="I159" s="366"/>
      <c r="J159" s="366"/>
      <c r="K159" s="366"/>
      <c r="L159" s="366"/>
      <c r="M159" s="366"/>
      <c r="N159" s="366"/>
      <c r="O159" s="366"/>
      <c r="P159" s="366"/>
      <c r="Q159" s="366"/>
      <c r="R159" s="366"/>
      <c r="S159" s="366"/>
    </row>
    <row r="160" spans="1:19" x14ac:dyDescent="0.3">
      <c r="A160" s="366"/>
      <c r="B160" s="366"/>
      <c r="C160" s="366"/>
      <c r="D160" s="366"/>
      <c r="E160" s="366"/>
      <c r="F160" s="36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366"/>
      <c r="S160" s="366"/>
    </row>
    <row r="161" spans="1:19" x14ac:dyDescent="0.3">
      <c r="A161" s="366"/>
      <c r="B161" s="366"/>
      <c r="C161" s="366"/>
      <c r="D161" s="366"/>
      <c r="E161" s="366"/>
      <c r="F161" s="366"/>
      <c r="G161" s="366"/>
      <c r="H161" s="366"/>
      <c r="I161" s="366"/>
      <c r="J161" s="366"/>
      <c r="K161" s="366"/>
      <c r="L161" s="366"/>
      <c r="M161" s="366"/>
      <c r="N161" s="366"/>
      <c r="O161" s="366"/>
      <c r="P161" s="366"/>
      <c r="Q161" s="366"/>
      <c r="R161" s="366"/>
      <c r="S161" s="366"/>
    </row>
    <row r="162" spans="1:19" x14ac:dyDescent="0.3">
      <c r="A162" s="366"/>
      <c r="B162" s="366"/>
      <c r="C162" s="366"/>
      <c r="D162" s="366"/>
      <c r="E162" s="366"/>
      <c r="F162" s="366"/>
      <c r="G162" s="366"/>
      <c r="H162" s="366"/>
      <c r="I162" s="366"/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</row>
    <row r="163" spans="1:19" x14ac:dyDescent="0.3">
      <c r="A163" s="366"/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</row>
    <row r="164" spans="1:19" x14ac:dyDescent="0.3">
      <c r="A164" s="366"/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</row>
    <row r="165" spans="1:19" x14ac:dyDescent="0.3">
      <c r="A165" s="366"/>
      <c r="B165" s="366"/>
      <c r="C165" s="366"/>
      <c r="D165" s="366"/>
      <c r="E165" s="366"/>
      <c r="F165" s="366"/>
      <c r="G165" s="366"/>
      <c r="H165" s="366"/>
      <c r="I165" s="366"/>
      <c r="J165" s="366"/>
      <c r="K165" s="366"/>
      <c r="L165" s="366"/>
      <c r="M165" s="366"/>
      <c r="N165" s="366"/>
      <c r="O165" s="366"/>
      <c r="P165" s="366"/>
      <c r="Q165" s="366"/>
      <c r="R165" s="366"/>
      <c r="S165" s="366"/>
    </row>
    <row r="166" spans="1:19" x14ac:dyDescent="0.3">
      <c r="A166" s="366"/>
      <c r="B166" s="366"/>
      <c r="C166" s="366"/>
      <c r="D166" s="366"/>
      <c r="E166" s="366"/>
      <c r="F166" s="366"/>
      <c r="G166" s="366"/>
      <c r="H166" s="366"/>
      <c r="I166" s="366"/>
      <c r="J166" s="366"/>
      <c r="K166" s="366"/>
      <c r="L166" s="366"/>
      <c r="M166" s="366"/>
      <c r="N166" s="366"/>
      <c r="O166" s="366"/>
      <c r="P166" s="366"/>
      <c r="Q166" s="366"/>
      <c r="R166" s="366"/>
      <c r="S166" s="366"/>
    </row>
    <row r="167" spans="1:19" x14ac:dyDescent="0.3">
      <c r="A167" s="366"/>
      <c r="B167" s="366"/>
      <c r="C167" s="366"/>
      <c r="D167" s="366"/>
      <c r="E167" s="366"/>
      <c r="F167" s="366"/>
      <c r="G167" s="366"/>
      <c r="H167" s="366"/>
      <c r="I167" s="366"/>
      <c r="J167" s="366"/>
      <c r="K167" s="366"/>
      <c r="L167" s="366"/>
      <c r="M167" s="366"/>
      <c r="N167" s="366"/>
      <c r="O167" s="366"/>
      <c r="P167" s="366"/>
      <c r="Q167" s="366"/>
      <c r="R167" s="366"/>
      <c r="S167" s="366"/>
    </row>
    <row r="168" spans="1:19" x14ac:dyDescent="0.3">
      <c r="A168" s="366"/>
      <c r="B168" s="366"/>
      <c r="C168" s="366"/>
      <c r="D168" s="366"/>
      <c r="E168" s="366"/>
      <c r="F168" s="366"/>
      <c r="G168" s="366"/>
      <c r="H168" s="366"/>
      <c r="I168" s="366"/>
      <c r="J168" s="366"/>
      <c r="K168" s="366"/>
      <c r="L168" s="366"/>
      <c r="M168" s="366"/>
      <c r="N168" s="366"/>
      <c r="O168" s="366"/>
      <c r="P168" s="366"/>
      <c r="Q168" s="366"/>
      <c r="R168" s="366"/>
      <c r="S168" s="366"/>
    </row>
    <row r="169" spans="1:19" x14ac:dyDescent="0.3">
      <c r="A169" s="366"/>
      <c r="B169" s="366"/>
      <c r="C169" s="366"/>
      <c r="D169" s="366"/>
      <c r="E169" s="366"/>
      <c r="F169" s="366"/>
      <c r="G169" s="366"/>
      <c r="H169" s="366"/>
      <c r="I169" s="366"/>
      <c r="J169" s="366"/>
      <c r="K169" s="366"/>
      <c r="L169" s="366"/>
      <c r="M169" s="366"/>
      <c r="N169" s="366"/>
      <c r="O169" s="366"/>
      <c r="P169" s="366"/>
      <c r="Q169" s="366"/>
      <c r="R169" s="366"/>
      <c r="S169" s="366"/>
    </row>
    <row r="170" spans="1:19" x14ac:dyDescent="0.3">
      <c r="A170" s="366"/>
      <c r="B170" s="366"/>
      <c r="C170" s="366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366"/>
      <c r="Q170" s="366"/>
      <c r="R170" s="366"/>
      <c r="S170" s="366"/>
    </row>
    <row r="171" spans="1:19" x14ac:dyDescent="0.3">
      <c r="A171" s="366"/>
      <c r="B171" s="366"/>
      <c r="C171" s="366"/>
      <c r="D171" s="366"/>
      <c r="E171" s="366"/>
      <c r="F171" s="366"/>
      <c r="G171" s="366"/>
      <c r="H171" s="366"/>
      <c r="I171" s="366"/>
      <c r="J171" s="366"/>
      <c r="K171" s="366"/>
      <c r="L171" s="366"/>
      <c r="M171" s="366"/>
      <c r="N171" s="366"/>
      <c r="O171" s="366"/>
      <c r="P171" s="366"/>
      <c r="Q171" s="366"/>
      <c r="R171" s="366"/>
      <c r="S171" s="366"/>
    </row>
    <row r="172" spans="1:19" x14ac:dyDescent="0.3">
      <c r="A172" s="366"/>
      <c r="B172" s="366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</row>
    <row r="173" spans="1:19" x14ac:dyDescent="0.3">
      <c r="A173" s="366"/>
      <c r="B173" s="366"/>
      <c r="C173" s="366"/>
      <c r="D173" s="366"/>
      <c r="E173" s="366"/>
      <c r="F173" s="366"/>
      <c r="G173" s="366"/>
      <c r="H173" s="366"/>
      <c r="I173" s="366"/>
      <c r="J173" s="366"/>
      <c r="K173" s="366"/>
      <c r="L173" s="366"/>
      <c r="M173" s="366"/>
      <c r="N173" s="366"/>
      <c r="O173" s="366"/>
      <c r="P173" s="366"/>
      <c r="Q173" s="366"/>
      <c r="R173" s="366"/>
      <c r="S173" s="366"/>
    </row>
    <row r="174" spans="1:19" x14ac:dyDescent="0.3">
      <c r="A174" s="366"/>
      <c r="B174" s="366"/>
      <c r="C174" s="366"/>
      <c r="D174" s="366"/>
      <c r="E174" s="366"/>
      <c r="F174" s="366"/>
      <c r="G174" s="366"/>
      <c r="H174" s="366"/>
      <c r="I174" s="366"/>
      <c r="J174" s="366"/>
      <c r="K174" s="366"/>
      <c r="L174" s="366"/>
      <c r="M174" s="366"/>
      <c r="N174" s="366"/>
      <c r="O174" s="366"/>
      <c r="P174" s="366"/>
      <c r="Q174" s="366"/>
      <c r="R174" s="366"/>
      <c r="S174" s="366"/>
    </row>
    <row r="175" spans="1:19" x14ac:dyDescent="0.3">
      <c r="A175" s="366"/>
      <c r="B175" s="366"/>
      <c r="C175" s="366"/>
      <c r="D175" s="366"/>
      <c r="E175" s="366"/>
      <c r="F175" s="366"/>
      <c r="G175" s="366"/>
      <c r="H175" s="366"/>
      <c r="I175" s="366"/>
      <c r="J175" s="366"/>
      <c r="K175" s="366"/>
      <c r="L175" s="366"/>
      <c r="M175" s="366"/>
      <c r="N175" s="366"/>
      <c r="O175" s="366"/>
      <c r="P175" s="366"/>
      <c r="Q175" s="366"/>
      <c r="R175" s="366"/>
      <c r="S175" s="366"/>
    </row>
    <row r="176" spans="1:19" x14ac:dyDescent="0.3">
      <c r="A176" s="366"/>
      <c r="B176" s="366"/>
      <c r="C176" s="366"/>
      <c r="D176" s="366"/>
      <c r="E176" s="366"/>
      <c r="F176" s="366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</row>
    <row r="177" spans="1:19" x14ac:dyDescent="0.3">
      <c r="A177" s="366"/>
      <c r="B177" s="366"/>
      <c r="C177" s="366"/>
      <c r="D177" s="366"/>
      <c r="E177" s="366"/>
      <c r="F177" s="36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366"/>
      <c r="S177" s="366"/>
    </row>
    <row r="178" spans="1:19" x14ac:dyDescent="0.3">
      <c r="A178" s="366"/>
      <c r="B178" s="366"/>
      <c r="C178" s="366"/>
      <c r="D178" s="366"/>
      <c r="E178" s="366"/>
      <c r="F178" s="366"/>
      <c r="G178" s="366"/>
      <c r="H178" s="366"/>
      <c r="I178" s="366"/>
      <c r="J178" s="366"/>
      <c r="K178" s="366"/>
      <c r="L178" s="366"/>
      <c r="M178" s="366"/>
      <c r="N178" s="366"/>
      <c r="O178" s="366"/>
      <c r="P178" s="366"/>
      <c r="Q178" s="366"/>
      <c r="R178" s="366"/>
      <c r="S178" s="366"/>
    </row>
    <row r="179" spans="1:19" x14ac:dyDescent="0.3">
      <c r="A179" s="366"/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366"/>
      <c r="S179" s="366"/>
    </row>
    <row r="180" spans="1:19" x14ac:dyDescent="0.3">
      <c r="A180" s="366"/>
      <c r="B180" s="366"/>
      <c r="C180" s="366"/>
      <c r="D180" s="366"/>
      <c r="E180" s="366"/>
      <c r="F180" s="366"/>
      <c r="G180" s="366"/>
      <c r="H180" s="366"/>
      <c r="I180" s="366"/>
      <c r="J180" s="366"/>
      <c r="K180" s="366"/>
      <c r="L180" s="366"/>
      <c r="M180" s="366"/>
      <c r="N180" s="366"/>
      <c r="O180" s="366"/>
      <c r="P180" s="366"/>
      <c r="Q180" s="366"/>
      <c r="R180" s="366"/>
      <c r="S180" s="366"/>
    </row>
    <row r="181" spans="1:19" x14ac:dyDescent="0.3">
      <c r="A181" s="366"/>
      <c r="B181" s="366"/>
      <c r="C181" s="366"/>
      <c r="D181" s="366"/>
      <c r="E181" s="366"/>
      <c r="F181" s="366"/>
      <c r="G181" s="366"/>
      <c r="H181" s="366"/>
      <c r="I181" s="366"/>
      <c r="J181" s="366"/>
      <c r="K181" s="366"/>
      <c r="L181" s="366"/>
      <c r="M181" s="366"/>
      <c r="N181" s="366"/>
      <c r="O181" s="366"/>
      <c r="P181" s="366"/>
      <c r="Q181" s="366"/>
      <c r="R181" s="366"/>
      <c r="S181" s="366"/>
    </row>
    <row r="182" spans="1:19" x14ac:dyDescent="0.3">
      <c r="A182" s="366"/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</row>
    <row r="183" spans="1:19" x14ac:dyDescent="0.3">
      <c r="A183" s="366"/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</row>
    <row r="184" spans="1:19" x14ac:dyDescent="0.3">
      <c r="A184" s="366"/>
      <c r="B184" s="366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</row>
    <row r="185" spans="1:19" x14ac:dyDescent="0.3">
      <c r="A185" s="366"/>
      <c r="B185" s="366"/>
      <c r="C185" s="366"/>
      <c r="D185" s="366"/>
      <c r="E185" s="366"/>
      <c r="F185" s="366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366"/>
      <c r="S185" s="366"/>
    </row>
    <row r="186" spans="1:19" x14ac:dyDescent="0.3">
      <c r="A186" s="366"/>
      <c r="B186" s="366"/>
      <c r="C186" s="366"/>
      <c r="D186" s="366"/>
      <c r="E186" s="366"/>
      <c r="F186" s="36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366"/>
      <c r="S186" s="366"/>
    </row>
    <row r="187" spans="1:19" x14ac:dyDescent="0.3">
      <c r="A187" s="366"/>
      <c r="B187" s="366"/>
      <c r="C187" s="366"/>
      <c r="D187" s="366"/>
      <c r="E187" s="366"/>
      <c r="F187" s="366"/>
      <c r="G187" s="366"/>
      <c r="H187" s="366"/>
      <c r="I187" s="366"/>
      <c r="J187" s="366"/>
      <c r="K187" s="366"/>
      <c r="L187" s="366"/>
      <c r="M187" s="366"/>
      <c r="N187" s="366"/>
      <c r="O187" s="366"/>
      <c r="P187" s="366"/>
      <c r="Q187" s="366"/>
      <c r="R187" s="366"/>
      <c r="S187" s="366"/>
    </row>
    <row r="188" spans="1:19" x14ac:dyDescent="0.3">
      <c r="A188" s="366"/>
      <c r="B188" s="366"/>
      <c r="C188" s="366"/>
      <c r="D188" s="366"/>
      <c r="E188" s="366"/>
      <c r="F188" s="366"/>
      <c r="G188" s="366"/>
      <c r="H188" s="366"/>
      <c r="I188" s="366"/>
      <c r="J188" s="366"/>
      <c r="K188" s="366"/>
      <c r="L188" s="366"/>
      <c r="M188" s="366"/>
      <c r="N188" s="366"/>
      <c r="O188" s="366"/>
      <c r="P188" s="366"/>
      <c r="Q188" s="366"/>
      <c r="R188" s="366"/>
      <c r="S188" s="366"/>
    </row>
    <row r="189" spans="1:19" x14ac:dyDescent="0.3">
      <c r="A189" s="366"/>
      <c r="B189" s="366"/>
      <c r="C189" s="366"/>
      <c r="D189" s="366"/>
      <c r="E189" s="366"/>
      <c r="F189" s="366"/>
      <c r="G189" s="366"/>
      <c r="H189" s="366"/>
      <c r="I189" s="366"/>
      <c r="J189" s="366"/>
      <c r="K189" s="366"/>
      <c r="L189" s="366"/>
      <c r="M189" s="366"/>
      <c r="N189" s="366"/>
      <c r="O189" s="366"/>
      <c r="P189" s="366"/>
      <c r="Q189" s="366"/>
      <c r="R189" s="366"/>
      <c r="S189" s="366"/>
    </row>
    <row r="190" spans="1:19" x14ac:dyDescent="0.3">
      <c r="A190" s="366"/>
      <c r="B190" s="366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</row>
    <row r="191" spans="1:19" x14ac:dyDescent="0.3">
      <c r="A191" s="366"/>
      <c r="B191" s="366"/>
      <c r="C191" s="366"/>
      <c r="D191" s="366"/>
      <c r="E191" s="366"/>
      <c r="F191" s="366"/>
      <c r="G191" s="366"/>
      <c r="H191" s="366"/>
      <c r="I191" s="366"/>
      <c r="J191" s="366"/>
      <c r="K191" s="366"/>
      <c r="L191" s="366"/>
      <c r="M191" s="366"/>
      <c r="N191" s="366"/>
      <c r="O191" s="366"/>
      <c r="P191" s="366"/>
      <c r="Q191" s="366"/>
      <c r="R191" s="366"/>
      <c r="S191" s="366"/>
    </row>
    <row r="192" spans="1:19" x14ac:dyDescent="0.3">
      <c r="A192" s="366"/>
      <c r="B192" s="366"/>
      <c r="C192" s="366"/>
      <c r="D192" s="366"/>
      <c r="E192" s="366"/>
      <c r="F192" s="366"/>
      <c r="G192" s="366"/>
      <c r="H192" s="366"/>
      <c r="I192" s="366"/>
      <c r="J192" s="366"/>
      <c r="K192" s="366"/>
      <c r="L192" s="366"/>
      <c r="M192" s="366"/>
      <c r="N192" s="366"/>
      <c r="O192" s="366"/>
      <c r="P192" s="366"/>
      <c r="Q192" s="366"/>
      <c r="R192" s="366"/>
      <c r="S192" s="366"/>
    </row>
    <row r="193" spans="1:19" x14ac:dyDescent="0.3">
      <c r="A193" s="366"/>
      <c r="B193" s="366"/>
      <c r="C193" s="366"/>
      <c r="D193" s="366"/>
      <c r="E193" s="366"/>
      <c r="F193" s="366"/>
      <c r="G193" s="366"/>
      <c r="H193" s="366"/>
      <c r="I193" s="366"/>
      <c r="J193" s="366"/>
      <c r="K193" s="366"/>
      <c r="L193" s="366"/>
      <c r="M193" s="366"/>
      <c r="N193" s="366"/>
      <c r="O193" s="366"/>
      <c r="P193" s="366"/>
      <c r="Q193" s="366"/>
      <c r="R193" s="366"/>
      <c r="S193" s="366"/>
    </row>
    <row r="194" spans="1:19" x14ac:dyDescent="0.3">
      <c r="A194" s="366"/>
      <c r="B194" s="366"/>
      <c r="C194" s="366"/>
      <c r="D194" s="366"/>
      <c r="E194" s="366"/>
      <c r="F194" s="366"/>
      <c r="G194" s="366"/>
      <c r="H194" s="366"/>
      <c r="I194" s="366"/>
      <c r="J194" s="366"/>
      <c r="K194" s="366"/>
      <c r="L194" s="366"/>
      <c r="M194" s="366"/>
      <c r="N194" s="366"/>
      <c r="O194" s="366"/>
      <c r="P194" s="366"/>
      <c r="Q194" s="366"/>
      <c r="R194" s="366"/>
      <c r="S194" s="366"/>
    </row>
    <row r="195" spans="1:19" x14ac:dyDescent="0.3">
      <c r="A195" s="366"/>
      <c r="B195" s="366"/>
      <c r="C195" s="366"/>
      <c r="D195" s="366"/>
      <c r="E195" s="366"/>
      <c r="F195" s="366"/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366"/>
      <c r="S195" s="366"/>
    </row>
    <row r="196" spans="1:19" x14ac:dyDescent="0.3">
      <c r="A196" s="366"/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</row>
    <row r="197" spans="1:19" x14ac:dyDescent="0.3">
      <c r="A197" s="366"/>
      <c r="B197" s="366"/>
      <c r="C197" s="366"/>
      <c r="D197" s="366"/>
      <c r="E197" s="366"/>
      <c r="F197" s="366"/>
      <c r="G197" s="366"/>
      <c r="H197" s="366"/>
      <c r="I197" s="366"/>
      <c r="J197" s="366"/>
      <c r="K197" s="366"/>
      <c r="L197" s="366"/>
      <c r="M197" s="366"/>
      <c r="N197" s="366"/>
      <c r="O197" s="366"/>
      <c r="P197" s="366"/>
      <c r="Q197" s="366"/>
      <c r="R197" s="366"/>
      <c r="S197" s="366"/>
    </row>
    <row r="198" spans="1:19" x14ac:dyDescent="0.3">
      <c r="A198" s="366"/>
      <c r="B198" s="366"/>
      <c r="C198" s="366"/>
      <c r="D198" s="366"/>
      <c r="E198" s="366"/>
      <c r="F198" s="366"/>
      <c r="G198" s="366"/>
      <c r="H198" s="366"/>
      <c r="I198" s="366"/>
      <c r="J198" s="366"/>
      <c r="K198" s="366"/>
      <c r="L198" s="366"/>
      <c r="M198" s="366"/>
      <c r="N198" s="366"/>
      <c r="O198" s="366"/>
      <c r="P198" s="366"/>
      <c r="Q198" s="366"/>
      <c r="R198" s="366"/>
      <c r="S198" s="366"/>
    </row>
    <row r="199" spans="1:19" x14ac:dyDescent="0.3">
      <c r="A199" s="366"/>
      <c r="B199" s="366"/>
      <c r="C199" s="366"/>
      <c r="D199" s="366"/>
      <c r="E199" s="366"/>
      <c r="F199" s="366"/>
      <c r="G199" s="366"/>
      <c r="H199" s="366"/>
      <c r="I199" s="366"/>
      <c r="J199" s="366"/>
      <c r="K199" s="366"/>
      <c r="L199" s="366"/>
      <c r="M199" s="366"/>
      <c r="N199" s="366"/>
      <c r="O199" s="366"/>
      <c r="P199" s="366"/>
      <c r="Q199" s="366"/>
      <c r="R199" s="366"/>
      <c r="S199" s="366"/>
    </row>
  </sheetData>
  <mergeCells count="1">
    <mergeCell ref="B1:C1"/>
  </mergeCells>
  <phoneticPr fontId="3" type="noConversion"/>
  <conditionalFormatting sqref="C4:P20">
    <cfRule type="expression" dxfId="46" priority="1">
      <formula>C4&lt;0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7"/>
    <pageSetUpPr autoPageBreaks="0" fitToPage="1"/>
  </sheetPr>
  <dimension ref="A1:R52"/>
  <sheetViews>
    <sheetView showGridLines="0" zoomScaleNormal="100" workbookViewId="0">
      <selection activeCell="P27" sqref="P27"/>
    </sheetView>
  </sheetViews>
  <sheetFormatPr defaultColWidth="8.875" defaultRowHeight="16.5" x14ac:dyDescent="0.3"/>
  <cols>
    <col min="1" max="1" width="4.625" customWidth="1"/>
    <col min="2" max="2" width="12.625" customWidth="1"/>
    <col min="3" max="16" width="10.625" customWidth="1"/>
    <col min="17" max="17" width="4.625" customWidth="1"/>
    <col min="18" max="18" width="10.875" bestFit="1" customWidth="1"/>
  </cols>
  <sheetData>
    <row r="1" spans="1:18" ht="40.5" customHeight="1" x14ac:dyDescent="0.3">
      <c r="A1" s="10"/>
      <c r="B1" s="543" t="s">
        <v>135</v>
      </c>
      <c r="C1" s="54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8" ht="17.25" thickBot="1" x14ac:dyDescent="0.35"/>
    <row r="3" spans="1:18" ht="30" customHeight="1" thickBot="1" x14ac:dyDescent="0.35">
      <c r="B3" s="142"/>
      <c r="C3" s="29" t="s">
        <v>28</v>
      </c>
      <c r="D3" s="30" t="s">
        <v>31</v>
      </c>
      <c r="E3" s="30" t="s">
        <v>32</v>
      </c>
      <c r="F3" s="30" t="s">
        <v>33</v>
      </c>
      <c r="G3" s="30" t="s">
        <v>34</v>
      </c>
      <c r="H3" s="30" t="s">
        <v>35</v>
      </c>
      <c r="I3" s="30" t="s">
        <v>36</v>
      </c>
      <c r="J3" s="30" t="s">
        <v>37</v>
      </c>
      <c r="K3" s="30" t="s">
        <v>38</v>
      </c>
      <c r="L3" s="30" t="s">
        <v>39</v>
      </c>
      <c r="M3" s="30" t="s">
        <v>40</v>
      </c>
      <c r="N3" s="31" t="s">
        <v>41</v>
      </c>
      <c r="O3" s="199" t="s">
        <v>4</v>
      </c>
      <c r="P3" s="170" t="s">
        <v>42</v>
      </c>
    </row>
    <row r="4" spans="1:18" ht="18" customHeight="1" x14ac:dyDescent="0.3">
      <c r="B4" s="143" t="str">
        <f>IF(항목!C5="","",항목!C5)</f>
        <v>급여</v>
      </c>
      <c r="C4" s="200">
        <f>SUMIF('1월'!$D$34:$D$165,연간_항목별수입!$B4,'1월'!$H$34:$H$165)</f>
        <v>0</v>
      </c>
      <c r="D4" s="200">
        <f>SUMIF('2월'!$D$34:$D$145,연간_항목별수입!$B4,'2월'!$H$34:$H$145)</f>
        <v>0</v>
      </c>
      <c r="E4" s="200">
        <f>SUMIF('3월'!$D$34:$D$145,연간_항목별수입!$B4,'3월'!$H$34:$H$145)</f>
        <v>0</v>
      </c>
      <c r="F4" s="200">
        <f>SUMIF('4월'!$D$34:$D$145,연간_항목별수입!$B4,'4월'!$H$34:$H$145)</f>
        <v>0</v>
      </c>
      <c r="G4" s="200">
        <f>SUMIF('5월'!$D$34:$D$145,연간_항목별수입!$B4,'5월'!$H$34:$H$145)</f>
        <v>0</v>
      </c>
      <c r="H4" s="200">
        <f>SUMIF('6월'!$D$34:$D$145,연간_항목별수입!$B4,'6월'!$H$34:$H$145)</f>
        <v>0</v>
      </c>
      <c r="I4" s="200">
        <f>SUMIF('7월'!$D$34:$D$145,연간_항목별수입!$B4,'7월'!$H$34:$H$145)</f>
        <v>0</v>
      </c>
      <c r="J4" s="200">
        <f>SUMIF('8월'!$D$34:$D$145,연간_항목별수입!$B4,'8월'!$H$34:$H$145)</f>
        <v>0</v>
      </c>
      <c r="K4" s="200">
        <f>SUMIF('9월'!$D$34:$D$145,연간_항목별수입!$B4,'9월'!$H$34:$H$145)</f>
        <v>0</v>
      </c>
      <c r="L4" s="200">
        <f>SUMIF('10월'!$D$34:$D$145,연간_항목별수입!$B4,'10월'!$H$34:$H$145)</f>
        <v>0</v>
      </c>
      <c r="M4" s="200">
        <f>SUMIF('11월'!$D$34:$D$145,연간_항목별수입!$B4,'11월'!$H$34:$H$145)</f>
        <v>0</v>
      </c>
      <c r="N4" s="200">
        <f>SUMIF('12월'!$D$34:$D$145,연간_항목별수입!$B4,'12월'!$H$34:$H$145)</f>
        <v>0</v>
      </c>
      <c r="O4" s="201">
        <f>SUM(C4:N4)</f>
        <v>0</v>
      </c>
      <c r="P4" s="202">
        <f>O4/12</f>
        <v>0</v>
      </c>
      <c r="R4" s="26"/>
    </row>
    <row r="5" spans="1:18" ht="18" customHeight="1" x14ac:dyDescent="0.3">
      <c r="B5" s="143" t="str">
        <f>IF(항목!C6="","",항목!C6)</f>
        <v>수당</v>
      </c>
      <c r="C5" s="200">
        <f>SUMIF('1월'!$D$34:$D$165,연간_항목별수입!$B5,'1월'!$H$34:$H$165)</f>
        <v>0</v>
      </c>
      <c r="D5" s="200">
        <f>SUMIF('2월'!$D$34:$D$145,연간_항목별수입!$B5,'2월'!$H$34:$H$145)</f>
        <v>0</v>
      </c>
      <c r="E5" s="200">
        <f>SUMIF('3월'!$D$34:$D$145,연간_항목별수입!$B5,'3월'!$H$34:$H$145)</f>
        <v>0</v>
      </c>
      <c r="F5" s="200">
        <f>SUMIF('4월'!$D$34:$D$145,연간_항목별수입!$B5,'4월'!$H$34:$H$145)</f>
        <v>0</v>
      </c>
      <c r="G5" s="200">
        <f>SUMIF('5월'!$D$34:$D$145,연간_항목별수입!$B5,'5월'!$H$34:$H$145)</f>
        <v>0</v>
      </c>
      <c r="H5" s="200">
        <f>SUMIF('6월'!$D$34:$D$145,연간_항목별수입!$B5,'6월'!$H$34:$H$145)</f>
        <v>0</v>
      </c>
      <c r="I5" s="200">
        <f>SUMIF('7월'!$D$34:$D$145,연간_항목별수입!$B5,'7월'!$H$34:$H$145)</f>
        <v>0</v>
      </c>
      <c r="J5" s="200">
        <f>SUMIF('8월'!$D$34:$D$145,연간_항목별수입!$B5,'8월'!$H$34:$H$145)</f>
        <v>0</v>
      </c>
      <c r="K5" s="200">
        <f>SUMIF('9월'!$D$34:$D$145,연간_항목별수입!$B5,'9월'!$H$34:$H$145)</f>
        <v>0</v>
      </c>
      <c r="L5" s="200">
        <f>SUMIF('10월'!$D$34:$D$145,연간_항목별수입!$B5,'10월'!$H$34:$H$145)</f>
        <v>0</v>
      </c>
      <c r="M5" s="200">
        <f>SUMIF('11월'!$D$34:$D$145,연간_항목별수입!$B5,'11월'!$H$34:$H$145)</f>
        <v>0</v>
      </c>
      <c r="N5" s="200">
        <f>SUMIF('12월'!$D$34:$D$145,연간_항목별수입!$B5,'12월'!$H$34:$H$145)</f>
        <v>0</v>
      </c>
      <c r="O5" s="201">
        <f t="shared" ref="O5:O17" si="0">SUM(C5:N5)</f>
        <v>0</v>
      </c>
      <c r="P5" s="202">
        <f t="shared" ref="P5:P17" si="1">O5/12</f>
        <v>0</v>
      </c>
    </row>
    <row r="6" spans="1:18" ht="18" customHeight="1" x14ac:dyDescent="0.3">
      <c r="B6" s="143" t="str">
        <f>IF(항목!C7="","",항목!C7)</f>
        <v>상여</v>
      </c>
      <c r="C6" s="200">
        <f>SUMIF('1월'!$D$34:$D$165,연간_항목별수입!$B6,'1월'!$H$34:$H$165)</f>
        <v>0</v>
      </c>
      <c r="D6" s="200">
        <f>SUMIF('2월'!$D$34:$D$145,연간_항목별수입!$B6,'2월'!$H$34:$H$145)</f>
        <v>0</v>
      </c>
      <c r="E6" s="200">
        <f>SUMIF('3월'!$D$34:$D$145,연간_항목별수입!$B6,'3월'!$H$34:$H$145)</f>
        <v>0</v>
      </c>
      <c r="F6" s="200">
        <f>SUMIF('4월'!$D$34:$D$145,연간_항목별수입!$B6,'4월'!$H$34:$H$145)</f>
        <v>0</v>
      </c>
      <c r="G6" s="200">
        <f>SUMIF('5월'!$D$34:$D$145,연간_항목별수입!$B6,'5월'!$H$34:$H$145)</f>
        <v>0</v>
      </c>
      <c r="H6" s="200">
        <f>SUMIF('6월'!$D$34:$D$145,연간_항목별수입!$B6,'6월'!$H$34:$H$145)</f>
        <v>0</v>
      </c>
      <c r="I6" s="200">
        <f>SUMIF('7월'!$D$34:$D$145,연간_항목별수입!$B6,'7월'!$H$34:$H$145)</f>
        <v>0</v>
      </c>
      <c r="J6" s="200">
        <f>SUMIF('8월'!$D$34:$D$145,연간_항목별수입!$B6,'8월'!$H$34:$H$145)</f>
        <v>0</v>
      </c>
      <c r="K6" s="200">
        <f>SUMIF('9월'!$D$34:$D$145,연간_항목별수입!$B6,'9월'!$H$34:$H$145)</f>
        <v>0</v>
      </c>
      <c r="L6" s="200">
        <f>SUMIF('10월'!$D$34:$D$145,연간_항목별수입!$B6,'10월'!$H$34:$H$145)</f>
        <v>0</v>
      </c>
      <c r="M6" s="200">
        <f>SUMIF('11월'!$D$34:$D$145,연간_항목별수입!$B6,'11월'!$H$34:$H$145)</f>
        <v>0</v>
      </c>
      <c r="N6" s="200">
        <f>SUMIF('12월'!$D$34:$D$145,연간_항목별수입!$B6,'12월'!$H$34:$H$145)</f>
        <v>0</v>
      </c>
      <c r="O6" s="201">
        <f t="shared" si="0"/>
        <v>0</v>
      </c>
      <c r="P6" s="202">
        <f t="shared" si="1"/>
        <v>0</v>
      </c>
    </row>
    <row r="7" spans="1:18" ht="18" customHeight="1" x14ac:dyDescent="0.3">
      <c r="B7" s="143" t="str">
        <f>IF(항목!C8="","",항목!C8)</f>
        <v>투자수익</v>
      </c>
      <c r="C7" s="200">
        <f>SUMIF('1월'!$D$34:$D$165,연간_항목별수입!$B7,'1월'!$H$34:$H$165)</f>
        <v>0</v>
      </c>
      <c r="D7" s="200">
        <f>SUMIF('2월'!$D$34:$D$145,연간_항목별수입!$B7,'2월'!$H$34:$H$145)</f>
        <v>0</v>
      </c>
      <c r="E7" s="200">
        <f>SUMIF('3월'!$D$34:$D$145,연간_항목별수입!$B7,'3월'!$H$34:$H$145)</f>
        <v>0</v>
      </c>
      <c r="F7" s="200">
        <f>SUMIF('4월'!$D$34:$D$145,연간_항목별수입!$B7,'4월'!$H$34:$H$145)</f>
        <v>0</v>
      </c>
      <c r="G7" s="200">
        <f>SUMIF('5월'!$D$34:$D$145,연간_항목별수입!$B7,'5월'!$H$34:$H$145)</f>
        <v>0</v>
      </c>
      <c r="H7" s="200">
        <f>SUMIF('6월'!$D$34:$D$145,연간_항목별수입!$B7,'6월'!$H$34:$H$145)</f>
        <v>0</v>
      </c>
      <c r="I7" s="200">
        <f>SUMIF('7월'!$D$34:$D$145,연간_항목별수입!$B7,'7월'!$H$34:$H$145)</f>
        <v>0</v>
      </c>
      <c r="J7" s="200">
        <f>SUMIF('8월'!$D$34:$D$145,연간_항목별수입!$B7,'8월'!$H$34:$H$145)</f>
        <v>0</v>
      </c>
      <c r="K7" s="200">
        <f>SUMIF('9월'!$D$34:$D$145,연간_항목별수입!$B7,'9월'!$H$34:$H$145)</f>
        <v>0</v>
      </c>
      <c r="L7" s="200">
        <f>SUMIF('10월'!$D$34:$D$145,연간_항목별수입!$B7,'10월'!$H$34:$H$145)</f>
        <v>0</v>
      </c>
      <c r="M7" s="200">
        <f>SUMIF('11월'!$D$34:$D$145,연간_항목별수입!$B7,'11월'!$H$34:$H$145)</f>
        <v>0</v>
      </c>
      <c r="N7" s="200">
        <f>SUMIF('12월'!$D$34:$D$145,연간_항목별수입!$B7,'12월'!$H$34:$H$145)</f>
        <v>0</v>
      </c>
      <c r="O7" s="201">
        <f t="shared" si="0"/>
        <v>0</v>
      </c>
      <c r="P7" s="202">
        <f t="shared" si="1"/>
        <v>0</v>
      </c>
    </row>
    <row r="8" spans="1:18" ht="18" customHeight="1" x14ac:dyDescent="0.3">
      <c r="B8" s="143" t="str">
        <f>IF(항목!C9="","",항목!C9)</f>
        <v>이자</v>
      </c>
      <c r="C8" s="200">
        <f>SUMIF('1월'!$D$34:$D$165,연간_항목별수입!$B8,'1월'!$H$34:$H$165)</f>
        <v>0</v>
      </c>
      <c r="D8" s="200">
        <f>SUMIF('2월'!$D$34:$D$145,연간_항목별수입!$B8,'2월'!$H$34:$H$145)</f>
        <v>0</v>
      </c>
      <c r="E8" s="200">
        <f>SUMIF('3월'!$D$34:$D$145,연간_항목별수입!$B8,'3월'!$H$34:$H$145)</f>
        <v>0</v>
      </c>
      <c r="F8" s="200">
        <f>SUMIF('4월'!$D$34:$D$145,연간_항목별수입!$B8,'4월'!$H$34:$H$145)</f>
        <v>0</v>
      </c>
      <c r="G8" s="200">
        <f>SUMIF('5월'!$D$34:$D$145,연간_항목별수입!$B8,'5월'!$H$34:$H$145)</f>
        <v>0</v>
      </c>
      <c r="H8" s="200">
        <f>SUMIF('6월'!$D$34:$D$145,연간_항목별수입!$B8,'6월'!$H$34:$H$145)</f>
        <v>0</v>
      </c>
      <c r="I8" s="200">
        <f>SUMIF('7월'!$D$34:$D$145,연간_항목별수입!$B8,'7월'!$H$34:$H$145)</f>
        <v>0</v>
      </c>
      <c r="J8" s="200">
        <f>SUMIF('8월'!$D$34:$D$145,연간_항목별수입!$B8,'8월'!$H$34:$H$145)</f>
        <v>0</v>
      </c>
      <c r="K8" s="200">
        <f>SUMIF('9월'!$D$34:$D$145,연간_항목별수입!$B8,'9월'!$H$34:$H$145)</f>
        <v>0</v>
      </c>
      <c r="L8" s="200">
        <f>SUMIF('10월'!$D$34:$D$145,연간_항목별수입!$B8,'10월'!$H$34:$H$145)</f>
        <v>0</v>
      </c>
      <c r="M8" s="200">
        <f>SUMIF('11월'!$D$34:$D$145,연간_항목별수입!$B8,'11월'!$H$34:$H$145)</f>
        <v>0</v>
      </c>
      <c r="N8" s="200">
        <f>SUMIF('12월'!$D$34:$D$145,연간_항목별수입!$B8,'12월'!$H$34:$H$145)</f>
        <v>0</v>
      </c>
      <c r="O8" s="201">
        <f t="shared" si="0"/>
        <v>0</v>
      </c>
      <c r="P8" s="202">
        <f t="shared" si="1"/>
        <v>0</v>
      </c>
    </row>
    <row r="9" spans="1:18" ht="18" customHeight="1" x14ac:dyDescent="0.3">
      <c r="B9" s="143" t="str">
        <f>IF(항목!C10="","",항목!C10)</f>
        <v>부수익</v>
      </c>
      <c r="C9" s="200">
        <f>SUMIF('1월'!$D$34:$D$165,연간_항목별수입!$B9,'1월'!$H$34:$H$165)</f>
        <v>0</v>
      </c>
      <c r="D9" s="200">
        <f>SUMIF('2월'!$D$34:$D$145,연간_항목별수입!$B9,'2월'!$H$34:$H$145)</f>
        <v>0</v>
      </c>
      <c r="E9" s="200">
        <f>SUMIF('3월'!$D$34:$D$145,연간_항목별수입!$B9,'3월'!$H$34:$H$145)</f>
        <v>0</v>
      </c>
      <c r="F9" s="200">
        <f>SUMIF('4월'!$D$34:$D$145,연간_항목별수입!$B9,'4월'!$H$34:$H$145)</f>
        <v>0</v>
      </c>
      <c r="G9" s="200">
        <f>SUMIF('5월'!$D$34:$D$145,연간_항목별수입!$B9,'5월'!$H$34:$H$145)</f>
        <v>0</v>
      </c>
      <c r="H9" s="200">
        <f>SUMIF('6월'!$D$34:$D$145,연간_항목별수입!$B9,'6월'!$H$34:$H$145)</f>
        <v>0</v>
      </c>
      <c r="I9" s="200">
        <f>SUMIF('7월'!$D$34:$D$145,연간_항목별수입!$B9,'7월'!$H$34:$H$145)</f>
        <v>0</v>
      </c>
      <c r="J9" s="200">
        <f>SUMIF('8월'!$D$34:$D$145,연간_항목별수입!$B9,'8월'!$H$34:$H$145)</f>
        <v>0</v>
      </c>
      <c r="K9" s="200">
        <f>SUMIF('9월'!$D$34:$D$145,연간_항목별수입!$B9,'9월'!$H$34:$H$145)</f>
        <v>0</v>
      </c>
      <c r="L9" s="200">
        <f>SUMIF('10월'!$D$34:$D$145,연간_항목별수입!$B9,'10월'!$H$34:$H$145)</f>
        <v>0</v>
      </c>
      <c r="M9" s="200">
        <f>SUMIF('11월'!$D$34:$D$145,연간_항목별수입!$B9,'11월'!$H$34:$H$145)</f>
        <v>0</v>
      </c>
      <c r="N9" s="200">
        <f>SUMIF('12월'!$D$34:$D$145,연간_항목별수입!$B9,'12월'!$H$34:$H$145)</f>
        <v>0</v>
      </c>
      <c r="O9" s="201">
        <f t="shared" si="0"/>
        <v>0</v>
      </c>
      <c r="P9" s="202">
        <f t="shared" si="1"/>
        <v>0</v>
      </c>
    </row>
    <row r="10" spans="1:18" ht="18" customHeight="1" x14ac:dyDescent="0.3">
      <c r="B10" s="143" t="str">
        <f>IF(항목!C11="","",항목!C11)</f>
        <v>처분소득</v>
      </c>
      <c r="C10" s="200">
        <f>SUMIF('1월'!$D$34:$D$165,연간_항목별수입!$B10,'1월'!$H$34:$H$165)</f>
        <v>0</v>
      </c>
      <c r="D10" s="200">
        <f>SUMIF('2월'!$D$34:$D$145,연간_항목별수입!$B10,'2월'!$H$34:$H$145)</f>
        <v>0</v>
      </c>
      <c r="E10" s="200">
        <f>SUMIF('3월'!$D$34:$D$145,연간_항목별수입!$B10,'3월'!$H$34:$H$145)</f>
        <v>0</v>
      </c>
      <c r="F10" s="200">
        <f>SUMIF('4월'!$D$34:$D$145,연간_항목별수입!$B10,'4월'!$H$34:$H$145)</f>
        <v>0</v>
      </c>
      <c r="G10" s="200">
        <f>SUMIF('5월'!$D$34:$D$145,연간_항목별수입!$B10,'5월'!$H$34:$H$145)</f>
        <v>0</v>
      </c>
      <c r="H10" s="200">
        <f>SUMIF('6월'!$D$34:$D$145,연간_항목별수입!$B10,'6월'!$H$34:$H$145)</f>
        <v>0</v>
      </c>
      <c r="I10" s="200">
        <f>SUMIF('7월'!$D$34:$D$145,연간_항목별수입!$B10,'7월'!$H$34:$H$145)</f>
        <v>0</v>
      </c>
      <c r="J10" s="200">
        <f>SUMIF('8월'!$D$34:$D$145,연간_항목별수입!$B10,'8월'!$H$34:$H$145)</f>
        <v>0</v>
      </c>
      <c r="K10" s="200">
        <f>SUMIF('9월'!$D$34:$D$145,연간_항목별수입!$B10,'9월'!$H$34:$H$145)</f>
        <v>0</v>
      </c>
      <c r="L10" s="200">
        <f>SUMIF('10월'!$D$34:$D$145,연간_항목별수입!$B10,'10월'!$H$34:$H$145)</f>
        <v>0</v>
      </c>
      <c r="M10" s="200">
        <f>SUMIF('11월'!$D$34:$D$145,연간_항목별수입!$B10,'11월'!$H$34:$H$145)</f>
        <v>0</v>
      </c>
      <c r="N10" s="200">
        <f>SUMIF('12월'!$D$34:$D$145,연간_항목별수입!$B10,'12월'!$H$34:$H$145)</f>
        <v>0</v>
      </c>
      <c r="O10" s="201">
        <f t="shared" si="0"/>
        <v>0</v>
      </c>
      <c r="P10" s="202">
        <f t="shared" si="1"/>
        <v>0</v>
      </c>
    </row>
    <row r="11" spans="1:18" ht="18" customHeight="1" x14ac:dyDescent="0.3">
      <c r="B11" s="143" t="str">
        <f>IF(항목!C12="","",항목!C12)</f>
        <v>기타 수입</v>
      </c>
      <c r="C11" s="200">
        <f>SUMIF('1월'!$D$34:$D$165,연간_항목별수입!$B11,'1월'!$H$34:$H$165)</f>
        <v>0</v>
      </c>
      <c r="D11" s="200">
        <f>SUMIF('2월'!$D$34:$D$145,연간_항목별수입!$B11,'2월'!$H$34:$H$145)</f>
        <v>0</v>
      </c>
      <c r="E11" s="200">
        <f>SUMIF('3월'!$D$34:$D$145,연간_항목별수입!$B11,'3월'!$H$34:$H$145)</f>
        <v>0</v>
      </c>
      <c r="F11" s="200">
        <f>SUMIF('4월'!$D$34:$D$145,연간_항목별수입!$B11,'4월'!$H$34:$H$145)</f>
        <v>0</v>
      </c>
      <c r="G11" s="200">
        <f>SUMIF('5월'!$D$34:$D$145,연간_항목별수입!$B11,'5월'!$H$34:$H$145)</f>
        <v>0</v>
      </c>
      <c r="H11" s="200">
        <f>SUMIF('6월'!$D$34:$D$145,연간_항목별수입!$B11,'6월'!$H$34:$H$145)</f>
        <v>0</v>
      </c>
      <c r="I11" s="200">
        <f>SUMIF('7월'!$D$34:$D$145,연간_항목별수입!$B11,'7월'!$H$34:$H$145)</f>
        <v>0</v>
      </c>
      <c r="J11" s="200">
        <f>SUMIF('8월'!$D$34:$D$145,연간_항목별수입!$B11,'8월'!$H$34:$H$145)</f>
        <v>0</v>
      </c>
      <c r="K11" s="200">
        <f>SUMIF('9월'!$D$34:$D$145,연간_항목별수입!$B11,'9월'!$H$34:$H$145)</f>
        <v>0</v>
      </c>
      <c r="L11" s="200">
        <f>SUMIF('10월'!$D$34:$D$145,연간_항목별수입!$B11,'10월'!$H$34:$H$145)</f>
        <v>0</v>
      </c>
      <c r="M11" s="200">
        <f>SUMIF('11월'!$D$34:$D$145,연간_항목별수입!$B11,'11월'!$H$34:$H$145)</f>
        <v>0</v>
      </c>
      <c r="N11" s="200">
        <f>SUMIF('12월'!$D$34:$D$145,연간_항목별수입!$B11,'12월'!$H$34:$H$145)</f>
        <v>0</v>
      </c>
      <c r="O11" s="201">
        <f t="shared" si="0"/>
        <v>0</v>
      </c>
      <c r="P11" s="202">
        <f t="shared" si="1"/>
        <v>0</v>
      </c>
    </row>
    <row r="12" spans="1:18" ht="18" customHeight="1" x14ac:dyDescent="0.3">
      <c r="B12" s="143" t="str">
        <f>IF(항목!C13="","",항목!C13)</f>
        <v/>
      </c>
      <c r="C12" s="200">
        <f>SUMIF('1월'!$D$34:$D$165,연간_항목별수입!$B12,'1월'!$H$34:$H$165)</f>
        <v>0</v>
      </c>
      <c r="D12" s="200">
        <f>SUMIF('2월'!$D$34:$D$145,연간_항목별수입!$B12,'2월'!$H$34:$H$145)</f>
        <v>0</v>
      </c>
      <c r="E12" s="200">
        <f>SUMIF('3월'!$D$34:$D$145,연간_항목별수입!$B12,'3월'!$H$34:$H$145)</f>
        <v>0</v>
      </c>
      <c r="F12" s="200">
        <f>SUMIF('4월'!$D$34:$D$145,연간_항목별수입!$B12,'4월'!$H$34:$H$145)</f>
        <v>0</v>
      </c>
      <c r="G12" s="200">
        <f>SUMIF('5월'!$D$34:$D$145,연간_항목별수입!$B12,'5월'!$H$34:$H$145)</f>
        <v>0</v>
      </c>
      <c r="H12" s="200">
        <f>SUMIF('6월'!$D$34:$D$145,연간_항목별수입!$B12,'6월'!$H$34:$H$145)</f>
        <v>0</v>
      </c>
      <c r="I12" s="200">
        <f>SUMIF('7월'!$D$34:$D$145,연간_항목별수입!$B12,'7월'!$H$34:$H$145)</f>
        <v>0</v>
      </c>
      <c r="J12" s="200">
        <f>SUMIF('8월'!$D$34:$D$145,연간_항목별수입!$B12,'8월'!$H$34:$H$145)</f>
        <v>0</v>
      </c>
      <c r="K12" s="200">
        <f>SUMIF('9월'!$D$34:$D$145,연간_항목별수입!$B12,'9월'!$H$34:$H$145)</f>
        <v>0</v>
      </c>
      <c r="L12" s="200">
        <f>SUMIF('10월'!$D$34:$D$145,연간_항목별수입!$B12,'10월'!$H$34:$H$145)</f>
        <v>0</v>
      </c>
      <c r="M12" s="200">
        <f>SUMIF('11월'!$D$34:$D$145,연간_항목별수입!$B12,'11월'!$H$34:$H$145)</f>
        <v>0</v>
      </c>
      <c r="N12" s="200">
        <f>SUMIF('12월'!$D$34:$D$145,연간_항목별수입!$B12,'12월'!$H$34:$H$145)</f>
        <v>0</v>
      </c>
      <c r="O12" s="201">
        <f t="shared" si="0"/>
        <v>0</v>
      </c>
      <c r="P12" s="202">
        <f t="shared" si="1"/>
        <v>0</v>
      </c>
    </row>
    <row r="13" spans="1:18" ht="18" customHeight="1" x14ac:dyDescent="0.3">
      <c r="B13" s="143" t="str">
        <f>IF(항목!C14="","",항목!C14)</f>
        <v/>
      </c>
      <c r="C13" s="200">
        <f>SUMIF('1월'!$D$34:$D$165,연간_항목별수입!$B13,'1월'!$H$34:$H$165)</f>
        <v>0</v>
      </c>
      <c r="D13" s="200">
        <f>SUMIF('2월'!$D$34:$D$145,연간_항목별수입!$B13,'2월'!$H$34:$H$145)</f>
        <v>0</v>
      </c>
      <c r="E13" s="200">
        <f>SUMIF('3월'!$D$34:$D$145,연간_항목별수입!$B13,'3월'!$H$34:$H$145)</f>
        <v>0</v>
      </c>
      <c r="F13" s="200">
        <f>SUMIF('4월'!$D$34:$D$145,연간_항목별수입!$B13,'4월'!$H$34:$H$145)</f>
        <v>0</v>
      </c>
      <c r="G13" s="200">
        <f>SUMIF('5월'!$D$34:$D$145,연간_항목별수입!$B13,'5월'!$H$34:$H$145)</f>
        <v>0</v>
      </c>
      <c r="H13" s="200">
        <f>SUMIF('6월'!$D$34:$D$145,연간_항목별수입!$B13,'6월'!$H$34:$H$145)</f>
        <v>0</v>
      </c>
      <c r="I13" s="200">
        <f>SUMIF('7월'!$D$34:$D$145,연간_항목별수입!$B13,'7월'!$H$34:$H$145)</f>
        <v>0</v>
      </c>
      <c r="J13" s="200">
        <f>SUMIF('8월'!$D$34:$D$145,연간_항목별수입!$B13,'8월'!$H$34:$H$145)</f>
        <v>0</v>
      </c>
      <c r="K13" s="200">
        <f>SUMIF('9월'!$D$34:$D$145,연간_항목별수입!$B13,'9월'!$H$34:$H$145)</f>
        <v>0</v>
      </c>
      <c r="L13" s="200">
        <f>SUMIF('10월'!$D$34:$D$145,연간_항목별수입!$B13,'10월'!$H$34:$H$145)</f>
        <v>0</v>
      </c>
      <c r="M13" s="200">
        <f>SUMIF('11월'!$D$34:$D$145,연간_항목별수입!$B13,'11월'!$H$34:$H$145)</f>
        <v>0</v>
      </c>
      <c r="N13" s="200">
        <f>SUMIF('12월'!$D$34:$D$145,연간_항목별수입!$B13,'12월'!$H$34:$H$145)</f>
        <v>0</v>
      </c>
      <c r="O13" s="201">
        <f t="shared" si="0"/>
        <v>0</v>
      </c>
      <c r="P13" s="202">
        <f t="shared" si="1"/>
        <v>0</v>
      </c>
    </row>
    <row r="14" spans="1:18" ht="18" customHeight="1" x14ac:dyDescent="0.3">
      <c r="B14" s="143" t="str">
        <f>IF(항목!C15="","",항목!C15)</f>
        <v/>
      </c>
      <c r="C14" s="200">
        <f>SUMIF('1월'!$D$34:$D$165,연간_항목별수입!$B14,'1월'!$H$34:$H$165)</f>
        <v>0</v>
      </c>
      <c r="D14" s="200">
        <f>SUMIF('2월'!$D$34:$D$145,연간_항목별수입!$B14,'2월'!$H$34:$H$145)</f>
        <v>0</v>
      </c>
      <c r="E14" s="200">
        <f>SUMIF('3월'!$D$34:$D$145,연간_항목별수입!$B14,'3월'!$H$34:$H$145)</f>
        <v>0</v>
      </c>
      <c r="F14" s="200">
        <f>SUMIF('4월'!$D$34:$D$145,연간_항목별수입!$B14,'4월'!$H$34:$H$145)</f>
        <v>0</v>
      </c>
      <c r="G14" s="200">
        <f>SUMIF('5월'!$D$34:$D$145,연간_항목별수입!$B14,'5월'!$H$34:$H$145)</f>
        <v>0</v>
      </c>
      <c r="H14" s="200">
        <f>SUMIF('6월'!$D$34:$D$145,연간_항목별수입!$B14,'6월'!$H$34:$H$145)</f>
        <v>0</v>
      </c>
      <c r="I14" s="200">
        <f>SUMIF('7월'!$D$34:$D$145,연간_항목별수입!$B14,'7월'!$H$34:$H$145)</f>
        <v>0</v>
      </c>
      <c r="J14" s="200">
        <f>SUMIF('8월'!$D$34:$D$145,연간_항목별수입!$B14,'8월'!$H$34:$H$145)</f>
        <v>0</v>
      </c>
      <c r="K14" s="200">
        <f>SUMIF('9월'!$D$34:$D$145,연간_항목별수입!$B14,'9월'!$H$34:$H$145)</f>
        <v>0</v>
      </c>
      <c r="L14" s="200">
        <f>SUMIF('10월'!$D$34:$D$145,연간_항목별수입!$B14,'10월'!$H$34:$H$145)</f>
        <v>0</v>
      </c>
      <c r="M14" s="200">
        <f>SUMIF('11월'!$D$34:$D$145,연간_항목별수입!$B14,'11월'!$H$34:$H$145)</f>
        <v>0</v>
      </c>
      <c r="N14" s="200">
        <f>SUMIF('12월'!$D$34:$D$145,연간_항목별수입!$B14,'12월'!$H$34:$H$145)</f>
        <v>0</v>
      </c>
      <c r="O14" s="201">
        <f t="shared" si="0"/>
        <v>0</v>
      </c>
      <c r="P14" s="202">
        <f t="shared" si="1"/>
        <v>0</v>
      </c>
    </row>
    <row r="15" spans="1:18" ht="18" customHeight="1" x14ac:dyDescent="0.3">
      <c r="B15" s="143" t="str">
        <f>IF(항목!C16="","",항목!C16)</f>
        <v/>
      </c>
      <c r="C15" s="200">
        <f>SUMIF('1월'!$D$34:$D$165,연간_항목별수입!$B15,'1월'!$H$34:$H$165)</f>
        <v>0</v>
      </c>
      <c r="D15" s="200">
        <f>SUMIF('2월'!$D$34:$D$145,연간_항목별수입!$B15,'2월'!$H$34:$H$145)</f>
        <v>0</v>
      </c>
      <c r="E15" s="200">
        <f>SUMIF('3월'!$D$34:$D$145,연간_항목별수입!$B15,'3월'!$H$34:$H$145)</f>
        <v>0</v>
      </c>
      <c r="F15" s="200">
        <f>SUMIF('4월'!$D$34:$D$145,연간_항목별수입!$B15,'4월'!$H$34:$H$145)</f>
        <v>0</v>
      </c>
      <c r="G15" s="200">
        <f>SUMIF('5월'!$D$34:$D$145,연간_항목별수입!$B15,'5월'!$H$34:$H$145)</f>
        <v>0</v>
      </c>
      <c r="H15" s="200">
        <f>SUMIF('6월'!$D$34:$D$145,연간_항목별수입!$B15,'6월'!$H$34:$H$145)</f>
        <v>0</v>
      </c>
      <c r="I15" s="200">
        <f>SUMIF('7월'!$D$34:$D$145,연간_항목별수입!$B15,'7월'!$H$34:$H$145)</f>
        <v>0</v>
      </c>
      <c r="J15" s="200">
        <f>SUMIF('8월'!$D$34:$D$145,연간_항목별수입!$B15,'8월'!$H$34:$H$145)</f>
        <v>0</v>
      </c>
      <c r="K15" s="200">
        <f>SUMIF('9월'!$D$34:$D$145,연간_항목별수입!$B15,'9월'!$H$34:$H$145)</f>
        <v>0</v>
      </c>
      <c r="L15" s="200">
        <f>SUMIF('10월'!$D$34:$D$145,연간_항목별수입!$B15,'10월'!$H$34:$H$145)</f>
        <v>0</v>
      </c>
      <c r="M15" s="200">
        <f>SUMIF('11월'!$D$34:$D$145,연간_항목별수입!$B15,'11월'!$H$34:$H$145)</f>
        <v>0</v>
      </c>
      <c r="N15" s="200">
        <f>SUMIF('12월'!$D$34:$D$145,연간_항목별수입!$B15,'12월'!$H$34:$H$145)</f>
        <v>0</v>
      </c>
      <c r="O15" s="201">
        <f t="shared" si="0"/>
        <v>0</v>
      </c>
      <c r="P15" s="202">
        <f t="shared" si="1"/>
        <v>0</v>
      </c>
    </row>
    <row r="16" spans="1:18" ht="18" customHeight="1" x14ac:dyDescent="0.3">
      <c r="B16" s="143" t="str">
        <f>IF(항목!C17="","",항목!C17)</f>
        <v/>
      </c>
      <c r="C16" s="200">
        <f>SUMIF('1월'!$D$34:$D$165,연간_항목별수입!$B16,'1월'!$H$34:$H$165)</f>
        <v>0</v>
      </c>
      <c r="D16" s="200">
        <f>SUMIF('2월'!$D$34:$D$145,연간_항목별수입!$B16,'2월'!$H$34:$H$145)</f>
        <v>0</v>
      </c>
      <c r="E16" s="200">
        <f>SUMIF('3월'!$D$34:$D$145,연간_항목별수입!$B16,'3월'!$H$34:$H$145)</f>
        <v>0</v>
      </c>
      <c r="F16" s="200">
        <f>SUMIF('4월'!$D$34:$D$145,연간_항목별수입!$B16,'4월'!$H$34:$H$145)</f>
        <v>0</v>
      </c>
      <c r="G16" s="200">
        <f>SUMIF('5월'!$D$34:$D$145,연간_항목별수입!$B16,'5월'!$H$34:$H$145)</f>
        <v>0</v>
      </c>
      <c r="H16" s="200">
        <f>SUMIF('6월'!$D$34:$D$145,연간_항목별수입!$B16,'6월'!$H$34:$H$145)</f>
        <v>0</v>
      </c>
      <c r="I16" s="200">
        <f>SUMIF('7월'!$D$34:$D$145,연간_항목별수입!$B16,'7월'!$H$34:$H$145)</f>
        <v>0</v>
      </c>
      <c r="J16" s="200">
        <f>SUMIF('8월'!$D$34:$D$145,연간_항목별수입!$B16,'8월'!$H$34:$H$145)</f>
        <v>0</v>
      </c>
      <c r="K16" s="200">
        <f>SUMIF('9월'!$D$34:$D$145,연간_항목별수입!$B16,'9월'!$H$34:$H$145)</f>
        <v>0</v>
      </c>
      <c r="L16" s="200">
        <f>SUMIF('10월'!$D$34:$D$145,연간_항목별수입!$B16,'10월'!$H$34:$H$145)</f>
        <v>0</v>
      </c>
      <c r="M16" s="200">
        <f>SUMIF('11월'!$D$34:$D$145,연간_항목별수입!$B16,'11월'!$H$34:$H$145)</f>
        <v>0</v>
      </c>
      <c r="N16" s="200">
        <f>SUMIF('12월'!$D$34:$D$145,연간_항목별수입!$B16,'12월'!$H$34:$H$145)</f>
        <v>0</v>
      </c>
      <c r="O16" s="201">
        <f t="shared" si="0"/>
        <v>0</v>
      </c>
      <c r="P16" s="202">
        <f t="shared" si="1"/>
        <v>0</v>
      </c>
    </row>
    <row r="17" spans="2:16" ht="18" customHeight="1" thickBot="1" x14ac:dyDescent="0.35">
      <c r="B17" s="143" t="str">
        <f>IF(항목!C18="","",항목!C18)</f>
        <v/>
      </c>
      <c r="C17" s="200">
        <f>SUMIF('1월'!$D$34:$D$165,연간_항목별수입!$B17,'1월'!$H$34:$H$165)</f>
        <v>0</v>
      </c>
      <c r="D17" s="200">
        <f>SUMIF('2월'!$D$34:$D$145,연간_항목별수입!$B17,'2월'!$H$34:$H$145)</f>
        <v>0</v>
      </c>
      <c r="E17" s="200">
        <f>SUMIF('3월'!$D$34:$D$145,연간_항목별수입!$B17,'3월'!$H$34:$H$145)</f>
        <v>0</v>
      </c>
      <c r="F17" s="200">
        <f>SUMIF('4월'!$D$34:$D$145,연간_항목별수입!$B17,'4월'!$H$34:$H$145)</f>
        <v>0</v>
      </c>
      <c r="G17" s="200">
        <f>SUMIF('5월'!$D$34:$D$145,연간_항목별수입!$B17,'5월'!$H$34:$H$145)</f>
        <v>0</v>
      </c>
      <c r="H17" s="200">
        <f>SUMIF('6월'!$D$34:$D$145,연간_항목별수입!$B17,'6월'!$H$34:$H$145)</f>
        <v>0</v>
      </c>
      <c r="I17" s="200">
        <f>SUMIF('7월'!$D$34:$D$145,연간_항목별수입!$B17,'7월'!$H$34:$H$145)</f>
        <v>0</v>
      </c>
      <c r="J17" s="200">
        <f>SUMIF('8월'!$D$34:$D$145,연간_항목별수입!$B17,'8월'!$H$34:$H$145)</f>
        <v>0</v>
      </c>
      <c r="K17" s="200">
        <f>SUMIF('9월'!$D$34:$D$145,연간_항목별수입!$B17,'9월'!$H$34:$H$145)</f>
        <v>0</v>
      </c>
      <c r="L17" s="200">
        <f>SUMIF('10월'!$D$34:$D$145,연간_항목별수입!$B17,'10월'!$H$34:$H$145)</f>
        <v>0</v>
      </c>
      <c r="M17" s="200">
        <f>SUMIF('11월'!$D$34:$D$145,연간_항목별수입!$B17,'11월'!$H$34:$H$145)</f>
        <v>0</v>
      </c>
      <c r="N17" s="200">
        <f>SUMIF('12월'!$D$34:$D$145,연간_항목별수입!$B17,'12월'!$H$34:$H$145)</f>
        <v>0</v>
      </c>
      <c r="O17" s="201">
        <f t="shared" si="0"/>
        <v>0</v>
      </c>
      <c r="P17" s="202">
        <f t="shared" si="1"/>
        <v>0</v>
      </c>
    </row>
    <row r="18" spans="2:16" ht="24.95" customHeight="1" x14ac:dyDescent="0.3">
      <c r="B18" s="204" t="s">
        <v>91</v>
      </c>
      <c r="C18" s="205">
        <f>SUMIF($B$4:$B$17,"*급여*",C4:C17)</f>
        <v>0</v>
      </c>
      <c r="D18" s="205">
        <f>SUMIF($B$4:$B$17,"*사업*",D4:D17)</f>
        <v>0</v>
      </c>
      <c r="E18" s="205">
        <f t="shared" ref="E18:N18" si="2">SUMIF($B$4:$B$17,"*사업*",E4:E17)</f>
        <v>0</v>
      </c>
      <c r="F18" s="205">
        <f t="shared" si="2"/>
        <v>0</v>
      </c>
      <c r="G18" s="205">
        <f t="shared" si="2"/>
        <v>0</v>
      </c>
      <c r="H18" s="205">
        <f t="shared" si="2"/>
        <v>0</v>
      </c>
      <c r="I18" s="205">
        <f t="shared" si="2"/>
        <v>0</v>
      </c>
      <c r="J18" s="205">
        <f t="shared" si="2"/>
        <v>0</v>
      </c>
      <c r="K18" s="205">
        <f t="shared" si="2"/>
        <v>0</v>
      </c>
      <c r="L18" s="205">
        <f t="shared" si="2"/>
        <v>0</v>
      </c>
      <c r="M18" s="205">
        <f t="shared" si="2"/>
        <v>0</v>
      </c>
      <c r="N18" s="205">
        <f t="shared" si="2"/>
        <v>0</v>
      </c>
      <c r="O18" s="206">
        <f t="shared" ref="O18:O19" si="3">SUM(C18:N18)</f>
        <v>0</v>
      </c>
      <c r="P18" s="207">
        <f>O18/12</f>
        <v>0</v>
      </c>
    </row>
    <row r="19" spans="2:16" ht="24.95" customHeight="1" thickBot="1" x14ac:dyDescent="0.35">
      <c r="B19" s="237" t="s">
        <v>92</v>
      </c>
      <c r="C19" s="238">
        <f>C20-C18</f>
        <v>0</v>
      </c>
      <c r="D19" s="238">
        <f t="shared" ref="D19:N19" si="4">D20-D18</f>
        <v>0</v>
      </c>
      <c r="E19" s="238">
        <f t="shared" si="4"/>
        <v>0</v>
      </c>
      <c r="F19" s="238">
        <f t="shared" si="4"/>
        <v>0</v>
      </c>
      <c r="G19" s="238">
        <f t="shared" si="4"/>
        <v>0</v>
      </c>
      <c r="H19" s="238">
        <f t="shared" si="4"/>
        <v>0</v>
      </c>
      <c r="I19" s="238">
        <f t="shared" si="4"/>
        <v>0</v>
      </c>
      <c r="J19" s="238">
        <f t="shared" si="4"/>
        <v>0</v>
      </c>
      <c r="K19" s="238">
        <f t="shared" si="4"/>
        <v>0</v>
      </c>
      <c r="L19" s="238">
        <f t="shared" si="4"/>
        <v>0</v>
      </c>
      <c r="M19" s="238">
        <f t="shared" si="4"/>
        <v>0</v>
      </c>
      <c r="N19" s="238">
        <f t="shared" si="4"/>
        <v>0</v>
      </c>
      <c r="O19" s="214">
        <f t="shared" si="3"/>
        <v>0</v>
      </c>
      <c r="P19" s="215">
        <f>O19/12</f>
        <v>0</v>
      </c>
    </row>
    <row r="20" spans="2:16" ht="24.95" customHeight="1" thickBot="1" x14ac:dyDescent="0.35">
      <c r="B20" s="239" t="s">
        <v>57</v>
      </c>
      <c r="C20" s="240">
        <f t="shared" ref="C20:N20" si="5">SUM(C4:C11)</f>
        <v>0</v>
      </c>
      <c r="D20" s="241">
        <f t="shared" si="5"/>
        <v>0</v>
      </c>
      <c r="E20" s="241">
        <f t="shared" si="5"/>
        <v>0</v>
      </c>
      <c r="F20" s="241">
        <f t="shared" si="5"/>
        <v>0</v>
      </c>
      <c r="G20" s="241">
        <f t="shared" si="5"/>
        <v>0</v>
      </c>
      <c r="H20" s="241">
        <f t="shared" si="5"/>
        <v>0</v>
      </c>
      <c r="I20" s="241">
        <f t="shared" si="5"/>
        <v>0</v>
      </c>
      <c r="J20" s="241">
        <f t="shared" si="5"/>
        <v>0</v>
      </c>
      <c r="K20" s="241">
        <f t="shared" si="5"/>
        <v>0</v>
      </c>
      <c r="L20" s="241">
        <f t="shared" si="5"/>
        <v>0</v>
      </c>
      <c r="M20" s="241">
        <f t="shared" si="5"/>
        <v>0</v>
      </c>
      <c r="N20" s="236">
        <f t="shared" si="5"/>
        <v>0</v>
      </c>
      <c r="O20" s="242">
        <f>SUM(C20:N20)</f>
        <v>0</v>
      </c>
      <c r="P20" s="243">
        <f>O20/12</f>
        <v>0</v>
      </c>
    </row>
    <row r="21" spans="2:16" ht="24.95" customHeight="1" x14ac:dyDescent="0.3">
      <c r="B21" s="204" t="s">
        <v>93</v>
      </c>
      <c r="C21" s="244" t="str">
        <f t="shared" ref="C21:O21" si="6">IF(C18&gt;0,C18/C20,"")</f>
        <v/>
      </c>
      <c r="D21" s="221" t="str">
        <f t="shared" si="6"/>
        <v/>
      </c>
      <c r="E21" s="221" t="str">
        <f t="shared" si="6"/>
        <v/>
      </c>
      <c r="F21" s="221" t="str">
        <f t="shared" si="6"/>
        <v/>
      </c>
      <c r="G21" s="221" t="str">
        <f t="shared" si="6"/>
        <v/>
      </c>
      <c r="H21" s="221" t="str">
        <f t="shared" si="6"/>
        <v/>
      </c>
      <c r="I21" s="221" t="str">
        <f t="shared" si="6"/>
        <v/>
      </c>
      <c r="J21" s="221" t="str">
        <f t="shared" si="6"/>
        <v/>
      </c>
      <c r="K21" s="221" t="str">
        <f t="shared" si="6"/>
        <v/>
      </c>
      <c r="L21" s="221" t="str">
        <f t="shared" si="6"/>
        <v/>
      </c>
      <c r="M21" s="221" t="str">
        <f t="shared" si="6"/>
        <v/>
      </c>
      <c r="N21" s="179" t="str">
        <f t="shared" si="6"/>
        <v/>
      </c>
      <c r="O21" s="245" t="str">
        <f t="shared" si="6"/>
        <v/>
      </c>
      <c r="P21" s="207"/>
    </row>
    <row r="22" spans="2:16" ht="24.95" customHeight="1" thickBot="1" x14ac:dyDescent="0.35">
      <c r="B22" s="237" t="s">
        <v>94</v>
      </c>
      <c r="C22" s="246" t="str">
        <f t="shared" ref="C22:O22" si="7">IF(C19&gt;0,C19/C20,"")</f>
        <v/>
      </c>
      <c r="D22" s="227" t="str">
        <f t="shared" si="7"/>
        <v/>
      </c>
      <c r="E22" s="227" t="str">
        <f t="shared" si="7"/>
        <v/>
      </c>
      <c r="F22" s="227" t="str">
        <f t="shared" si="7"/>
        <v/>
      </c>
      <c r="G22" s="227" t="str">
        <f t="shared" si="7"/>
        <v/>
      </c>
      <c r="H22" s="227" t="str">
        <f t="shared" si="7"/>
        <v/>
      </c>
      <c r="I22" s="227" t="str">
        <f t="shared" si="7"/>
        <v/>
      </c>
      <c r="J22" s="227" t="str">
        <f t="shared" si="7"/>
        <v/>
      </c>
      <c r="K22" s="227" t="str">
        <f t="shared" si="7"/>
        <v/>
      </c>
      <c r="L22" s="227" t="str">
        <f t="shared" si="7"/>
        <v/>
      </c>
      <c r="M22" s="227" t="str">
        <f t="shared" si="7"/>
        <v/>
      </c>
      <c r="N22" s="181" t="str">
        <f t="shared" si="7"/>
        <v/>
      </c>
      <c r="O22" s="247" t="str">
        <f t="shared" si="7"/>
        <v/>
      </c>
      <c r="P22" s="215"/>
    </row>
    <row r="23" spans="2:16" ht="24.95" customHeight="1" thickBot="1" x14ac:dyDescent="0.35">
      <c r="B23" s="237" t="s">
        <v>4</v>
      </c>
      <c r="C23" s="246">
        <f>SUM(C21:C22)</f>
        <v>0</v>
      </c>
      <c r="D23" s="246">
        <f t="shared" ref="D23:O23" si="8">SUM(D21:D22)</f>
        <v>0</v>
      </c>
      <c r="E23" s="246">
        <f t="shared" si="8"/>
        <v>0</v>
      </c>
      <c r="F23" s="246">
        <f t="shared" si="8"/>
        <v>0</v>
      </c>
      <c r="G23" s="246">
        <f t="shared" si="8"/>
        <v>0</v>
      </c>
      <c r="H23" s="246">
        <f t="shared" si="8"/>
        <v>0</v>
      </c>
      <c r="I23" s="246">
        <f t="shared" si="8"/>
        <v>0</v>
      </c>
      <c r="J23" s="246">
        <f t="shared" si="8"/>
        <v>0</v>
      </c>
      <c r="K23" s="246">
        <f t="shared" si="8"/>
        <v>0</v>
      </c>
      <c r="L23" s="246">
        <f t="shared" si="8"/>
        <v>0</v>
      </c>
      <c r="M23" s="246">
        <f t="shared" si="8"/>
        <v>0</v>
      </c>
      <c r="N23" s="234">
        <f t="shared" si="8"/>
        <v>0</v>
      </c>
      <c r="O23" s="248">
        <f t="shared" si="8"/>
        <v>0</v>
      </c>
      <c r="P23" s="249"/>
    </row>
    <row r="24" spans="2:16" ht="16.5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ht="16.5" customHeight="1" x14ac:dyDescent="0.3">
      <c r="B25" s="18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ht="16.5" customHeight="1" x14ac:dyDescent="0.3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183"/>
      <c r="P26" s="183"/>
    </row>
    <row r="27" spans="2:16" ht="16.5" customHeight="1" x14ac:dyDescent="0.3">
      <c r="B27" s="47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59"/>
      <c r="P27" s="459"/>
    </row>
    <row r="28" spans="2:16" ht="16.5" customHeight="1" x14ac:dyDescent="0.3">
      <c r="B28" s="47"/>
      <c r="C28" s="430"/>
      <c r="D28" s="430"/>
      <c r="E28" s="430"/>
      <c r="F28" s="430"/>
      <c r="G28" s="430"/>
      <c r="H28" s="430"/>
      <c r="I28" s="430"/>
      <c r="J28" s="430"/>
      <c r="K28" s="430"/>
      <c r="L28" s="430"/>
      <c r="M28" s="430"/>
      <c r="N28" s="430"/>
      <c r="O28" s="459"/>
      <c r="P28" s="459"/>
    </row>
    <row r="29" spans="2:16" ht="16.5" customHeight="1" x14ac:dyDescent="0.3">
      <c r="B29" s="47"/>
      <c r="C29" s="430"/>
      <c r="D29" s="430"/>
      <c r="E29" s="430"/>
      <c r="F29" s="430"/>
      <c r="G29" s="430"/>
      <c r="H29" s="430"/>
      <c r="I29" s="430"/>
      <c r="J29" s="430"/>
      <c r="K29" s="430"/>
      <c r="L29" s="430"/>
      <c r="M29" s="430"/>
      <c r="N29" s="430"/>
      <c r="O29" s="459"/>
      <c r="P29" s="459"/>
    </row>
    <row r="30" spans="2:16" ht="16.5" customHeight="1" x14ac:dyDescent="0.3">
      <c r="B30" s="47"/>
      <c r="C30" s="430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30"/>
      <c r="O30" s="459"/>
      <c r="P30" s="459"/>
    </row>
    <row r="31" spans="2:16" ht="16.5" customHeight="1" x14ac:dyDescent="0.3">
      <c r="B31" s="47"/>
      <c r="C31" s="430"/>
      <c r="D31" s="430"/>
      <c r="E31" s="430"/>
      <c r="F31" s="430"/>
      <c r="G31" s="430"/>
      <c r="H31" s="430"/>
      <c r="I31" s="430"/>
      <c r="J31" s="430"/>
      <c r="K31" s="430"/>
      <c r="L31" s="430"/>
      <c r="M31" s="430"/>
      <c r="N31" s="430"/>
      <c r="O31" s="459"/>
      <c r="P31" s="459"/>
    </row>
    <row r="32" spans="2:16" ht="16.5" customHeight="1" x14ac:dyDescent="0.3">
      <c r="B32" s="47"/>
      <c r="C32" s="430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30"/>
      <c r="O32" s="459"/>
      <c r="P32" s="459"/>
    </row>
    <row r="33" spans="2:16" ht="16.5" customHeight="1" x14ac:dyDescent="0.3">
      <c r="B33" s="47"/>
      <c r="C33" s="430"/>
      <c r="D33" s="430"/>
      <c r="E33" s="430"/>
      <c r="F33" s="430"/>
      <c r="G33" s="430"/>
      <c r="H33" s="430"/>
      <c r="I33" s="430"/>
      <c r="J33" s="430"/>
      <c r="K33" s="430"/>
      <c r="L33" s="430"/>
      <c r="M33" s="430"/>
      <c r="N33" s="430"/>
      <c r="O33" s="459"/>
      <c r="P33" s="459"/>
    </row>
    <row r="34" spans="2:16" ht="16.5" customHeight="1" x14ac:dyDescent="0.3">
      <c r="B34" s="47"/>
      <c r="C34" s="430"/>
      <c r="D34" s="430"/>
      <c r="E34" s="430"/>
      <c r="F34" s="430"/>
      <c r="G34" s="430"/>
      <c r="H34" s="430"/>
      <c r="I34" s="430"/>
      <c r="J34" s="430"/>
      <c r="K34" s="430"/>
      <c r="L34" s="430"/>
      <c r="M34" s="430"/>
      <c r="N34" s="430"/>
      <c r="O34" s="459"/>
      <c r="P34" s="459"/>
    </row>
    <row r="35" spans="2:16" ht="16.5" customHeight="1" x14ac:dyDescent="0.3">
      <c r="B35" s="47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6"/>
      <c r="P35" s="376"/>
    </row>
    <row r="36" spans="2:16" ht="16.5" customHeight="1" x14ac:dyDescent="0.3">
      <c r="B36" s="183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7"/>
    </row>
    <row r="37" spans="2:16" ht="16.5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ht="16.5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ht="16.5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ht="16.5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2:16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2:16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7"/>
    <pageSetUpPr autoPageBreaks="0" fitToPage="1"/>
  </sheetPr>
  <dimension ref="A1:R32"/>
  <sheetViews>
    <sheetView showGridLines="0" zoomScaleNormal="100" workbookViewId="0">
      <selection activeCell="T15" sqref="T15"/>
    </sheetView>
  </sheetViews>
  <sheetFormatPr defaultRowHeight="16.5" x14ac:dyDescent="0.3"/>
  <cols>
    <col min="1" max="1" width="4.625" customWidth="1"/>
    <col min="2" max="2" width="12.625" customWidth="1"/>
    <col min="3" max="16" width="10.625" customWidth="1"/>
    <col min="17" max="17" width="4.625" customWidth="1"/>
    <col min="18" max="18" width="10.875" bestFit="1" customWidth="1"/>
  </cols>
  <sheetData>
    <row r="1" spans="1:17" ht="40.5" customHeight="1" x14ac:dyDescent="0.3">
      <c r="A1" s="10"/>
      <c r="B1" s="543" t="s">
        <v>141</v>
      </c>
      <c r="C1" s="54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7.25" thickBot="1" x14ac:dyDescent="0.35"/>
    <row r="3" spans="1:17" ht="30" customHeight="1" thickBot="1" x14ac:dyDescent="0.35">
      <c r="B3" s="142"/>
      <c r="C3" s="29" t="s">
        <v>28</v>
      </c>
      <c r="D3" s="30" t="s">
        <v>31</v>
      </c>
      <c r="E3" s="30" t="s">
        <v>32</v>
      </c>
      <c r="F3" s="30" t="s">
        <v>33</v>
      </c>
      <c r="G3" s="30" t="s">
        <v>34</v>
      </c>
      <c r="H3" s="30" t="s">
        <v>35</v>
      </c>
      <c r="I3" s="30" t="s">
        <v>36</v>
      </c>
      <c r="J3" s="30" t="s">
        <v>37</v>
      </c>
      <c r="K3" s="30" t="s">
        <v>38</v>
      </c>
      <c r="L3" s="30" t="s">
        <v>39</v>
      </c>
      <c r="M3" s="30" t="s">
        <v>40</v>
      </c>
      <c r="N3" s="31" t="s">
        <v>41</v>
      </c>
      <c r="O3" s="199" t="s">
        <v>4</v>
      </c>
      <c r="P3" s="170" t="s">
        <v>42</v>
      </c>
    </row>
    <row r="4" spans="1:17" ht="18" customHeight="1" x14ac:dyDescent="0.3">
      <c r="B4" s="143" t="str">
        <f>IF(항목!B4="","",항목!B4)</f>
        <v>현금</v>
      </c>
      <c r="C4" s="200">
        <f>SUMIF('1월'!$K$58:$K$165,연간_카드별지출!$B4,'1월'!$T$58:$T$165)</f>
        <v>0</v>
      </c>
      <c r="D4" s="200">
        <f>SUMIF('2월'!$K$58:$K$145,연간_카드별지출!$B4,'2월'!$T$58:$T$145)</f>
        <v>0</v>
      </c>
      <c r="E4" s="200">
        <f>SUMIF('3월'!$K$58:$K$145,연간_카드별지출!$B4,'3월'!$R$58:$R$145)</f>
        <v>0</v>
      </c>
      <c r="F4" s="200">
        <f>SUMIF('4월'!$K$58:$K$145,연간_카드별지출!$B4,'4월'!$R$58:$R$145)</f>
        <v>0</v>
      </c>
      <c r="G4" s="200">
        <f>SUMIF('5월'!$K$58:$K$145,연간_카드별지출!$B4,'5월'!$R$58:$R$145)</f>
        <v>0</v>
      </c>
      <c r="H4" s="200">
        <f>SUMIF('6월'!$K$58:$K$145,연간_카드별지출!$B4,'6월'!$R$58:$R$145)</f>
        <v>0</v>
      </c>
      <c r="I4" s="200">
        <f>SUMIF('7월'!$K$58:$K$145,연간_카드별지출!$B4,'7월'!$R$58:$R$145)</f>
        <v>0</v>
      </c>
      <c r="J4" s="200">
        <f>SUMIF('8월'!$K$58:$K$145,연간_카드별지출!$B4,'8월'!$R$58:$R$145)</f>
        <v>0</v>
      </c>
      <c r="K4" s="200">
        <f>SUMIF('9월'!$K$58:$K$145,연간_카드별지출!$B4,'9월'!$R$58:$R$145)</f>
        <v>0</v>
      </c>
      <c r="L4" s="200">
        <f>SUMIF('10월'!$K$58:$K$145,연간_카드별지출!$B4,'10월'!$R$58:$R$145)</f>
        <v>0</v>
      </c>
      <c r="M4" s="200">
        <f>SUMIF('11월'!$K$58:$K$145,연간_카드별지출!$B4,'11월'!$R$58:$R$145)</f>
        <v>0</v>
      </c>
      <c r="N4" s="200">
        <f>SUMIF('12월'!$K$58:$K$145,연간_카드별지출!$B4,'12월'!$R$58:$R$145)</f>
        <v>0</v>
      </c>
      <c r="O4" s="201">
        <f>SUM(C4:N4)</f>
        <v>0</v>
      </c>
      <c r="P4" s="202">
        <f>O4/12</f>
        <v>0</v>
      </c>
    </row>
    <row r="5" spans="1:17" ht="18" customHeight="1" x14ac:dyDescent="0.3">
      <c r="B5" s="143" t="str">
        <f>IF(항목!B5="","",항목!B5)</f>
        <v>계좌이체</v>
      </c>
      <c r="C5" s="200">
        <f>SUMIF('1월'!$K$58:$K$165,연간_카드별지출!$B5,'1월'!$T$58:$T$165)</f>
        <v>0</v>
      </c>
      <c r="D5" s="200">
        <f>SUMIF('2월'!$K$58:$K$145,연간_카드별지출!$B5,'2월'!$T$58:$T$145)</f>
        <v>0</v>
      </c>
      <c r="E5" s="200">
        <f>SUMIF('3월'!$K$58:$K$145,연간_카드별지출!$B5,'3월'!$R$58:$R$145)</f>
        <v>0</v>
      </c>
      <c r="F5" s="200">
        <f>SUMIF('4월'!$K$58:$K$145,연간_카드별지출!$B5,'4월'!$R$58:$R$145)</f>
        <v>0</v>
      </c>
      <c r="G5" s="200">
        <f>SUMIF('5월'!$K$58:$K$145,연간_카드별지출!$B5,'5월'!$R$58:$R$145)</f>
        <v>0</v>
      </c>
      <c r="H5" s="200">
        <f>SUMIF('6월'!$K$58:$K$145,연간_카드별지출!$B5,'6월'!$R$58:$R$145)</f>
        <v>0</v>
      </c>
      <c r="I5" s="200">
        <f>SUMIF('7월'!$K$58:$K$145,연간_카드별지출!$B5,'7월'!$R$58:$R$145)</f>
        <v>0</v>
      </c>
      <c r="J5" s="200">
        <f>SUMIF('8월'!$K$58:$K$145,연간_카드별지출!$B5,'8월'!$R$58:$R$145)</f>
        <v>0</v>
      </c>
      <c r="K5" s="200">
        <f>SUMIF('9월'!$K$58:$K$145,연간_카드별지출!$B5,'9월'!$R$58:$R$145)</f>
        <v>0</v>
      </c>
      <c r="L5" s="200">
        <f>SUMIF('10월'!$K$58:$K$145,연간_카드별지출!$B5,'10월'!$R$58:$R$145)</f>
        <v>0</v>
      </c>
      <c r="M5" s="200">
        <f>SUMIF('11월'!$K$58:$K$145,연간_카드별지출!$B5,'11월'!$R$58:$R$145)</f>
        <v>0</v>
      </c>
      <c r="N5" s="200">
        <f>SUMIF('12월'!$K$58:$K$145,연간_카드별지출!$B5,'12월'!$R$58:$R$145)</f>
        <v>0</v>
      </c>
      <c r="O5" s="201">
        <f t="shared" ref="O5:O19" si="0">SUM(C5:N5)</f>
        <v>0</v>
      </c>
      <c r="P5" s="202">
        <f t="shared" ref="P5:P19" si="1">O5/12</f>
        <v>0</v>
      </c>
    </row>
    <row r="6" spans="1:17" ht="18" customHeight="1" x14ac:dyDescent="0.3">
      <c r="B6" s="143" t="str">
        <f>IF(항목!B6="","",항목!B6)</f>
        <v>신용카드</v>
      </c>
      <c r="C6" s="200">
        <f>SUMIF('1월'!$K$58:$K$165,연간_카드별지출!$B6,'1월'!$T$58:$T$165)</f>
        <v>0</v>
      </c>
      <c r="D6" s="200">
        <f>SUMIF('2월'!$K$58:$K$145,연간_카드별지출!$B6,'2월'!$T$58:$T$145)</f>
        <v>0</v>
      </c>
      <c r="E6" s="200">
        <f>SUMIF('3월'!$K$58:$K$145,연간_카드별지출!$B6,'3월'!$R$58:$R$145)</f>
        <v>0</v>
      </c>
      <c r="F6" s="200">
        <f>SUMIF('4월'!$K$58:$K$145,연간_카드별지출!$B6,'4월'!$R$58:$R$145)</f>
        <v>0</v>
      </c>
      <c r="G6" s="200">
        <f>SUMIF('5월'!$K$58:$K$145,연간_카드별지출!$B6,'5월'!$R$58:$R$145)</f>
        <v>0</v>
      </c>
      <c r="H6" s="200">
        <f>SUMIF('6월'!$K$58:$K$145,연간_카드별지출!$B6,'6월'!$R$58:$R$145)</f>
        <v>0</v>
      </c>
      <c r="I6" s="200">
        <f>SUMIF('7월'!$K$58:$K$145,연간_카드별지출!$B6,'7월'!$R$58:$R$145)</f>
        <v>0</v>
      </c>
      <c r="J6" s="200">
        <f>SUMIF('8월'!$K$58:$K$145,연간_카드별지출!$B6,'8월'!$R$58:$R$145)</f>
        <v>0</v>
      </c>
      <c r="K6" s="200">
        <f>SUMIF('9월'!$K$58:$K$145,연간_카드별지출!$B6,'9월'!$R$58:$R$145)</f>
        <v>0</v>
      </c>
      <c r="L6" s="200">
        <f>SUMIF('10월'!$K$58:$K$145,연간_카드별지출!$B6,'10월'!$R$58:$R$145)</f>
        <v>0</v>
      </c>
      <c r="M6" s="200">
        <f>SUMIF('11월'!$K$58:$K$145,연간_카드별지출!$B6,'11월'!$R$58:$R$145)</f>
        <v>0</v>
      </c>
      <c r="N6" s="200">
        <f>SUMIF('12월'!$K$58:$K$145,연간_카드별지출!$B6,'12월'!$R$58:$R$145)</f>
        <v>0</v>
      </c>
      <c r="O6" s="201">
        <f t="shared" si="0"/>
        <v>0</v>
      </c>
      <c r="P6" s="202">
        <f t="shared" si="1"/>
        <v>0</v>
      </c>
    </row>
    <row r="7" spans="1:17" ht="18" customHeight="1" x14ac:dyDescent="0.3">
      <c r="B7" s="143" t="str">
        <f>IF(항목!B7="","",항목!B7)</f>
        <v>체크카드</v>
      </c>
      <c r="C7" s="200">
        <f>SUMIF('1월'!$K$58:$K$165,연간_카드별지출!$B7,'1월'!$T$58:$T$165)</f>
        <v>0</v>
      </c>
      <c r="D7" s="200">
        <f>SUMIF('2월'!$K$58:$K$145,연간_카드별지출!$B7,'2월'!$T$58:$T$145)</f>
        <v>0</v>
      </c>
      <c r="E7" s="200">
        <f>SUMIF('3월'!$K$58:$K$145,연간_카드별지출!$B7,'3월'!$R$58:$R$145)</f>
        <v>0</v>
      </c>
      <c r="F7" s="200">
        <f>SUMIF('4월'!$K$58:$K$145,연간_카드별지출!$B7,'4월'!$R$58:$R$145)</f>
        <v>0</v>
      </c>
      <c r="G7" s="200">
        <f>SUMIF('5월'!$K$58:$K$145,연간_카드별지출!$B7,'5월'!$R$58:$R$145)</f>
        <v>0</v>
      </c>
      <c r="H7" s="200">
        <f>SUMIF('6월'!$K$58:$K$145,연간_카드별지출!$B7,'6월'!$R$58:$R$145)</f>
        <v>0</v>
      </c>
      <c r="I7" s="200">
        <f>SUMIF('7월'!$K$58:$K$145,연간_카드별지출!$B7,'7월'!$R$58:$R$145)</f>
        <v>0</v>
      </c>
      <c r="J7" s="200">
        <f>SUMIF('8월'!$K$58:$K$145,연간_카드별지출!$B7,'8월'!$R$58:$R$145)</f>
        <v>0</v>
      </c>
      <c r="K7" s="200">
        <f>SUMIF('9월'!$K$58:$K$145,연간_카드별지출!$B7,'9월'!$R$58:$R$145)</f>
        <v>0</v>
      </c>
      <c r="L7" s="200">
        <f>SUMIF('10월'!$K$58:$K$145,연간_카드별지출!$B7,'10월'!$R$58:$R$145)</f>
        <v>0</v>
      </c>
      <c r="M7" s="200">
        <f>SUMIF('11월'!$K$58:$K$145,연간_카드별지출!$B7,'11월'!$R$58:$R$145)</f>
        <v>0</v>
      </c>
      <c r="N7" s="200">
        <f>SUMIF('12월'!$K$58:$K$145,연간_카드별지출!$B7,'12월'!$R$58:$R$145)</f>
        <v>0</v>
      </c>
      <c r="O7" s="201">
        <f t="shared" si="0"/>
        <v>0</v>
      </c>
      <c r="P7" s="202">
        <f t="shared" si="1"/>
        <v>0</v>
      </c>
    </row>
    <row r="8" spans="1:17" ht="18" customHeight="1" x14ac:dyDescent="0.3">
      <c r="B8" s="143" t="str">
        <f>IF(항목!B8="","",항목!B8)</f>
        <v/>
      </c>
      <c r="C8" s="200">
        <f>SUMIF('1월'!$K$58:$K$165,연간_카드별지출!$B8,'1월'!$T$58:$T$165)</f>
        <v>0</v>
      </c>
      <c r="D8" s="200">
        <f>SUMIF('2월'!$K$58:$K$145,연간_카드별지출!$B8,'2월'!$T$58:$T$145)</f>
        <v>0</v>
      </c>
      <c r="E8" s="200">
        <f>SUMIF('3월'!$K$58:$K$145,연간_카드별지출!$B8,'3월'!$R$58:$R$145)</f>
        <v>0</v>
      </c>
      <c r="F8" s="200">
        <f>SUMIF('4월'!$K$58:$K$145,연간_카드별지출!$B8,'4월'!$R$58:$R$145)</f>
        <v>0</v>
      </c>
      <c r="G8" s="200">
        <f>SUMIF('5월'!$K$58:$K$145,연간_카드별지출!$B8,'5월'!$R$58:$R$145)</f>
        <v>0</v>
      </c>
      <c r="H8" s="200">
        <f>SUMIF('6월'!$K$58:$K$145,연간_카드별지출!$B8,'6월'!$R$58:$R$145)</f>
        <v>0</v>
      </c>
      <c r="I8" s="200">
        <f>SUMIF('7월'!$K$58:$K$145,연간_카드별지출!$B8,'7월'!$R$58:$R$145)</f>
        <v>0</v>
      </c>
      <c r="J8" s="200">
        <f>SUMIF('8월'!$K$58:$K$145,연간_카드별지출!$B8,'8월'!$R$58:$R$145)</f>
        <v>0</v>
      </c>
      <c r="K8" s="200">
        <f>SUMIF('9월'!$K$58:$K$145,연간_카드별지출!$B8,'9월'!$R$58:$R$145)</f>
        <v>0</v>
      </c>
      <c r="L8" s="200">
        <f>SUMIF('10월'!$K$58:$K$145,연간_카드별지출!$B8,'10월'!$R$58:$R$145)</f>
        <v>0</v>
      </c>
      <c r="M8" s="200">
        <f>SUMIF('11월'!$K$58:$K$145,연간_카드별지출!$B8,'11월'!$R$58:$R$145)</f>
        <v>0</v>
      </c>
      <c r="N8" s="200">
        <f>SUMIF('12월'!$K$58:$K$145,연간_카드별지출!$B8,'12월'!$R$58:$R$145)</f>
        <v>0</v>
      </c>
      <c r="O8" s="201">
        <f t="shared" si="0"/>
        <v>0</v>
      </c>
      <c r="P8" s="202">
        <f t="shared" si="1"/>
        <v>0</v>
      </c>
    </row>
    <row r="9" spans="1:17" ht="18" customHeight="1" x14ac:dyDescent="0.3">
      <c r="B9" s="143" t="str">
        <f>IF(항목!B9="","",항목!B9)</f>
        <v/>
      </c>
      <c r="C9" s="200">
        <f>SUMIF('1월'!$K$58:$K$165,연간_카드별지출!$B9,'1월'!$T$58:$T$165)</f>
        <v>0</v>
      </c>
      <c r="D9" s="200">
        <f>SUMIF('2월'!$K$58:$K$145,연간_카드별지출!$B9,'2월'!$T$58:$T$145)</f>
        <v>0</v>
      </c>
      <c r="E9" s="200">
        <f>SUMIF('3월'!$K$58:$K$145,연간_카드별지출!$B9,'3월'!$R$58:$R$145)</f>
        <v>0</v>
      </c>
      <c r="F9" s="200">
        <f>SUMIF('4월'!$K$58:$K$145,연간_카드별지출!$B9,'4월'!$R$58:$R$145)</f>
        <v>0</v>
      </c>
      <c r="G9" s="200">
        <f>SUMIF('5월'!$K$58:$K$145,연간_카드별지출!$B9,'5월'!$R$58:$R$145)</f>
        <v>0</v>
      </c>
      <c r="H9" s="200">
        <f>SUMIF('6월'!$K$58:$K$145,연간_카드별지출!$B9,'6월'!$R$58:$R$145)</f>
        <v>0</v>
      </c>
      <c r="I9" s="200">
        <f>SUMIF('7월'!$K$58:$K$145,연간_카드별지출!$B9,'7월'!$R$58:$R$145)</f>
        <v>0</v>
      </c>
      <c r="J9" s="200">
        <f>SUMIF('8월'!$K$58:$K$145,연간_카드별지출!$B9,'8월'!$R$58:$R$145)</f>
        <v>0</v>
      </c>
      <c r="K9" s="200">
        <f>SUMIF('9월'!$K$58:$K$145,연간_카드별지출!$B9,'9월'!$R$58:$R$145)</f>
        <v>0</v>
      </c>
      <c r="L9" s="200">
        <f>SUMIF('10월'!$K$58:$K$145,연간_카드별지출!$B9,'10월'!$R$58:$R$145)</f>
        <v>0</v>
      </c>
      <c r="M9" s="200">
        <f>SUMIF('11월'!$K$58:$K$145,연간_카드별지출!$B9,'11월'!$R$58:$R$145)</f>
        <v>0</v>
      </c>
      <c r="N9" s="200">
        <f>SUMIF('12월'!$K$58:$K$145,연간_카드별지출!$B9,'12월'!$R$58:$R$145)</f>
        <v>0</v>
      </c>
      <c r="O9" s="201">
        <f t="shared" si="0"/>
        <v>0</v>
      </c>
      <c r="P9" s="202">
        <f t="shared" si="1"/>
        <v>0</v>
      </c>
    </row>
    <row r="10" spans="1:17" ht="18" customHeight="1" x14ac:dyDescent="0.3">
      <c r="B10" s="143" t="str">
        <f>IF(항목!B10="","",항목!B10)</f>
        <v/>
      </c>
      <c r="C10" s="200">
        <f>SUMIF('1월'!$K$58:$K$165,연간_카드별지출!$B10,'1월'!$T$58:$T$165)</f>
        <v>0</v>
      </c>
      <c r="D10" s="200">
        <f>SUMIF('2월'!$K$58:$K$145,연간_카드별지출!$B10,'2월'!$T$58:$T$145)</f>
        <v>0</v>
      </c>
      <c r="E10" s="200">
        <f>SUMIF('3월'!$K$58:$K$145,연간_카드별지출!$B10,'3월'!$R$58:$R$145)</f>
        <v>0</v>
      </c>
      <c r="F10" s="200">
        <f>SUMIF('4월'!$K$58:$K$145,연간_카드별지출!$B10,'4월'!$R$58:$R$145)</f>
        <v>0</v>
      </c>
      <c r="G10" s="200">
        <f>SUMIF('5월'!$K$58:$K$145,연간_카드별지출!$B10,'5월'!$R$58:$R$145)</f>
        <v>0</v>
      </c>
      <c r="H10" s="200">
        <f>SUMIF('6월'!$K$58:$K$145,연간_카드별지출!$B10,'6월'!$R$58:$R$145)</f>
        <v>0</v>
      </c>
      <c r="I10" s="200">
        <f>SUMIF('7월'!$K$58:$K$145,연간_카드별지출!$B10,'7월'!$R$58:$R$145)</f>
        <v>0</v>
      </c>
      <c r="J10" s="200">
        <f>SUMIF('8월'!$K$58:$K$145,연간_카드별지출!$B10,'8월'!$R$58:$R$145)</f>
        <v>0</v>
      </c>
      <c r="K10" s="200">
        <f>SUMIF('9월'!$K$58:$K$145,연간_카드별지출!$B10,'9월'!$R$58:$R$145)</f>
        <v>0</v>
      </c>
      <c r="L10" s="200">
        <f>SUMIF('10월'!$K$58:$K$145,연간_카드별지출!$B10,'10월'!$R$58:$R$145)</f>
        <v>0</v>
      </c>
      <c r="M10" s="200">
        <f>SUMIF('11월'!$K$58:$K$145,연간_카드별지출!$B10,'11월'!$R$58:$R$145)</f>
        <v>0</v>
      </c>
      <c r="N10" s="200">
        <f>SUMIF('12월'!$K$58:$K$145,연간_카드별지출!$B10,'12월'!$R$58:$R$145)</f>
        <v>0</v>
      </c>
      <c r="O10" s="201">
        <f t="shared" si="0"/>
        <v>0</v>
      </c>
      <c r="P10" s="202">
        <f t="shared" si="1"/>
        <v>0</v>
      </c>
    </row>
    <row r="11" spans="1:17" ht="18" customHeight="1" x14ac:dyDescent="0.3">
      <c r="B11" s="143" t="str">
        <f>IF(항목!B11="","",항목!B11)</f>
        <v/>
      </c>
      <c r="C11" s="200">
        <f>SUMIF('1월'!$K$58:$K$165,연간_카드별지출!$B11,'1월'!$T$58:$T$165)</f>
        <v>0</v>
      </c>
      <c r="D11" s="200">
        <f>SUMIF('2월'!$K$58:$K$145,연간_카드별지출!$B11,'2월'!$T$58:$T$145)</f>
        <v>0</v>
      </c>
      <c r="E11" s="200">
        <f>SUMIF('3월'!$K$58:$K$145,연간_카드별지출!$B11,'3월'!$R$58:$R$145)</f>
        <v>0</v>
      </c>
      <c r="F11" s="200">
        <f>SUMIF('4월'!$K$58:$K$145,연간_카드별지출!$B11,'4월'!$R$58:$R$145)</f>
        <v>0</v>
      </c>
      <c r="G11" s="200">
        <f>SUMIF('5월'!$K$58:$K$145,연간_카드별지출!$B11,'5월'!$R$58:$R$145)</f>
        <v>0</v>
      </c>
      <c r="H11" s="200">
        <f>SUMIF('6월'!$K$58:$K$145,연간_카드별지출!$B11,'6월'!$R$58:$R$145)</f>
        <v>0</v>
      </c>
      <c r="I11" s="200">
        <f>SUMIF('7월'!$K$58:$K$145,연간_카드별지출!$B11,'7월'!$R$58:$R$145)</f>
        <v>0</v>
      </c>
      <c r="J11" s="200">
        <f>SUMIF('8월'!$K$58:$K$145,연간_카드별지출!$B11,'8월'!$R$58:$R$145)</f>
        <v>0</v>
      </c>
      <c r="K11" s="200">
        <f>SUMIF('9월'!$K$58:$K$145,연간_카드별지출!$B11,'9월'!$R$58:$R$145)</f>
        <v>0</v>
      </c>
      <c r="L11" s="200">
        <f>SUMIF('10월'!$K$58:$K$145,연간_카드별지출!$B11,'10월'!$R$58:$R$145)</f>
        <v>0</v>
      </c>
      <c r="M11" s="200">
        <f>SUMIF('11월'!$K$58:$K$145,연간_카드별지출!$B11,'11월'!$R$58:$R$145)</f>
        <v>0</v>
      </c>
      <c r="N11" s="200">
        <f>SUMIF('12월'!$K$58:$K$145,연간_카드별지출!$B11,'12월'!$R$58:$R$145)</f>
        <v>0</v>
      </c>
      <c r="O11" s="201">
        <f t="shared" si="0"/>
        <v>0</v>
      </c>
      <c r="P11" s="202">
        <f t="shared" si="1"/>
        <v>0</v>
      </c>
    </row>
    <row r="12" spans="1:17" ht="18" customHeight="1" x14ac:dyDescent="0.3">
      <c r="B12" s="143" t="str">
        <f>IF(항목!B12="","",항목!B12)</f>
        <v/>
      </c>
      <c r="C12" s="200">
        <f>SUMIF('1월'!$K$58:$K$165,연간_카드별지출!$B12,'1월'!$T$58:$T$165)</f>
        <v>0</v>
      </c>
      <c r="D12" s="200">
        <f>SUMIF('2월'!$K$58:$K$145,연간_카드별지출!$B12,'2월'!$T$58:$T$145)</f>
        <v>0</v>
      </c>
      <c r="E12" s="200">
        <f>SUMIF('3월'!$K$58:$K$145,연간_카드별지출!$B12,'3월'!$R$58:$R$145)</f>
        <v>0</v>
      </c>
      <c r="F12" s="200">
        <f>SUMIF('4월'!$K$58:$K$145,연간_카드별지출!$B12,'4월'!$R$58:$R$145)</f>
        <v>0</v>
      </c>
      <c r="G12" s="200">
        <f>SUMIF('5월'!$K$58:$K$145,연간_카드별지출!$B12,'5월'!$R$58:$R$145)</f>
        <v>0</v>
      </c>
      <c r="H12" s="200">
        <f>SUMIF('6월'!$K$58:$K$145,연간_카드별지출!$B12,'6월'!$R$58:$R$145)</f>
        <v>0</v>
      </c>
      <c r="I12" s="200">
        <f>SUMIF('7월'!$K$58:$K$145,연간_카드별지출!$B12,'7월'!$R$58:$R$145)</f>
        <v>0</v>
      </c>
      <c r="J12" s="200">
        <f>SUMIF('8월'!$K$58:$K$145,연간_카드별지출!$B12,'8월'!$R$58:$R$145)</f>
        <v>0</v>
      </c>
      <c r="K12" s="200">
        <f>SUMIF('9월'!$K$58:$K$145,연간_카드별지출!$B12,'9월'!$R$58:$R$145)</f>
        <v>0</v>
      </c>
      <c r="L12" s="200">
        <f>SUMIF('10월'!$K$58:$K$145,연간_카드별지출!$B12,'10월'!$R$58:$R$145)</f>
        <v>0</v>
      </c>
      <c r="M12" s="200">
        <f>SUMIF('11월'!$K$58:$K$145,연간_카드별지출!$B12,'11월'!$R$58:$R$145)</f>
        <v>0</v>
      </c>
      <c r="N12" s="200">
        <f>SUMIF('12월'!$K$58:$K$145,연간_카드별지출!$B12,'12월'!$R$58:$R$145)</f>
        <v>0</v>
      </c>
      <c r="O12" s="201">
        <f t="shared" si="0"/>
        <v>0</v>
      </c>
      <c r="P12" s="202">
        <f t="shared" si="1"/>
        <v>0</v>
      </c>
    </row>
    <row r="13" spans="1:17" ht="18" customHeight="1" x14ac:dyDescent="0.3">
      <c r="B13" s="143" t="str">
        <f>IF(항목!B13="","",항목!B13)</f>
        <v/>
      </c>
      <c r="C13" s="200">
        <f>SUMIF('1월'!$K$58:$K$165,연간_카드별지출!$B13,'1월'!$T$58:$T$165)</f>
        <v>0</v>
      </c>
      <c r="D13" s="200">
        <f>SUMIF('2월'!$K$58:$K$145,연간_카드별지출!$B13,'2월'!$T$58:$T$145)</f>
        <v>0</v>
      </c>
      <c r="E13" s="200">
        <f>SUMIF('3월'!$K$58:$K$145,연간_카드별지출!$B13,'3월'!$R$58:$R$145)</f>
        <v>0</v>
      </c>
      <c r="F13" s="200">
        <f>SUMIF('4월'!$K$58:$K$145,연간_카드별지출!$B13,'4월'!$R$58:$R$145)</f>
        <v>0</v>
      </c>
      <c r="G13" s="200">
        <f>SUMIF('5월'!$K$58:$K$145,연간_카드별지출!$B13,'5월'!$R$58:$R$145)</f>
        <v>0</v>
      </c>
      <c r="H13" s="200">
        <f>SUMIF('6월'!$K$58:$K$145,연간_카드별지출!$B13,'6월'!$R$58:$R$145)</f>
        <v>0</v>
      </c>
      <c r="I13" s="200">
        <f>SUMIF('7월'!$K$58:$K$145,연간_카드별지출!$B13,'7월'!$R$58:$R$145)</f>
        <v>0</v>
      </c>
      <c r="J13" s="200">
        <f>SUMIF('8월'!$K$58:$K$145,연간_카드별지출!$B13,'8월'!$R$58:$R$145)</f>
        <v>0</v>
      </c>
      <c r="K13" s="200">
        <f>SUMIF('9월'!$K$58:$K$145,연간_카드별지출!$B13,'9월'!$R$58:$R$145)</f>
        <v>0</v>
      </c>
      <c r="L13" s="200">
        <f>SUMIF('10월'!$K$58:$K$145,연간_카드별지출!$B13,'10월'!$R$58:$R$145)</f>
        <v>0</v>
      </c>
      <c r="M13" s="200">
        <f>SUMIF('11월'!$K$58:$K$145,연간_카드별지출!$B13,'11월'!$R$58:$R$145)</f>
        <v>0</v>
      </c>
      <c r="N13" s="200">
        <f>SUMIF('12월'!$K$58:$K$145,연간_카드별지출!$B13,'12월'!$R$58:$R$145)</f>
        <v>0</v>
      </c>
      <c r="O13" s="201">
        <f t="shared" si="0"/>
        <v>0</v>
      </c>
      <c r="P13" s="202">
        <f t="shared" si="1"/>
        <v>0</v>
      </c>
    </row>
    <row r="14" spans="1:17" ht="18" customHeight="1" x14ac:dyDescent="0.3">
      <c r="B14" s="143" t="str">
        <f>IF(항목!B14="","",항목!B14)</f>
        <v/>
      </c>
      <c r="C14" s="200">
        <f>SUMIF('1월'!$K$58:$K$165,연간_카드별지출!$B14,'1월'!$T$58:$T$165)</f>
        <v>0</v>
      </c>
      <c r="D14" s="200">
        <f>SUMIF('2월'!$K$58:$K$145,연간_카드별지출!$B14,'2월'!$T$58:$T$145)</f>
        <v>0</v>
      </c>
      <c r="E14" s="200">
        <f>SUMIF('3월'!$K$58:$K$145,연간_카드별지출!$B14,'3월'!$R$58:$R$145)</f>
        <v>0</v>
      </c>
      <c r="F14" s="200">
        <f>SUMIF('4월'!$K$58:$K$145,연간_카드별지출!$B14,'4월'!$R$58:$R$145)</f>
        <v>0</v>
      </c>
      <c r="G14" s="200">
        <f>SUMIF('5월'!$K$58:$K$145,연간_카드별지출!$B14,'5월'!$R$58:$R$145)</f>
        <v>0</v>
      </c>
      <c r="H14" s="200">
        <f>SUMIF('6월'!$K$58:$K$145,연간_카드별지출!$B14,'6월'!$R$58:$R$145)</f>
        <v>0</v>
      </c>
      <c r="I14" s="200">
        <f>SUMIF('7월'!$K$58:$K$145,연간_카드별지출!$B14,'7월'!$R$58:$R$145)</f>
        <v>0</v>
      </c>
      <c r="J14" s="200">
        <f>SUMIF('8월'!$K$58:$K$145,연간_카드별지출!$B14,'8월'!$R$58:$R$145)</f>
        <v>0</v>
      </c>
      <c r="K14" s="200">
        <f>SUMIF('9월'!$K$58:$K$145,연간_카드별지출!$B14,'9월'!$R$58:$R$145)</f>
        <v>0</v>
      </c>
      <c r="L14" s="200">
        <f>SUMIF('10월'!$K$58:$K$145,연간_카드별지출!$B14,'10월'!$R$58:$R$145)</f>
        <v>0</v>
      </c>
      <c r="M14" s="200">
        <f>SUMIF('11월'!$K$58:$K$145,연간_카드별지출!$B14,'11월'!$R$58:$R$145)</f>
        <v>0</v>
      </c>
      <c r="N14" s="200">
        <f>SUMIF('12월'!$K$58:$K$145,연간_카드별지출!$B14,'12월'!$R$58:$R$145)</f>
        <v>0</v>
      </c>
      <c r="O14" s="201">
        <f t="shared" si="0"/>
        <v>0</v>
      </c>
      <c r="P14" s="202">
        <f t="shared" si="1"/>
        <v>0</v>
      </c>
    </row>
    <row r="15" spans="1:17" ht="18" customHeight="1" x14ac:dyDescent="0.3">
      <c r="B15" s="143" t="str">
        <f>IF(항목!B15="","",항목!B15)</f>
        <v/>
      </c>
      <c r="C15" s="200">
        <f>SUMIF('1월'!$K$58:$K$165,연간_카드별지출!$B15,'1월'!$T$58:$T$165)</f>
        <v>0</v>
      </c>
      <c r="D15" s="200">
        <f>SUMIF('2월'!$K$58:$K$145,연간_카드별지출!$B15,'2월'!$T$58:$T$145)</f>
        <v>0</v>
      </c>
      <c r="E15" s="200">
        <f>SUMIF('3월'!$K$58:$K$145,연간_카드별지출!$B15,'3월'!$R$58:$R$145)</f>
        <v>0</v>
      </c>
      <c r="F15" s="200">
        <f>SUMIF('4월'!$K$58:$K$145,연간_카드별지출!$B15,'4월'!$R$58:$R$145)</f>
        <v>0</v>
      </c>
      <c r="G15" s="200">
        <f>SUMIF('5월'!$K$58:$K$145,연간_카드별지출!$B15,'5월'!$R$58:$R$145)</f>
        <v>0</v>
      </c>
      <c r="H15" s="200">
        <f>SUMIF('6월'!$K$58:$K$145,연간_카드별지출!$B15,'6월'!$R$58:$R$145)</f>
        <v>0</v>
      </c>
      <c r="I15" s="200">
        <f>SUMIF('7월'!$K$58:$K$145,연간_카드별지출!$B15,'7월'!$R$58:$R$145)</f>
        <v>0</v>
      </c>
      <c r="J15" s="200">
        <f>SUMIF('8월'!$K$58:$K$145,연간_카드별지출!$B15,'8월'!$R$58:$R$145)</f>
        <v>0</v>
      </c>
      <c r="K15" s="200">
        <f>SUMIF('9월'!$K$58:$K$145,연간_카드별지출!$B15,'9월'!$R$58:$R$145)</f>
        <v>0</v>
      </c>
      <c r="L15" s="200">
        <f>SUMIF('10월'!$K$58:$K$145,연간_카드별지출!$B15,'10월'!$R$58:$R$145)</f>
        <v>0</v>
      </c>
      <c r="M15" s="200">
        <f>SUMIF('11월'!$K$58:$K$145,연간_카드별지출!$B15,'11월'!$R$58:$R$145)</f>
        <v>0</v>
      </c>
      <c r="N15" s="200">
        <f>SUMIF('12월'!$K$58:$K$145,연간_카드별지출!$B15,'12월'!$R$58:$R$145)</f>
        <v>0</v>
      </c>
      <c r="O15" s="201">
        <f t="shared" si="0"/>
        <v>0</v>
      </c>
      <c r="P15" s="202">
        <f t="shared" si="1"/>
        <v>0</v>
      </c>
    </row>
    <row r="16" spans="1:17" ht="18" customHeight="1" thickBot="1" x14ac:dyDescent="0.35">
      <c r="B16" s="143" t="str">
        <f>IF(항목!B16="","",항목!B16)</f>
        <v/>
      </c>
      <c r="C16" s="200">
        <f>SUMIF('1월'!$K$58:$K$165,연간_카드별지출!$B16,'1월'!$T$58:$T$165)</f>
        <v>0</v>
      </c>
      <c r="D16" s="200">
        <f>SUMIF('2월'!$K$58:$K$145,연간_카드별지출!$B16,'2월'!$T$58:$T$145)</f>
        <v>0</v>
      </c>
      <c r="E16" s="200">
        <f>SUMIF('3월'!$K$58:$K$145,연간_카드별지출!$B16,'3월'!$R$58:$R$145)</f>
        <v>0</v>
      </c>
      <c r="F16" s="200">
        <f>SUMIF('4월'!$K$58:$K$145,연간_카드별지출!$B16,'4월'!$R$58:$R$145)</f>
        <v>0</v>
      </c>
      <c r="G16" s="200">
        <f>SUMIF('5월'!$K$58:$K$145,연간_카드별지출!$B16,'5월'!$R$58:$R$145)</f>
        <v>0</v>
      </c>
      <c r="H16" s="200">
        <f>SUMIF('6월'!$K$58:$K$145,연간_카드별지출!$B16,'6월'!$R$58:$R$145)</f>
        <v>0</v>
      </c>
      <c r="I16" s="200">
        <f>SUMIF('7월'!$K$58:$K$145,연간_카드별지출!$B16,'7월'!$R$58:$R$145)</f>
        <v>0</v>
      </c>
      <c r="J16" s="200">
        <f>SUMIF('8월'!$K$58:$K$145,연간_카드별지출!$B16,'8월'!$R$58:$R$145)</f>
        <v>0</v>
      </c>
      <c r="K16" s="200">
        <f>SUMIF('9월'!$K$58:$K$145,연간_카드별지출!$B16,'9월'!$R$58:$R$145)</f>
        <v>0</v>
      </c>
      <c r="L16" s="200">
        <f>SUMIF('10월'!$K$58:$K$145,연간_카드별지출!$B16,'10월'!$R$58:$R$145)</f>
        <v>0</v>
      </c>
      <c r="M16" s="200">
        <f>SUMIF('11월'!$K$58:$K$145,연간_카드별지출!$B16,'11월'!$R$58:$R$145)</f>
        <v>0</v>
      </c>
      <c r="N16" s="200">
        <f>SUMIF('12월'!$K$58:$K$145,연간_카드별지출!$B16,'12월'!$R$58:$R$145)</f>
        <v>0</v>
      </c>
      <c r="O16" s="201">
        <f t="shared" si="0"/>
        <v>0</v>
      </c>
      <c r="P16" s="202">
        <f t="shared" si="1"/>
        <v>0</v>
      </c>
    </row>
    <row r="17" spans="2:18" ht="24.95" customHeight="1" thickBot="1" x14ac:dyDescent="0.35">
      <c r="B17" s="170" t="s">
        <v>171</v>
      </c>
      <c r="C17" s="216">
        <f>SUM(C4:C16)</f>
        <v>0</v>
      </c>
      <c r="D17" s="217">
        <f t="shared" ref="D17:N17" si="2">SUM(D4:D16)</f>
        <v>0</v>
      </c>
      <c r="E17" s="217">
        <f t="shared" si="2"/>
        <v>0</v>
      </c>
      <c r="F17" s="217">
        <f t="shared" si="2"/>
        <v>0</v>
      </c>
      <c r="G17" s="217">
        <f t="shared" si="2"/>
        <v>0</v>
      </c>
      <c r="H17" s="217">
        <f t="shared" si="2"/>
        <v>0</v>
      </c>
      <c r="I17" s="217">
        <f t="shared" si="2"/>
        <v>0</v>
      </c>
      <c r="J17" s="217">
        <f t="shared" si="2"/>
        <v>0</v>
      </c>
      <c r="K17" s="217">
        <f t="shared" si="2"/>
        <v>0</v>
      </c>
      <c r="L17" s="217">
        <f t="shared" si="2"/>
        <v>0</v>
      </c>
      <c r="M17" s="217">
        <f t="shared" si="2"/>
        <v>0</v>
      </c>
      <c r="N17" s="218">
        <f t="shared" si="2"/>
        <v>0</v>
      </c>
      <c r="O17" s="216">
        <f>SUM(C17:N17)</f>
        <v>0</v>
      </c>
      <c r="P17" s="219">
        <f>O17/12</f>
        <v>0</v>
      </c>
    </row>
    <row r="18" spans="2:18" ht="24.95" customHeight="1" x14ac:dyDescent="0.3">
      <c r="B18" s="220" t="s">
        <v>318</v>
      </c>
      <c r="C18" s="209">
        <f>SUMIF($B$4:$B$16,"*계좌*",C$4:C$16)</f>
        <v>0</v>
      </c>
      <c r="D18" s="209">
        <f t="shared" ref="D18:N18" si="3">SUMIF($B$4:$B$16,"*계좌*",D$4:D$16)</f>
        <v>0</v>
      </c>
      <c r="E18" s="178">
        <f t="shared" si="3"/>
        <v>0</v>
      </c>
      <c r="F18" s="178">
        <f t="shared" si="3"/>
        <v>0</v>
      </c>
      <c r="G18" s="178">
        <f t="shared" si="3"/>
        <v>0</v>
      </c>
      <c r="H18" s="178">
        <f t="shared" si="3"/>
        <v>0</v>
      </c>
      <c r="I18" s="178">
        <f t="shared" si="3"/>
        <v>0</v>
      </c>
      <c r="J18" s="178">
        <f t="shared" si="3"/>
        <v>0</v>
      </c>
      <c r="K18" s="178">
        <f t="shared" si="3"/>
        <v>0</v>
      </c>
      <c r="L18" s="178">
        <f t="shared" si="3"/>
        <v>0</v>
      </c>
      <c r="M18" s="178">
        <f t="shared" si="3"/>
        <v>0</v>
      </c>
      <c r="N18" s="461">
        <f t="shared" si="3"/>
        <v>0</v>
      </c>
      <c r="O18" s="201">
        <f t="shared" si="0"/>
        <v>0</v>
      </c>
      <c r="P18" s="202">
        <f t="shared" si="1"/>
        <v>0</v>
      </c>
    </row>
    <row r="19" spans="2:18" ht="24.95" customHeight="1" x14ac:dyDescent="0.3">
      <c r="B19" s="143" t="s">
        <v>115</v>
      </c>
      <c r="C19" s="209">
        <f>SUMIF($B$4:$B$16,"*현금*",C$4:C$16)</f>
        <v>0</v>
      </c>
      <c r="D19" s="53">
        <f t="shared" ref="C19:N19" si="4">SUMIF($B$4:$B$16,"*현금*",D$4:D$16)</f>
        <v>0</v>
      </c>
      <c r="E19" s="53">
        <f t="shared" si="4"/>
        <v>0</v>
      </c>
      <c r="F19" s="53">
        <f t="shared" si="4"/>
        <v>0</v>
      </c>
      <c r="G19" s="53">
        <f t="shared" si="4"/>
        <v>0</v>
      </c>
      <c r="H19" s="53">
        <f t="shared" si="4"/>
        <v>0</v>
      </c>
      <c r="I19" s="53">
        <f t="shared" si="4"/>
        <v>0</v>
      </c>
      <c r="J19" s="53">
        <f t="shared" si="4"/>
        <v>0</v>
      </c>
      <c r="K19" s="53">
        <f t="shared" si="4"/>
        <v>0</v>
      </c>
      <c r="L19" s="53">
        <f t="shared" si="4"/>
        <v>0</v>
      </c>
      <c r="M19" s="53">
        <f t="shared" si="4"/>
        <v>0</v>
      </c>
      <c r="N19" s="460">
        <f t="shared" si="4"/>
        <v>0</v>
      </c>
      <c r="O19" s="201">
        <f t="shared" si="0"/>
        <v>0</v>
      </c>
      <c r="P19" s="202">
        <f t="shared" si="1"/>
        <v>0</v>
      </c>
    </row>
    <row r="20" spans="2:18" ht="24.95" customHeight="1" x14ac:dyDescent="0.3">
      <c r="B20" s="208" t="s">
        <v>89</v>
      </c>
      <c r="C20" s="209">
        <f>SUMIF($B$4:$B$16,"*신용*",C$4:C$16)</f>
        <v>0</v>
      </c>
      <c r="D20" s="53">
        <f t="shared" ref="C20:N20" si="5">SUMIF($B$4:$B$16,"*신용*",D$4:D$16)</f>
        <v>0</v>
      </c>
      <c r="E20" s="53">
        <f t="shared" si="5"/>
        <v>0</v>
      </c>
      <c r="F20" s="53">
        <f t="shared" si="5"/>
        <v>0</v>
      </c>
      <c r="G20" s="53">
        <f t="shared" si="5"/>
        <v>0</v>
      </c>
      <c r="H20" s="53">
        <f t="shared" si="5"/>
        <v>0</v>
      </c>
      <c r="I20" s="53">
        <f t="shared" si="5"/>
        <v>0</v>
      </c>
      <c r="J20" s="53">
        <f t="shared" si="5"/>
        <v>0</v>
      </c>
      <c r="K20" s="53">
        <f t="shared" si="5"/>
        <v>0</v>
      </c>
      <c r="L20" s="53">
        <f t="shared" si="5"/>
        <v>0</v>
      </c>
      <c r="M20" s="53">
        <f t="shared" si="5"/>
        <v>0</v>
      </c>
      <c r="N20" s="210">
        <f t="shared" si="5"/>
        <v>0</v>
      </c>
      <c r="O20" s="201">
        <f>SUM(C20:N20)</f>
        <v>0</v>
      </c>
      <c r="P20" s="202">
        <f t="shared" ref="P20:P21" si="6">O20/12</f>
        <v>0</v>
      </c>
    </row>
    <row r="21" spans="2:18" ht="24.95" customHeight="1" thickBot="1" x14ac:dyDescent="0.35">
      <c r="B21" s="211" t="s">
        <v>90</v>
      </c>
      <c r="C21" s="212">
        <f>SUMIF($B$4:$B$16,"*체크*",C$4:C$16)</f>
        <v>0</v>
      </c>
      <c r="D21" s="180">
        <f t="shared" ref="C21:N21" si="7">SUMIF($B$4:$B$16,"*체크*",D$4:D$16)</f>
        <v>0</v>
      </c>
      <c r="E21" s="180">
        <f t="shared" si="7"/>
        <v>0</v>
      </c>
      <c r="F21" s="180">
        <f t="shared" si="7"/>
        <v>0</v>
      </c>
      <c r="G21" s="180">
        <f t="shared" si="7"/>
        <v>0</v>
      </c>
      <c r="H21" s="180">
        <f t="shared" si="7"/>
        <v>0</v>
      </c>
      <c r="I21" s="180">
        <f t="shared" si="7"/>
        <v>0</v>
      </c>
      <c r="J21" s="180">
        <f t="shared" si="7"/>
        <v>0</v>
      </c>
      <c r="K21" s="180">
        <f t="shared" si="7"/>
        <v>0</v>
      </c>
      <c r="L21" s="180">
        <f t="shared" si="7"/>
        <v>0</v>
      </c>
      <c r="M21" s="180">
        <f t="shared" si="7"/>
        <v>0</v>
      </c>
      <c r="N21" s="213">
        <f t="shared" si="7"/>
        <v>0</v>
      </c>
      <c r="O21" s="214">
        <f>SUM(C21:N21)</f>
        <v>0</v>
      </c>
      <c r="P21" s="215">
        <f t="shared" si="6"/>
        <v>0</v>
      </c>
      <c r="R21" s="26"/>
    </row>
    <row r="22" spans="2:18" ht="24.95" customHeight="1" thickBot="1" x14ac:dyDescent="0.35">
      <c r="B22" s="211" t="s">
        <v>214</v>
      </c>
      <c r="C22" s="212">
        <f>SUM(C18:C21)</f>
        <v>0</v>
      </c>
      <c r="D22" s="180">
        <f t="shared" ref="D22:N22" si="8">SUM(D18:D21)</f>
        <v>0</v>
      </c>
      <c r="E22" s="180">
        <f t="shared" si="8"/>
        <v>0</v>
      </c>
      <c r="F22" s="180">
        <f t="shared" si="8"/>
        <v>0</v>
      </c>
      <c r="G22" s="180">
        <f t="shared" si="8"/>
        <v>0</v>
      </c>
      <c r="H22" s="180">
        <f t="shared" si="8"/>
        <v>0</v>
      </c>
      <c r="I22" s="180">
        <f t="shared" si="8"/>
        <v>0</v>
      </c>
      <c r="J22" s="180">
        <f t="shared" si="8"/>
        <v>0</v>
      </c>
      <c r="K22" s="180">
        <f t="shared" si="8"/>
        <v>0</v>
      </c>
      <c r="L22" s="180">
        <f t="shared" si="8"/>
        <v>0</v>
      </c>
      <c r="M22" s="180">
        <f t="shared" si="8"/>
        <v>0</v>
      </c>
      <c r="N22" s="213">
        <f t="shared" si="8"/>
        <v>0</v>
      </c>
      <c r="O22" s="214">
        <f>SUM(C22:N22)</f>
        <v>0</v>
      </c>
      <c r="P22" s="215">
        <f t="shared" ref="P22" si="9">O22/12</f>
        <v>0</v>
      </c>
    </row>
    <row r="23" spans="2:18" ht="24.95" customHeight="1" x14ac:dyDescent="0.3">
      <c r="B23" s="208" t="s">
        <v>116</v>
      </c>
      <c r="C23" s="462" t="str">
        <f>IF(SUM(C19:C21)&gt;0,C19/SUM(C$19:C$21),"")</f>
        <v/>
      </c>
      <c r="D23" s="463" t="str">
        <f t="shared" ref="D23:N23" si="10">IF(SUM(D19:D21)&gt;0,D19/SUM(D$19:D$21),"")</f>
        <v/>
      </c>
      <c r="E23" s="463" t="str">
        <f t="shared" si="10"/>
        <v/>
      </c>
      <c r="F23" s="463" t="str">
        <f t="shared" si="10"/>
        <v/>
      </c>
      <c r="G23" s="463" t="str">
        <f t="shared" si="10"/>
        <v/>
      </c>
      <c r="H23" s="463" t="str">
        <f t="shared" si="10"/>
        <v/>
      </c>
      <c r="I23" s="463" t="str">
        <f t="shared" si="10"/>
        <v/>
      </c>
      <c r="J23" s="463" t="str">
        <f t="shared" si="10"/>
        <v/>
      </c>
      <c r="K23" s="463" t="str">
        <f t="shared" si="10"/>
        <v/>
      </c>
      <c r="L23" s="463" t="str">
        <f t="shared" si="10"/>
        <v/>
      </c>
      <c r="M23" s="463" t="str">
        <f t="shared" si="10"/>
        <v/>
      </c>
      <c r="N23" s="262" t="str">
        <f t="shared" si="10"/>
        <v/>
      </c>
      <c r="O23" s="464" t="str">
        <f>IF(SUM(O18:O21)&gt;0,O19/O$22,"")</f>
        <v/>
      </c>
      <c r="P23" s="202"/>
    </row>
    <row r="24" spans="2:18" ht="24.95" customHeight="1" x14ac:dyDescent="0.3">
      <c r="B24" s="208" t="s">
        <v>111</v>
      </c>
      <c r="C24" s="223" t="str">
        <f>IF(SUM(C19:C21)&gt;0,C20/SUM(C$19:C$21),"")</f>
        <v/>
      </c>
      <c r="D24" s="224" t="str">
        <f t="shared" ref="D24:N24" si="11">IF(SUM(D19:D21)&gt;0,D20/SUM(D$19:D$21),"")</f>
        <v/>
      </c>
      <c r="E24" s="224" t="str">
        <f t="shared" si="11"/>
        <v/>
      </c>
      <c r="F24" s="224" t="str">
        <f t="shared" si="11"/>
        <v/>
      </c>
      <c r="G24" s="224" t="str">
        <f t="shared" si="11"/>
        <v/>
      </c>
      <c r="H24" s="224" t="str">
        <f t="shared" si="11"/>
        <v/>
      </c>
      <c r="I24" s="224" t="str">
        <f t="shared" si="11"/>
        <v/>
      </c>
      <c r="J24" s="224" t="str">
        <f t="shared" si="11"/>
        <v/>
      </c>
      <c r="K24" s="224" t="str">
        <f t="shared" si="11"/>
        <v/>
      </c>
      <c r="L24" s="224" t="str">
        <f t="shared" si="11"/>
        <v/>
      </c>
      <c r="M24" s="224" t="str">
        <f t="shared" si="11"/>
        <v/>
      </c>
      <c r="N24" s="225" t="str">
        <f t="shared" si="11"/>
        <v/>
      </c>
      <c r="O24" s="222" t="str">
        <f>IF(SUM(O18:O21)&gt;0,O20/O$22,"")</f>
        <v/>
      </c>
      <c r="P24" s="226"/>
    </row>
    <row r="25" spans="2:18" ht="24.95" customHeight="1" thickBot="1" x14ac:dyDescent="0.35">
      <c r="B25" s="211" t="s">
        <v>112</v>
      </c>
      <c r="C25" s="465" t="str">
        <f>IF(SUM(C19:C21)&gt;0,C21/SUM(C$19:C$21),"")</f>
        <v/>
      </c>
      <c r="D25" s="227" t="str">
        <f t="shared" ref="D25:N25" si="12">IF(SUM(D19:D21)&gt;0,D21/SUM(D$19:D$21),"")</f>
        <v/>
      </c>
      <c r="E25" s="227" t="str">
        <f t="shared" si="12"/>
        <v/>
      </c>
      <c r="F25" s="227" t="str">
        <f t="shared" si="12"/>
        <v/>
      </c>
      <c r="G25" s="227" t="str">
        <f t="shared" si="12"/>
        <v/>
      </c>
      <c r="H25" s="227" t="str">
        <f t="shared" si="12"/>
        <v/>
      </c>
      <c r="I25" s="227" t="str">
        <f t="shared" si="12"/>
        <v/>
      </c>
      <c r="J25" s="227" t="str">
        <f t="shared" si="12"/>
        <v/>
      </c>
      <c r="K25" s="227" t="str">
        <f t="shared" si="12"/>
        <v/>
      </c>
      <c r="L25" s="227" t="str">
        <f t="shared" si="12"/>
        <v/>
      </c>
      <c r="M25" s="227" t="str">
        <f t="shared" si="12"/>
        <v/>
      </c>
      <c r="N25" s="228" t="str">
        <f t="shared" si="12"/>
        <v/>
      </c>
      <c r="O25" s="229" t="str">
        <f>IF(SUM(O18:O21)&gt;0,O21/O$22,"")</f>
        <v/>
      </c>
      <c r="P25" s="230"/>
    </row>
    <row r="26" spans="2:18" ht="24.95" customHeight="1" thickBot="1" x14ac:dyDescent="0.35">
      <c r="B26" s="231" t="s">
        <v>319</v>
      </c>
      <c r="C26" s="232">
        <f>SUM(C23:C25)</f>
        <v>0</v>
      </c>
      <c r="D26" s="233">
        <f t="shared" ref="D26:N26" si="13">SUM(D23:D25)</f>
        <v>0</v>
      </c>
      <c r="E26" s="233">
        <f t="shared" si="13"/>
        <v>0</v>
      </c>
      <c r="F26" s="233">
        <f t="shared" si="13"/>
        <v>0</v>
      </c>
      <c r="G26" s="233">
        <f t="shared" si="13"/>
        <v>0</v>
      </c>
      <c r="H26" s="233">
        <f t="shared" si="13"/>
        <v>0</v>
      </c>
      <c r="I26" s="233">
        <f t="shared" si="13"/>
        <v>0</v>
      </c>
      <c r="J26" s="233">
        <f t="shared" si="13"/>
        <v>0</v>
      </c>
      <c r="K26" s="233">
        <f t="shared" si="13"/>
        <v>0</v>
      </c>
      <c r="L26" s="233">
        <f t="shared" si="13"/>
        <v>0</v>
      </c>
      <c r="M26" s="233">
        <f t="shared" si="13"/>
        <v>0</v>
      </c>
      <c r="N26" s="234">
        <f t="shared" si="13"/>
        <v>0</v>
      </c>
      <c r="O26" s="235">
        <f>SUM(O23:O25)</f>
        <v>0</v>
      </c>
      <c r="P26" s="236"/>
    </row>
    <row r="28" spans="2:18" ht="20.100000000000001" customHeight="1" x14ac:dyDescent="0.3">
      <c r="B28" s="125"/>
    </row>
    <row r="29" spans="2:18" ht="30" customHeight="1" x14ac:dyDescent="0.3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126"/>
      <c r="P29" s="126"/>
    </row>
    <row r="30" spans="2:18" ht="18" customHeight="1" x14ac:dyDescent="0.3">
      <c r="B30" s="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8"/>
      <c r="P30" s="128"/>
    </row>
    <row r="31" spans="2:18" ht="18" customHeight="1" x14ac:dyDescent="0.3">
      <c r="B31" s="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8"/>
      <c r="P31" s="128"/>
    </row>
    <row r="32" spans="2:18" ht="30" customHeight="1" x14ac:dyDescent="0.3">
      <c r="B32" s="126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9"/>
    </row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7"/>
    <pageSetUpPr autoPageBreaks="0" fitToPage="1"/>
  </sheetPr>
  <dimension ref="A1:Q123"/>
  <sheetViews>
    <sheetView showGridLines="0" topLeftCell="A4" zoomScaleNormal="100" workbookViewId="0">
      <selection activeCell="C4" sqref="C4"/>
    </sheetView>
  </sheetViews>
  <sheetFormatPr defaultRowHeight="16.5" x14ac:dyDescent="0.3"/>
  <cols>
    <col min="1" max="1" width="4.625" customWidth="1"/>
    <col min="2" max="2" width="12.625" customWidth="1"/>
    <col min="3" max="16" width="10.625" customWidth="1"/>
    <col min="17" max="17" width="4.625" customWidth="1"/>
  </cols>
  <sheetData>
    <row r="1" spans="1:17" ht="40.5" customHeight="1" x14ac:dyDescent="0.3">
      <c r="A1" s="10"/>
      <c r="B1" s="543" t="s">
        <v>136</v>
      </c>
      <c r="C1" s="54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7.25" thickBot="1" x14ac:dyDescent="0.35"/>
    <row r="3" spans="1:17" ht="30" customHeight="1" thickBot="1" x14ac:dyDescent="0.35">
      <c r="B3" s="142"/>
      <c r="C3" s="29" t="s">
        <v>28</v>
      </c>
      <c r="D3" s="30" t="s">
        <v>31</v>
      </c>
      <c r="E3" s="30" t="s">
        <v>32</v>
      </c>
      <c r="F3" s="30" t="s">
        <v>33</v>
      </c>
      <c r="G3" s="30" t="s">
        <v>34</v>
      </c>
      <c r="H3" s="30" t="s">
        <v>35</v>
      </c>
      <c r="I3" s="30" t="s">
        <v>36</v>
      </c>
      <c r="J3" s="30" t="s">
        <v>37</v>
      </c>
      <c r="K3" s="30" t="s">
        <v>38</v>
      </c>
      <c r="L3" s="30" t="s">
        <v>39</v>
      </c>
      <c r="M3" s="30" t="s">
        <v>40</v>
      </c>
      <c r="N3" s="31" t="s">
        <v>41</v>
      </c>
      <c r="O3" s="250" t="s">
        <v>4</v>
      </c>
      <c r="P3" s="250" t="s">
        <v>42</v>
      </c>
    </row>
    <row r="4" spans="1:17" ht="24.95" customHeight="1" thickBot="1" x14ac:dyDescent="0.35">
      <c r="B4" s="251" t="str">
        <f>항목!D3</f>
        <v>저축성지출</v>
      </c>
      <c r="C4" s="252">
        <f>SUMIF('1월'!$L$34:$L$165,연간_항목별지출!$B4,'1월'!$T$34:$T$165)</f>
        <v>0</v>
      </c>
      <c r="D4" s="252">
        <f>SUMIF('2월'!$L$34:$L$145,연간_항목별지출!$B4,'2월'!$T$34:$T$145)</f>
        <v>0</v>
      </c>
      <c r="E4" s="252">
        <f>SUMIF('3월'!$L$34:$L$145,연간_항목별지출!$B4,'3월'!$R$34:$R$145)</f>
        <v>0</v>
      </c>
      <c r="F4" s="252">
        <f>SUMIF('4월'!$L$34:$L$145,연간_항목별지출!$B4,'4월'!$R$34:$R$145)</f>
        <v>0</v>
      </c>
      <c r="G4" s="252">
        <f>SUMIF('5월'!$L$34:$L$145,연간_항목별지출!$B4,'5월'!$R$34:$R$145)</f>
        <v>0</v>
      </c>
      <c r="H4" s="252">
        <f>SUMIF('6월'!$L$34:$L$145,연간_항목별지출!$B4,'6월'!$R$34:$R$145)</f>
        <v>0</v>
      </c>
      <c r="I4" s="252">
        <f>SUMIF('7월'!$L$34:$L$145,연간_항목별지출!$B4,'7월'!$R$34:$R$145)</f>
        <v>0</v>
      </c>
      <c r="J4" s="252">
        <f>SUMIF('8월'!$L$34:$L$145,연간_항목별지출!$B4,'8월'!$R$34:$R$145)</f>
        <v>0</v>
      </c>
      <c r="K4" s="252">
        <f>SUMIF('9월'!$L$34:$L$145,연간_항목별지출!$B4,'9월'!$R$34:$R$145)</f>
        <v>0</v>
      </c>
      <c r="L4" s="252">
        <f>SUMIF('10월'!$L$34:$L$145,연간_항목별지출!$B4,'10월'!$R$34:$R$145)</f>
        <v>0</v>
      </c>
      <c r="M4" s="252">
        <f>SUMIF('11월'!$L$34:$L$145,연간_항목별지출!$B4,'11월'!$R$34:$R$145)</f>
        <v>0</v>
      </c>
      <c r="N4" s="252">
        <f>SUMIF('12월'!$L$34:$L$145,연간_항목별지출!$B4,'12월'!$R$34:$R$145)</f>
        <v>0</v>
      </c>
      <c r="O4" s="253">
        <f>SUM(C4:N4)</f>
        <v>0</v>
      </c>
      <c r="P4" s="253">
        <f>O4/12</f>
        <v>0</v>
      </c>
    </row>
    <row r="5" spans="1:17" ht="24.95" customHeight="1" thickBot="1" x14ac:dyDescent="0.35">
      <c r="B5" s="251" t="s">
        <v>44</v>
      </c>
      <c r="C5" s="252">
        <f t="shared" ref="C5:N5" si="0">SUM(C6:C18)</f>
        <v>0</v>
      </c>
      <c r="D5" s="299">
        <f t="shared" si="0"/>
        <v>0</v>
      </c>
      <c r="E5" s="299">
        <f t="shared" si="0"/>
        <v>0</v>
      </c>
      <c r="F5" s="299">
        <f t="shared" si="0"/>
        <v>0</v>
      </c>
      <c r="G5" s="299">
        <f t="shared" si="0"/>
        <v>0</v>
      </c>
      <c r="H5" s="299">
        <f t="shared" si="0"/>
        <v>0</v>
      </c>
      <c r="I5" s="299">
        <f t="shared" si="0"/>
        <v>0</v>
      </c>
      <c r="J5" s="299">
        <f t="shared" si="0"/>
        <v>0</v>
      </c>
      <c r="K5" s="299">
        <f t="shared" si="0"/>
        <v>0</v>
      </c>
      <c r="L5" s="299">
        <f t="shared" si="0"/>
        <v>0</v>
      </c>
      <c r="M5" s="299">
        <f t="shared" si="0"/>
        <v>0</v>
      </c>
      <c r="N5" s="300">
        <f t="shared" si="0"/>
        <v>0</v>
      </c>
      <c r="O5" s="253">
        <f>SUM(C5:N5)</f>
        <v>0</v>
      </c>
      <c r="P5" s="253">
        <f>O5/12</f>
        <v>0</v>
      </c>
    </row>
    <row r="6" spans="1:17" ht="18" customHeight="1" x14ac:dyDescent="0.3">
      <c r="B6" s="143" t="str">
        <f>항목!E3</f>
        <v>식비</v>
      </c>
      <c r="C6" s="200">
        <f>SUMIF('1월'!$L$34:$L$165,연간_항목별지출!$B6,'1월'!$T$34:$T$165)</f>
        <v>0</v>
      </c>
      <c r="D6" s="200">
        <f>SUMIF('2월'!$L$34:$L$145,연간_항목별지출!$B6,'2월'!$T$34:$T$145)</f>
        <v>0</v>
      </c>
      <c r="E6" s="200">
        <f>SUMIF('3월'!$L$34:$L$145,연간_항목별지출!$B6,'3월'!$R$34:$R$145)</f>
        <v>0</v>
      </c>
      <c r="F6" s="200">
        <f>SUMIF('4월'!$L$34:$L$145,연간_항목별지출!$B6,'4월'!$R$34:$R$145)</f>
        <v>0</v>
      </c>
      <c r="G6" s="200">
        <f>SUMIF('5월'!$L$34:$L$145,연간_항목별지출!$B6,'5월'!$R$34:$R$145)</f>
        <v>0</v>
      </c>
      <c r="H6" s="200">
        <f>SUMIF('6월'!$L$34:$L$145,연간_항목별지출!$B6,'6월'!$R$34:$R$145)</f>
        <v>0</v>
      </c>
      <c r="I6" s="200">
        <f>SUMIF('7월'!$L$34:$L$145,연간_항목별지출!$B6,'7월'!$R$34:$R$145)</f>
        <v>0</v>
      </c>
      <c r="J6" s="200">
        <f>SUMIF('8월'!$L$34:$L$145,연간_항목별지출!$B6,'8월'!$R$34:$R$145)</f>
        <v>0</v>
      </c>
      <c r="K6" s="200">
        <f>SUMIF('9월'!$L$34:$L$145,연간_항목별지출!$B6,'9월'!$R$34:$R$145)</f>
        <v>0</v>
      </c>
      <c r="L6" s="200">
        <f>SUMIF('10월'!$L$34:$L$145,연간_항목별지출!$B6,'10월'!$R$34:$R$145)</f>
        <v>0</v>
      </c>
      <c r="M6" s="200">
        <f>SUMIF('11월'!$L$34:$L$145,연간_항목별지출!$B6,'11월'!$R$34:$R$145)</f>
        <v>0</v>
      </c>
      <c r="N6" s="200">
        <f>SUMIF('12월'!$L$34:$L$145,연간_항목별지출!$B6,'12월'!$R$34:$R$145)</f>
        <v>0</v>
      </c>
      <c r="O6" s="254">
        <f t="shared" ref="O6:O18" si="1">SUM(C6:N6)</f>
        <v>0</v>
      </c>
      <c r="P6" s="254">
        <f t="shared" ref="P6:P18" si="2">O6/12</f>
        <v>0</v>
      </c>
    </row>
    <row r="7" spans="1:17" ht="18" customHeight="1" x14ac:dyDescent="0.3">
      <c r="B7" s="144" t="str">
        <f>항목!F3</f>
        <v>주거비</v>
      </c>
      <c r="C7" s="200">
        <f>SUMIF('1월'!$L$34:$L$165,연간_항목별지출!$B7,'1월'!$T$34:$T$165)</f>
        <v>0</v>
      </c>
      <c r="D7" s="200">
        <f>SUMIF('2월'!$L$34:$L$145,연간_항목별지출!$B7,'2월'!$T$34:$T$145)</f>
        <v>0</v>
      </c>
      <c r="E7" s="200">
        <f>SUMIF('3월'!$L$34:$L$145,연간_항목별지출!$B7,'3월'!$R$34:$R$145)</f>
        <v>0</v>
      </c>
      <c r="F7" s="200">
        <f>SUMIF('4월'!$L$34:$L$145,연간_항목별지출!$B7,'4월'!$R$34:$R$145)</f>
        <v>0</v>
      </c>
      <c r="G7" s="200">
        <f>SUMIF('5월'!$L$34:$L$145,연간_항목별지출!$B7,'5월'!$R$34:$R$145)</f>
        <v>0</v>
      </c>
      <c r="H7" s="200">
        <f>SUMIF('6월'!$L$34:$L$145,연간_항목별지출!$B7,'6월'!$R$34:$R$145)</f>
        <v>0</v>
      </c>
      <c r="I7" s="200">
        <f>SUMIF('7월'!$L$34:$L$145,연간_항목별지출!$B7,'7월'!$R$34:$R$145)</f>
        <v>0</v>
      </c>
      <c r="J7" s="200">
        <f>SUMIF('8월'!$L$34:$L$145,연간_항목별지출!$B7,'8월'!$R$34:$R$145)</f>
        <v>0</v>
      </c>
      <c r="K7" s="200">
        <f>SUMIF('9월'!$L$34:$L$145,연간_항목별지출!$B7,'9월'!$R$34:$R$145)</f>
        <v>0</v>
      </c>
      <c r="L7" s="200">
        <f>SUMIF('10월'!$L$34:$L$145,연간_항목별지출!$B7,'10월'!$R$34:$R$145)</f>
        <v>0</v>
      </c>
      <c r="M7" s="200">
        <f>SUMIF('11월'!$L$34:$L$145,연간_항목별지출!$B7,'11월'!$R$34:$R$145)</f>
        <v>0</v>
      </c>
      <c r="N7" s="200">
        <f>SUMIF('12월'!$L$34:$L$145,연간_항목별지출!$B7,'12월'!$R$34:$R$145)</f>
        <v>0</v>
      </c>
      <c r="O7" s="254">
        <f t="shared" si="1"/>
        <v>0</v>
      </c>
      <c r="P7" s="254">
        <f t="shared" si="2"/>
        <v>0</v>
      </c>
    </row>
    <row r="8" spans="1:17" ht="18" customHeight="1" x14ac:dyDescent="0.3">
      <c r="B8" s="144" t="str">
        <f>항목!G3</f>
        <v>생활용품비</v>
      </c>
      <c r="C8" s="200">
        <f>SUMIF('1월'!$L$34:$L$165,연간_항목별지출!$B8,'1월'!$T$34:$T$165)</f>
        <v>0</v>
      </c>
      <c r="D8" s="200">
        <f>SUMIF('2월'!$L$34:$L$145,연간_항목별지출!$B8,'2월'!$T$34:$T$145)</f>
        <v>0</v>
      </c>
      <c r="E8" s="200">
        <f>SUMIF('3월'!$L$34:$L$145,연간_항목별지출!$B8,'3월'!$R$34:$R$145)</f>
        <v>0</v>
      </c>
      <c r="F8" s="200">
        <f>SUMIF('4월'!$L$34:$L$145,연간_항목별지출!$B8,'4월'!$R$34:$R$145)</f>
        <v>0</v>
      </c>
      <c r="G8" s="200">
        <f>SUMIF('5월'!$L$34:$L$145,연간_항목별지출!$B8,'5월'!$R$34:$R$145)</f>
        <v>0</v>
      </c>
      <c r="H8" s="200">
        <f>SUMIF('6월'!$L$34:$L$145,연간_항목별지출!$B8,'6월'!$R$34:$R$145)</f>
        <v>0</v>
      </c>
      <c r="I8" s="200">
        <f>SUMIF('7월'!$L$34:$L$145,연간_항목별지출!$B8,'7월'!$R$34:$R$145)</f>
        <v>0</v>
      </c>
      <c r="J8" s="200">
        <f>SUMIF('8월'!$L$34:$L$145,연간_항목별지출!$B8,'8월'!$R$34:$R$145)</f>
        <v>0</v>
      </c>
      <c r="K8" s="200">
        <f>SUMIF('9월'!$L$34:$L$145,연간_항목별지출!$B8,'9월'!$R$34:$R$145)</f>
        <v>0</v>
      </c>
      <c r="L8" s="200">
        <f>SUMIF('10월'!$L$34:$L$145,연간_항목별지출!$B8,'10월'!$R$34:$R$145)</f>
        <v>0</v>
      </c>
      <c r="M8" s="200">
        <f>SUMIF('11월'!$L$34:$L$145,연간_항목별지출!$B8,'11월'!$R$34:$R$145)</f>
        <v>0</v>
      </c>
      <c r="N8" s="200">
        <f>SUMIF('12월'!$L$34:$L$145,연간_항목별지출!$B8,'12월'!$R$34:$R$145)</f>
        <v>0</v>
      </c>
      <c r="O8" s="254">
        <f t="shared" si="1"/>
        <v>0</v>
      </c>
      <c r="P8" s="254">
        <f t="shared" si="2"/>
        <v>0</v>
      </c>
    </row>
    <row r="9" spans="1:17" ht="18" customHeight="1" x14ac:dyDescent="0.3">
      <c r="B9" s="144" t="str">
        <f>항목!H3</f>
        <v>반려동물비</v>
      </c>
      <c r="C9" s="200">
        <f>SUMIF('1월'!$L$34:$L$165,연간_항목별지출!$B9,'1월'!$T$34:$T$165)</f>
        <v>0</v>
      </c>
      <c r="D9" s="200">
        <f>SUMIF('2월'!$L$34:$L$145,연간_항목별지출!$B9,'2월'!$T$34:$T$145)</f>
        <v>0</v>
      </c>
      <c r="E9" s="200">
        <f>SUMIF('3월'!$L$34:$L$145,연간_항목별지출!$B9,'3월'!$R$34:$R$145)</f>
        <v>0</v>
      </c>
      <c r="F9" s="200">
        <f>SUMIF('4월'!$L$34:$L$145,연간_항목별지출!$B9,'4월'!$R$34:$R$145)</f>
        <v>0</v>
      </c>
      <c r="G9" s="200">
        <f>SUMIF('5월'!$L$34:$L$145,연간_항목별지출!$B9,'5월'!$R$34:$R$145)</f>
        <v>0</v>
      </c>
      <c r="H9" s="200">
        <f>SUMIF('6월'!$L$34:$L$145,연간_항목별지출!$B9,'6월'!$R$34:$R$145)</f>
        <v>0</v>
      </c>
      <c r="I9" s="200">
        <f>SUMIF('7월'!$L$34:$L$145,연간_항목별지출!$B9,'7월'!$R$34:$R$145)</f>
        <v>0</v>
      </c>
      <c r="J9" s="200">
        <f>SUMIF('8월'!$L$34:$L$145,연간_항목별지출!$B9,'8월'!$R$34:$R$145)</f>
        <v>0</v>
      </c>
      <c r="K9" s="200">
        <f>SUMIF('9월'!$L$34:$L$145,연간_항목별지출!$B9,'9월'!$R$34:$R$145)</f>
        <v>0</v>
      </c>
      <c r="L9" s="200">
        <f>SUMIF('10월'!$L$34:$L$145,연간_항목별지출!$B9,'10월'!$R$34:$R$145)</f>
        <v>0</v>
      </c>
      <c r="M9" s="200">
        <f>SUMIF('11월'!$L$34:$L$145,연간_항목별지출!$B9,'11월'!$R$34:$R$145)</f>
        <v>0</v>
      </c>
      <c r="N9" s="200">
        <f>SUMIF('12월'!$L$34:$L$145,연간_항목별지출!$B9,'12월'!$R$34:$R$145)</f>
        <v>0</v>
      </c>
      <c r="O9" s="254">
        <f t="shared" si="1"/>
        <v>0</v>
      </c>
      <c r="P9" s="254">
        <f t="shared" si="2"/>
        <v>0</v>
      </c>
    </row>
    <row r="10" spans="1:17" ht="18" customHeight="1" x14ac:dyDescent="0.3">
      <c r="B10" s="144" t="str">
        <f>항목!I3</f>
        <v>의류미용비</v>
      </c>
      <c r="C10" s="200">
        <f>SUMIF('1월'!$L$34:$L$165,연간_항목별지출!$B10,'1월'!$T$34:$T$165)</f>
        <v>0</v>
      </c>
      <c r="D10" s="200">
        <f>SUMIF('2월'!$L$34:$L$145,연간_항목별지출!$B10,'2월'!$T$34:$T$145)</f>
        <v>0</v>
      </c>
      <c r="E10" s="200">
        <f>SUMIF('3월'!$L$34:$L$145,연간_항목별지출!$B10,'3월'!$R$34:$R$145)</f>
        <v>0</v>
      </c>
      <c r="F10" s="200">
        <f>SUMIF('4월'!$L$34:$L$145,연간_항목별지출!$B10,'4월'!$R$34:$R$145)</f>
        <v>0</v>
      </c>
      <c r="G10" s="200">
        <f>SUMIF('5월'!$L$34:$L$145,연간_항목별지출!$B10,'5월'!$R$34:$R$145)</f>
        <v>0</v>
      </c>
      <c r="H10" s="200">
        <f>SUMIF('6월'!$L$34:$L$145,연간_항목별지출!$B10,'6월'!$R$34:$R$145)</f>
        <v>0</v>
      </c>
      <c r="I10" s="200">
        <f>SUMIF('7월'!$L$34:$L$145,연간_항목별지출!$B10,'7월'!$R$34:$R$145)</f>
        <v>0</v>
      </c>
      <c r="J10" s="200">
        <f>SUMIF('8월'!$L$34:$L$145,연간_항목별지출!$B10,'8월'!$R$34:$R$145)</f>
        <v>0</v>
      </c>
      <c r="K10" s="200">
        <f>SUMIF('9월'!$L$34:$L$145,연간_항목별지출!$B10,'9월'!$R$34:$R$145)</f>
        <v>0</v>
      </c>
      <c r="L10" s="200">
        <f>SUMIF('10월'!$L$34:$L$145,연간_항목별지출!$B10,'10월'!$R$34:$R$145)</f>
        <v>0</v>
      </c>
      <c r="M10" s="200">
        <f>SUMIF('11월'!$L$34:$L$145,연간_항목별지출!$B10,'11월'!$R$34:$R$145)</f>
        <v>0</v>
      </c>
      <c r="N10" s="200">
        <f>SUMIF('12월'!$L$34:$L$145,연간_항목별지출!$B10,'12월'!$R$34:$R$145)</f>
        <v>0</v>
      </c>
      <c r="O10" s="254">
        <f t="shared" si="1"/>
        <v>0</v>
      </c>
      <c r="P10" s="254">
        <f t="shared" si="2"/>
        <v>0</v>
      </c>
    </row>
    <row r="11" spans="1:17" ht="18" customHeight="1" x14ac:dyDescent="0.3">
      <c r="B11" s="144" t="str">
        <f>항목!J3</f>
        <v>교육비</v>
      </c>
      <c r="C11" s="200">
        <f>SUMIF('1월'!$L$34:$L$165,연간_항목별지출!$B11,'1월'!$T$34:$T$165)</f>
        <v>0</v>
      </c>
      <c r="D11" s="200">
        <f>SUMIF('2월'!$L$34:$L$145,연간_항목별지출!$B11,'2월'!$T$34:$T$145)</f>
        <v>0</v>
      </c>
      <c r="E11" s="200">
        <f>SUMIF('3월'!$L$34:$L$145,연간_항목별지출!$B11,'3월'!$R$34:$R$145)</f>
        <v>0</v>
      </c>
      <c r="F11" s="200">
        <f>SUMIF('4월'!$L$34:$L$145,연간_항목별지출!$B11,'4월'!$R$34:$R$145)</f>
        <v>0</v>
      </c>
      <c r="G11" s="200">
        <f>SUMIF('5월'!$L$34:$L$145,연간_항목별지출!$B11,'5월'!$R$34:$R$145)</f>
        <v>0</v>
      </c>
      <c r="H11" s="200">
        <f>SUMIF('6월'!$L$34:$L$145,연간_항목별지출!$B11,'6월'!$R$34:$R$145)</f>
        <v>0</v>
      </c>
      <c r="I11" s="200">
        <f>SUMIF('7월'!$L$34:$L$145,연간_항목별지출!$B11,'7월'!$R$34:$R$145)</f>
        <v>0</v>
      </c>
      <c r="J11" s="200">
        <f>SUMIF('8월'!$L$34:$L$145,연간_항목별지출!$B11,'8월'!$R$34:$R$145)</f>
        <v>0</v>
      </c>
      <c r="K11" s="200">
        <f>SUMIF('9월'!$L$34:$L$145,연간_항목별지출!$B11,'9월'!$R$34:$R$145)</f>
        <v>0</v>
      </c>
      <c r="L11" s="200">
        <f>SUMIF('10월'!$L$34:$L$145,연간_항목별지출!$B11,'10월'!$R$34:$R$145)</f>
        <v>0</v>
      </c>
      <c r="M11" s="200">
        <f>SUMIF('11월'!$L$34:$L$145,연간_항목별지출!$B11,'11월'!$R$34:$R$145)</f>
        <v>0</v>
      </c>
      <c r="N11" s="200">
        <f>SUMIF('12월'!$L$34:$L$145,연간_항목별지출!$B11,'12월'!$R$34:$R$145)</f>
        <v>0</v>
      </c>
      <c r="O11" s="254">
        <f t="shared" si="1"/>
        <v>0</v>
      </c>
      <c r="P11" s="254">
        <f t="shared" si="2"/>
        <v>0</v>
      </c>
    </row>
    <row r="12" spans="1:17" ht="18" customHeight="1" x14ac:dyDescent="0.3">
      <c r="B12" s="144" t="str">
        <f>항목!K3</f>
        <v>문화생활비</v>
      </c>
      <c r="C12" s="200">
        <f>SUMIF('1월'!$L$34:$L$165,연간_항목별지출!$B12,'1월'!$T$34:$T$165)</f>
        <v>0</v>
      </c>
      <c r="D12" s="200">
        <f>SUMIF('2월'!$L$34:$L$145,연간_항목별지출!$B12,'2월'!$T$34:$T$145)</f>
        <v>0</v>
      </c>
      <c r="E12" s="200">
        <f>SUMIF('3월'!$L$34:$L$145,연간_항목별지출!$B12,'3월'!$R$34:$R$145)</f>
        <v>0</v>
      </c>
      <c r="F12" s="200">
        <f>SUMIF('4월'!$L$34:$L$145,연간_항목별지출!$B12,'4월'!$R$34:$R$145)</f>
        <v>0</v>
      </c>
      <c r="G12" s="200">
        <f>SUMIF('5월'!$L$34:$L$145,연간_항목별지출!$B12,'5월'!$R$34:$R$145)</f>
        <v>0</v>
      </c>
      <c r="H12" s="200">
        <f>SUMIF('6월'!$L$34:$L$145,연간_항목별지출!$B12,'6월'!$R$34:$R$145)</f>
        <v>0</v>
      </c>
      <c r="I12" s="200">
        <f>SUMIF('7월'!$L$34:$L$145,연간_항목별지출!$B12,'7월'!$R$34:$R$145)</f>
        <v>0</v>
      </c>
      <c r="J12" s="200">
        <f>SUMIF('8월'!$L$34:$L$145,연간_항목별지출!$B12,'8월'!$R$34:$R$145)</f>
        <v>0</v>
      </c>
      <c r="K12" s="200">
        <f>SUMIF('9월'!$L$34:$L$145,연간_항목별지출!$B12,'9월'!$R$34:$R$145)</f>
        <v>0</v>
      </c>
      <c r="L12" s="200">
        <f>SUMIF('10월'!$L$34:$L$145,연간_항목별지출!$B12,'10월'!$R$34:$R$145)</f>
        <v>0</v>
      </c>
      <c r="M12" s="200">
        <f>SUMIF('11월'!$L$34:$L$145,연간_항목별지출!$B12,'11월'!$R$34:$R$145)</f>
        <v>0</v>
      </c>
      <c r="N12" s="200">
        <f>SUMIF('12월'!$L$34:$L$145,연간_항목별지출!$B12,'12월'!$R$34:$R$145)</f>
        <v>0</v>
      </c>
      <c r="O12" s="254">
        <f t="shared" si="1"/>
        <v>0</v>
      </c>
      <c r="P12" s="254">
        <f t="shared" si="2"/>
        <v>0</v>
      </c>
    </row>
    <row r="13" spans="1:17" ht="18" customHeight="1" x14ac:dyDescent="0.3">
      <c r="B13" s="144" t="str">
        <f>항목!L3</f>
        <v>의료비</v>
      </c>
      <c r="C13" s="200">
        <f>SUMIF('1월'!$L$34:$L$165,연간_항목별지출!$B13,'1월'!$T$34:$T$165)</f>
        <v>0</v>
      </c>
      <c r="D13" s="200">
        <f>SUMIF('2월'!$L$34:$L$145,연간_항목별지출!$B13,'2월'!$T$34:$T$145)</f>
        <v>0</v>
      </c>
      <c r="E13" s="200">
        <f>SUMIF('3월'!$L$34:$L$145,연간_항목별지출!$B13,'3월'!$R$34:$R$145)</f>
        <v>0</v>
      </c>
      <c r="F13" s="200">
        <f>SUMIF('4월'!$L$34:$L$145,연간_항목별지출!$B13,'4월'!$R$34:$R$145)</f>
        <v>0</v>
      </c>
      <c r="G13" s="200">
        <f>SUMIF('5월'!$L$34:$L$145,연간_항목별지출!$B13,'5월'!$R$34:$R$145)</f>
        <v>0</v>
      </c>
      <c r="H13" s="200">
        <f>SUMIF('6월'!$L$34:$L$145,연간_항목별지출!$B13,'6월'!$R$34:$R$145)</f>
        <v>0</v>
      </c>
      <c r="I13" s="200">
        <f>SUMIF('7월'!$L$34:$L$145,연간_항목별지출!$B13,'7월'!$R$34:$R$145)</f>
        <v>0</v>
      </c>
      <c r="J13" s="200">
        <f>SUMIF('8월'!$L$34:$L$145,연간_항목별지출!$B13,'8월'!$R$34:$R$145)</f>
        <v>0</v>
      </c>
      <c r="K13" s="200">
        <f>SUMIF('9월'!$L$34:$L$145,연간_항목별지출!$B13,'9월'!$R$34:$R$145)</f>
        <v>0</v>
      </c>
      <c r="L13" s="200">
        <f>SUMIF('10월'!$L$34:$L$145,연간_항목별지출!$B13,'10월'!$R$34:$R$145)</f>
        <v>0</v>
      </c>
      <c r="M13" s="200">
        <f>SUMIF('11월'!$L$34:$L$145,연간_항목별지출!$B13,'11월'!$R$34:$R$145)</f>
        <v>0</v>
      </c>
      <c r="N13" s="200">
        <f>SUMIF('12월'!$L$34:$L$145,연간_항목별지출!$B13,'12월'!$R$34:$R$145)</f>
        <v>0</v>
      </c>
      <c r="O13" s="254">
        <f t="shared" si="1"/>
        <v>0</v>
      </c>
      <c r="P13" s="254">
        <f t="shared" si="2"/>
        <v>0</v>
      </c>
    </row>
    <row r="14" spans="1:17" ht="18" customHeight="1" x14ac:dyDescent="0.3">
      <c r="B14" s="144" t="str">
        <f>항목!M3</f>
        <v>유류교통비</v>
      </c>
      <c r="C14" s="200">
        <f>SUMIF('1월'!$L$34:$L$165,연간_항목별지출!$B14,'1월'!$T$34:$T$165)</f>
        <v>0</v>
      </c>
      <c r="D14" s="200">
        <f>SUMIF('2월'!$L$34:$L$145,연간_항목별지출!$B14,'2월'!$T$34:$T$145)</f>
        <v>0</v>
      </c>
      <c r="E14" s="200">
        <f>SUMIF('3월'!$L$34:$L$145,연간_항목별지출!$B14,'3월'!$R$34:$R$145)</f>
        <v>0</v>
      </c>
      <c r="F14" s="200">
        <f>SUMIF('4월'!$L$34:$L$145,연간_항목별지출!$B14,'4월'!$R$34:$R$145)</f>
        <v>0</v>
      </c>
      <c r="G14" s="200">
        <f>SUMIF('5월'!$L$34:$L$145,연간_항목별지출!$B14,'5월'!$R$34:$R$145)</f>
        <v>0</v>
      </c>
      <c r="H14" s="200">
        <f>SUMIF('6월'!$L$34:$L$145,연간_항목별지출!$B14,'6월'!$R$34:$R$145)</f>
        <v>0</v>
      </c>
      <c r="I14" s="200">
        <f>SUMIF('7월'!$L$34:$L$145,연간_항목별지출!$B14,'7월'!$R$34:$R$145)</f>
        <v>0</v>
      </c>
      <c r="J14" s="200">
        <f>SUMIF('8월'!$L$34:$L$145,연간_항목별지출!$B14,'8월'!$R$34:$R$145)</f>
        <v>0</v>
      </c>
      <c r="K14" s="200">
        <f>SUMIF('9월'!$L$34:$L$145,연간_항목별지출!$B14,'9월'!$R$34:$R$145)</f>
        <v>0</v>
      </c>
      <c r="L14" s="200">
        <f>SUMIF('10월'!$L$34:$L$145,연간_항목별지출!$B14,'10월'!$R$34:$R$145)</f>
        <v>0</v>
      </c>
      <c r="M14" s="200">
        <f>SUMIF('11월'!$L$34:$L$145,연간_항목별지출!$B14,'11월'!$R$34:$R$145)</f>
        <v>0</v>
      </c>
      <c r="N14" s="200">
        <f>SUMIF('12월'!$L$34:$L$145,연간_항목별지출!$B14,'12월'!$R$34:$R$145)</f>
        <v>0</v>
      </c>
      <c r="O14" s="254">
        <f t="shared" si="1"/>
        <v>0</v>
      </c>
      <c r="P14" s="254">
        <f t="shared" si="2"/>
        <v>0</v>
      </c>
    </row>
    <row r="15" spans="1:17" ht="18" customHeight="1" x14ac:dyDescent="0.3">
      <c r="B15" s="144" t="str">
        <f>항목!N3</f>
        <v>통신비</v>
      </c>
      <c r="C15" s="200">
        <f>SUMIF('1월'!$L$34:$L$165,연간_항목별지출!$B15,'1월'!$T$34:$T$165)</f>
        <v>0</v>
      </c>
      <c r="D15" s="200">
        <f>SUMIF('2월'!$L$34:$L$145,연간_항목별지출!$B15,'2월'!$T$34:$T$145)</f>
        <v>0</v>
      </c>
      <c r="E15" s="200">
        <f>SUMIF('3월'!$L$34:$L$145,연간_항목별지출!$B15,'3월'!$R$34:$R$145)</f>
        <v>0</v>
      </c>
      <c r="F15" s="200">
        <f>SUMIF('4월'!$L$34:$L$145,연간_항목별지출!$B15,'4월'!$R$34:$R$145)</f>
        <v>0</v>
      </c>
      <c r="G15" s="200">
        <f>SUMIF('5월'!$L$34:$L$145,연간_항목별지출!$B15,'5월'!$R$34:$R$145)</f>
        <v>0</v>
      </c>
      <c r="H15" s="200">
        <f>SUMIF('6월'!$L$34:$L$145,연간_항목별지출!$B15,'6월'!$R$34:$R$145)</f>
        <v>0</v>
      </c>
      <c r="I15" s="200">
        <f>SUMIF('7월'!$L$34:$L$145,연간_항목별지출!$B15,'7월'!$R$34:$R$145)</f>
        <v>0</v>
      </c>
      <c r="J15" s="200">
        <f>SUMIF('8월'!$L$34:$L$145,연간_항목별지출!$B15,'8월'!$R$34:$R$145)</f>
        <v>0</v>
      </c>
      <c r="K15" s="200">
        <f>SUMIF('9월'!$L$34:$L$145,연간_항목별지출!$B15,'9월'!$R$34:$R$145)</f>
        <v>0</v>
      </c>
      <c r="L15" s="200">
        <f>SUMIF('10월'!$L$34:$L$145,연간_항목별지출!$B15,'10월'!$R$34:$R$145)</f>
        <v>0</v>
      </c>
      <c r="M15" s="200">
        <f>SUMIF('11월'!$L$34:$L$145,연간_항목별지출!$B15,'11월'!$R$34:$R$145)</f>
        <v>0</v>
      </c>
      <c r="N15" s="200">
        <f>SUMIF('12월'!$L$34:$L$145,연간_항목별지출!$B15,'12월'!$R$34:$R$145)</f>
        <v>0</v>
      </c>
      <c r="O15" s="254">
        <f t="shared" si="1"/>
        <v>0</v>
      </c>
      <c r="P15" s="254">
        <f t="shared" si="2"/>
        <v>0</v>
      </c>
    </row>
    <row r="16" spans="1:17" ht="18" customHeight="1" x14ac:dyDescent="0.3">
      <c r="B16" s="144" t="str">
        <f>항목!O3</f>
        <v>경조사회비</v>
      </c>
      <c r="C16" s="200">
        <f>SUMIF('1월'!$L$34:$L$165,연간_항목별지출!$B16,'1월'!$T$34:$T$165)</f>
        <v>0</v>
      </c>
      <c r="D16" s="200">
        <f>SUMIF('2월'!$L$34:$L$145,연간_항목별지출!$B16,'2월'!$T$34:$T$145)</f>
        <v>0</v>
      </c>
      <c r="E16" s="200">
        <f>SUMIF('3월'!$L$34:$L$145,연간_항목별지출!$B16,'3월'!$R$34:$R$145)</f>
        <v>0</v>
      </c>
      <c r="F16" s="200">
        <f>SUMIF('4월'!$L$34:$L$145,연간_항목별지출!$B16,'4월'!$R$34:$R$145)</f>
        <v>0</v>
      </c>
      <c r="G16" s="200">
        <f>SUMIF('5월'!$L$34:$L$145,연간_항목별지출!$B16,'5월'!$R$34:$R$145)</f>
        <v>0</v>
      </c>
      <c r="H16" s="200">
        <f>SUMIF('6월'!$L$34:$L$145,연간_항목별지출!$B16,'6월'!$R$34:$R$145)</f>
        <v>0</v>
      </c>
      <c r="I16" s="200">
        <f>SUMIF('7월'!$L$34:$L$145,연간_항목별지출!$B16,'7월'!$R$34:$R$145)</f>
        <v>0</v>
      </c>
      <c r="J16" s="200">
        <f>SUMIF('8월'!$L$34:$L$145,연간_항목별지출!$B16,'8월'!$R$34:$R$145)</f>
        <v>0</v>
      </c>
      <c r="K16" s="200">
        <f>SUMIF('9월'!$L$34:$L$145,연간_항목별지출!$B16,'9월'!$R$34:$R$145)</f>
        <v>0</v>
      </c>
      <c r="L16" s="200">
        <f>SUMIF('10월'!$L$34:$L$145,연간_항목별지출!$B16,'10월'!$R$34:$R$145)</f>
        <v>0</v>
      </c>
      <c r="M16" s="200">
        <f>SUMIF('11월'!$L$34:$L$145,연간_항목별지출!$B16,'11월'!$R$34:$R$145)</f>
        <v>0</v>
      </c>
      <c r="N16" s="200">
        <f>SUMIF('12월'!$L$34:$L$145,연간_항목별지출!$B16,'12월'!$R$34:$R$145)</f>
        <v>0</v>
      </c>
      <c r="O16" s="254">
        <f t="shared" si="1"/>
        <v>0</v>
      </c>
      <c r="P16" s="254">
        <f t="shared" si="2"/>
        <v>0</v>
      </c>
    </row>
    <row r="17" spans="2:16" ht="18" customHeight="1" x14ac:dyDescent="0.3">
      <c r="B17" s="144" t="str">
        <f>항목!P3</f>
        <v>용돈</v>
      </c>
      <c r="C17" s="200">
        <f>SUMIF('1월'!$L$34:$L$165,연간_항목별지출!$B17,'1월'!$T$34:$T$165)</f>
        <v>0</v>
      </c>
      <c r="D17" s="200">
        <f>SUMIF('2월'!$L$34:$L$145,연간_항목별지출!$B17,'2월'!$T$34:$T$145)</f>
        <v>0</v>
      </c>
      <c r="E17" s="200">
        <f>SUMIF('3월'!$L$34:$L$145,연간_항목별지출!$B17,'3월'!$R$34:$R$145)</f>
        <v>0</v>
      </c>
      <c r="F17" s="200">
        <f>SUMIF('4월'!$L$34:$L$145,연간_항목별지출!$B17,'4월'!$R$34:$R$145)</f>
        <v>0</v>
      </c>
      <c r="G17" s="200">
        <f>SUMIF('5월'!$L$34:$L$145,연간_항목별지출!$B17,'5월'!$R$34:$R$145)</f>
        <v>0</v>
      </c>
      <c r="H17" s="200">
        <f>SUMIF('6월'!$L$34:$L$145,연간_항목별지출!$B17,'6월'!$R$34:$R$145)</f>
        <v>0</v>
      </c>
      <c r="I17" s="200">
        <f>SUMIF('7월'!$L$34:$L$145,연간_항목별지출!$B17,'7월'!$R$34:$R$145)</f>
        <v>0</v>
      </c>
      <c r="J17" s="200">
        <f>SUMIF('8월'!$L$34:$L$145,연간_항목별지출!$B17,'8월'!$R$34:$R$145)</f>
        <v>0</v>
      </c>
      <c r="K17" s="200">
        <f>SUMIF('9월'!$L$34:$L$145,연간_항목별지출!$B17,'9월'!$R$34:$R$145)</f>
        <v>0</v>
      </c>
      <c r="L17" s="200">
        <f>SUMIF('10월'!$L$34:$L$145,연간_항목별지출!$B17,'10월'!$R$34:$R$145)</f>
        <v>0</v>
      </c>
      <c r="M17" s="200">
        <f>SUMIF('11월'!$L$34:$L$145,연간_항목별지출!$B17,'11월'!$R$34:$R$145)</f>
        <v>0</v>
      </c>
      <c r="N17" s="200">
        <f>SUMIF('12월'!$L$34:$L$145,연간_항목별지출!$B17,'12월'!$R$34:$R$145)</f>
        <v>0</v>
      </c>
      <c r="O17" s="254">
        <f t="shared" si="1"/>
        <v>0</v>
      </c>
      <c r="P17" s="254">
        <f t="shared" si="2"/>
        <v>0</v>
      </c>
    </row>
    <row r="18" spans="2:16" ht="18" customHeight="1" thickBot="1" x14ac:dyDescent="0.35">
      <c r="B18" s="314" t="str">
        <f>항목!Q3</f>
        <v>추가항목</v>
      </c>
      <c r="C18" s="200">
        <f>SUMIF('1월'!$L$34:$L$165,연간_항목별지출!$B18,'1월'!$T$34:$T$165)</f>
        <v>0</v>
      </c>
      <c r="D18" s="203">
        <f>SUMIF('2월'!$L$34:$L$145,연간_항목별지출!$B18,'2월'!$T$34:$T$145)</f>
        <v>0</v>
      </c>
      <c r="E18" s="203">
        <f>SUMIF('3월'!$L$34:$L$145,연간_항목별지출!$B18,'3월'!$R$34:$R$145)</f>
        <v>0</v>
      </c>
      <c r="F18" s="203">
        <f>SUMIF('4월'!$L$34:$L$145,연간_항목별지출!$B18,'4월'!$R$34:$R$145)</f>
        <v>0</v>
      </c>
      <c r="G18" s="203">
        <f>SUMIF('5월'!$L$34:$L$145,연간_항목별지출!$B18,'5월'!$R$34:$R$145)</f>
        <v>0</v>
      </c>
      <c r="H18" s="203">
        <f>SUMIF('6월'!$L$34:$L$145,연간_항목별지출!$B18,'6월'!$R$34:$R$145)</f>
        <v>0</v>
      </c>
      <c r="I18" s="203">
        <f>SUMIF('7월'!$L$34:$L$145,연간_항목별지출!$B18,'7월'!$R$34:$R$145)</f>
        <v>0</v>
      </c>
      <c r="J18" s="203">
        <f>SUMIF('8월'!$L$34:$L$145,연간_항목별지출!$B18,'8월'!$R$34:$R$145)</f>
        <v>0</v>
      </c>
      <c r="K18" s="203">
        <f>SUMIF('9월'!$L$34:$L$145,연간_항목별지출!$B18,'9월'!$R$34:$R$145)</f>
        <v>0</v>
      </c>
      <c r="L18" s="203">
        <f>SUMIF('10월'!$L$34:$L$146,연간_항목별지출!$B18,'10월'!$R$34:$R$146)</f>
        <v>0</v>
      </c>
      <c r="M18" s="203">
        <f>SUMIF('11월'!$L$34:$L$145,연간_항목별지출!$B18,'11월'!$R$34:$R$145)</f>
        <v>0</v>
      </c>
      <c r="N18" s="203">
        <f>SUMIF('12월'!$L$34:$L$145,연간_항목별지출!$B18,'12월'!$R$34:$R$145)</f>
        <v>0</v>
      </c>
      <c r="O18" s="256">
        <f t="shared" si="1"/>
        <v>0</v>
      </c>
      <c r="P18" s="256">
        <f t="shared" si="2"/>
        <v>0</v>
      </c>
    </row>
    <row r="19" spans="2:16" ht="24.95" customHeight="1" thickBot="1" x14ac:dyDescent="0.35">
      <c r="B19" s="257" t="s">
        <v>171</v>
      </c>
      <c r="C19" s="258">
        <f t="shared" ref="C19:O19" si="3">C4+C5</f>
        <v>0</v>
      </c>
      <c r="D19" s="258">
        <f t="shared" si="3"/>
        <v>0</v>
      </c>
      <c r="E19" s="258">
        <f t="shared" si="3"/>
        <v>0</v>
      </c>
      <c r="F19" s="258">
        <f t="shared" si="3"/>
        <v>0</v>
      </c>
      <c r="G19" s="258">
        <f t="shared" si="3"/>
        <v>0</v>
      </c>
      <c r="H19" s="258">
        <f t="shared" si="3"/>
        <v>0</v>
      </c>
      <c r="I19" s="258">
        <f t="shared" si="3"/>
        <v>0</v>
      </c>
      <c r="J19" s="258">
        <f t="shared" si="3"/>
        <v>0</v>
      </c>
      <c r="K19" s="258">
        <f t="shared" si="3"/>
        <v>0</v>
      </c>
      <c r="L19" s="258">
        <f t="shared" si="3"/>
        <v>0</v>
      </c>
      <c r="M19" s="258">
        <f t="shared" si="3"/>
        <v>0</v>
      </c>
      <c r="N19" s="259">
        <f t="shared" si="3"/>
        <v>0</v>
      </c>
      <c r="O19" s="258">
        <f t="shared" si="3"/>
        <v>0</v>
      </c>
      <c r="P19" s="260">
        <f>O19/12</f>
        <v>0</v>
      </c>
    </row>
    <row r="20" spans="2:16" ht="18" customHeight="1" x14ac:dyDescent="0.3">
      <c r="B20" s="143" t="str">
        <f t="shared" ref="B20:B31" si="4">B6&amp;"율"</f>
        <v>식비율</v>
      </c>
      <c r="C20" s="261" t="str">
        <f t="shared" ref="C20:O20" si="5">IF(C6&gt;0,C6/C$5,"")</f>
        <v/>
      </c>
      <c r="D20" s="261" t="str">
        <f t="shared" si="5"/>
        <v/>
      </c>
      <c r="E20" s="261" t="str">
        <f t="shared" si="5"/>
        <v/>
      </c>
      <c r="F20" s="261" t="str">
        <f t="shared" si="5"/>
        <v/>
      </c>
      <c r="G20" s="261" t="str">
        <f t="shared" si="5"/>
        <v/>
      </c>
      <c r="H20" s="261" t="str">
        <f t="shared" si="5"/>
        <v/>
      </c>
      <c r="I20" s="261" t="str">
        <f t="shared" si="5"/>
        <v/>
      </c>
      <c r="J20" s="261" t="str">
        <f t="shared" si="5"/>
        <v/>
      </c>
      <c r="K20" s="261" t="str">
        <f t="shared" si="5"/>
        <v/>
      </c>
      <c r="L20" s="261" t="str">
        <f t="shared" si="5"/>
        <v/>
      </c>
      <c r="M20" s="261" t="str">
        <f t="shared" si="5"/>
        <v/>
      </c>
      <c r="N20" s="262" t="str">
        <f t="shared" si="5"/>
        <v/>
      </c>
      <c r="O20" s="263" t="str">
        <f t="shared" si="5"/>
        <v/>
      </c>
      <c r="P20" s="254"/>
    </row>
    <row r="21" spans="2:16" ht="18" customHeight="1" x14ac:dyDescent="0.3">
      <c r="B21" s="144" t="str">
        <f t="shared" si="4"/>
        <v>주거비율</v>
      </c>
      <c r="C21" s="261" t="str">
        <f t="shared" ref="C21:O21" si="6">IF(C7&gt;0,C7/C$5,"")</f>
        <v/>
      </c>
      <c r="D21" s="261" t="str">
        <f t="shared" si="6"/>
        <v/>
      </c>
      <c r="E21" s="261" t="str">
        <f t="shared" si="6"/>
        <v/>
      </c>
      <c r="F21" s="261" t="str">
        <f t="shared" si="6"/>
        <v/>
      </c>
      <c r="G21" s="261" t="str">
        <f t="shared" si="6"/>
        <v/>
      </c>
      <c r="H21" s="261" t="str">
        <f t="shared" si="6"/>
        <v/>
      </c>
      <c r="I21" s="261" t="str">
        <f t="shared" si="6"/>
        <v/>
      </c>
      <c r="J21" s="261" t="str">
        <f t="shared" si="6"/>
        <v/>
      </c>
      <c r="K21" s="261" t="str">
        <f t="shared" si="6"/>
        <v/>
      </c>
      <c r="L21" s="261" t="str">
        <f t="shared" si="6"/>
        <v/>
      </c>
      <c r="M21" s="261" t="str">
        <f t="shared" si="6"/>
        <v/>
      </c>
      <c r="N21" s="262" t="str">
        <f t="shared" si="6"/>
        <v/>
      </c>
      <c r="O21" s="263" t="str">
        <f t="shared" si="6"/>
        <v/>
      </c>
      <c r="P21" s="264"/>
    </row>
    <row r="22" spans="2:16" ht="18" customHeight="1" x14ac:dyDescent="0.3">
      <c r="B22" s="144" t="str">
        <f t="shared" si="4"/>
        <v>생활용품비율</v>
      </c>
      <c r="C22" s="261" t="str">
        <f t="shared" ref="C22:O22" si="7">IF(C8&gt;0,C8/C$5,"")</f>
        <v/>
      </c>
      <c r="D22" s="261" t="str">
        <f t="shared" si="7"/>
        <v/>
      </c>
      <c r="E22" s="261" t="str">
        <f t="shared" si="7"/>
        <v/>
      </c>
      <c r="F22" s="261" t="str">
        <f t="shared" si="7"/>
        <v/>
      </c>
      <c r="G22" s="261" t="str">
        <f t="shared" si="7"/>
        <v/>
      </c>
      <c r="H22" s="261" t="str">
        <f t="shared" si="7"/>
        <v/>
      </c>
      <c r="I22" s="261" t="str">
        <f t="shared" si="7"/>
        <v/>
      </c>
      <c r="J22" s="261" t="str">
        <f t="shared" si="7"/>
        <v/>
      </c>
      <c r="K22" s="261" t="str">
        <f t="shared" si="7"/>
        <v/>
      </c>
      <c r="L22" s="261" t="str">
        <f t="shared" si="7"/>
        <v/>
      </c>
      <c r="M22" s="261" t="str">
        <f t="shared" si="7"/>
        <v/>
      </c>
      <c r="N22" s="262" t="str">
        <f t="shared" si="7"/>
        <v/>
      </c>
      <c r="O22" s="263" t="str">
        <f t="shared" si="7"/>
        <v/>
      </c>
      <c r="P22" s="264"/>
    </row>
    <row r="23" spans="2:16" ht="18" customHeight="1" x14ac:dyDescent="0.3">
      <c r="B23" s="144" t="str">
        <f t="shared" si="4"/>
        <v>반려동물비율</v>
      </c>
      <c r="C23" s="261" t="str">
        <f t="shared" ref="C23:O23" si="8">IF(C9&gt;0,C9/C$5,"")</f>
        <v/>
      </c>
      <c r="D23" s="261" t="str">
        <f t="shared" si="8"/>
        <v/>
      </c>
      <c r="E23" s="261" t="str">
        <f t="shared" si="8"/>
        <v/>
      </c>
      <c r="F23" s="261" t="str">
        <f t="shared" si="8"/>
        <v/>
      </c>
      <c r="G23" s="261" t="str">
        <f t="shared" si="8"/>
        <v/>
      </c>
      <c r="H23" s="261" t="str">
        <f t="shared" si="8"/>
        <v/>
      </c>
      <c r="I23" s="261" t="str">
        <f t="shared" si="8"/>
        <v/>
      </c>
      <c r="J23" s="261" t="str">
        <f t="shared" si="8"/>
        <v/>
      </c>
      <c r="K23" s="261" t="str">
        <f t="shared" si="8"/>
        <v/>
      </c>
      <c r="L23" s="261" t="str">
        <f t="shared" si="8"/>
        <v/>
      </c>
      <c r="M23" s="261" t="str">
        <f t="shared" si="8"/>
        <v/>
      </c>
      <c r="N23" s="262" t="str">
        <f t="shared" si="8"/>
        <v/>
      </c>
      <c r="O23" s="263" t="str">
        <f t="shared" si="8"/>
        <v/>
      </c>
      <c r="P23" s="264"/>
    </row>
    <row r="24" spans="2:16" ht="18" customHeight="1" x14ac:dyDescent="0.3">
      <c r="B24" s="144" t="str">
        <f t="shared" si="4"/>
        <v>의류미용비율</v>
      </c>
      <c r="C24" s="261" t="str">
        <f t="shared" ref="C24:O24" si="9">IF(C10&gt;0,C10/C$5,"")</f>
        <v/>
      </c>
      <c r="D24" s="261" t="str">
        <f t="shared" si="9"/>
        <v/>
      </c>
      <c r="E24" s="261" t="str">
        <f t="shared" si="9"/>
        <v/>
      </c>
      <c r="F24" s="261" t="str">
        <f t="shared" si="9"/>
        <v/>
      </c>
      <c r="G24" s="261" t="str">
        <f t="shared" si="9"/>
        <v/>
      </c>
      <c r="H24" s="261" t="str">
        <f t="shared" si="9"/>
        <v/>
      </c>
      <c r="I24" s="261" t="str">
        <f t="shared" si="9"/>
        <v/>
      </c>
      <c r="J24" s="261" t="str">
        <f t="shared" si="9"/>
        <v/>
      </c>
      <c r="K24" s="261" t="str">
        <f t="shared" si="9"/>
        <v/>
      </c>
      <c r="L24" s="261" t="str">
        <f t="shared" si="9"/>
        <v/>
      </c>
      <c r="M24" s="261" t="str">
        <f t="shared" si="9"/>
        <v/>
      </c>
      <c r="N24" s="262" t="str">
        <f t="shared" si="9"/>
        <v/>
      </c>
      <c r="O24" s="263" t="str">
        <f t="shared" si="9"/>
        <v/>
      </c>
      <c r="P24" s="264"/>
    </row>
    <row r="25" spans="2:16" ht="18" customHeight="1" x14ac:dyDescent="0.3">
      <c r="B25" s="144" t="str">
        <f t="shared" si="4"/>
        <v>교육비율</v>
      </c>
      <c r="C25" s="261" t="str">
        <f t="shared" ref="C25:O25" si="10">IF(C11&gt;0,C11/C$5,"")</f>
        <v/>
      </c>
      <c r="D25" s="261" t="str">
        <f t="shared" si="10"/>
        <v/>
      </c>
      <c r="E25" s="261" t="str">
        <f t="shared" si="10"/>
        <v/>
      </c>
      <c r="F25" s="261" t="str">
        <f t="shared" si="10"/>
        <v/>
      </c>
      <c r="G25" s="261" t="str">
        <f t="shared" si="10"/>
        <v/>
      </c>
      <c r="H25" s="261" t="str">
        <f t="shared" si="10"/>
        <v/>
      </c>
      <c r="I25" s="261" t="str">
        <f t="shared" si="10"/>
        <v/>
      </c>
      <c r="J25" s="261" t="str">
        <f t="shared" si="10"/>
        <v/>
      </c>
      <c r="K25" s="261" t="str">
        <f t="shared" si="10"/>
        <v/>
      </c>
      <c r="L25" s="261" t="str">
        <f t="shared" si="10"/>
        <v/>
      </c>
      <c r="M25" s="261" t="str">
        <f t="shared" si="10"/>
        <v/>
      </c>
      <c r="N25" s="262" t="str">
        <f t="shared" si="10"/>
        <v/>
      </c>
      <c r="O25" s="263" t="str">
        <f t="shared" si="10"/>
        <v/>
      </c>
      <c r="P25" s="264"/>
    </row>
    <row r="26" spans="2:16" ht="18" customHeight="1" x14ac:dyDescent="0.3">
      <c r="B26" s="144" t="str">
        <f t="shared" si="4"/>
        <v>문화생활비율</v>
      </c>
      <c r="C26" s="261" t="str">
        <f t="shared" ref="C26:O26" si="11">IF(C12&gt;0,C12/C$5,"")</f>
        <v/>
      </c>
      <c r="D26" s="261" t="str">
        <f t="shared" si="11"/>
        <v/>
      </c>
      <c r="E26" s="261" t="str">
        <f t="shared" si="11"/>
        <v/>
      </c>
      <c r="F26" s="261" t="str">
        <f t="shared" si="11"/>
        <v/>
      </c>
      <c r="G26" s="261" t="str">
        <f t="shared" si="11"/>
        <v/>
      </c>
      <c r="H26" s="261" t="str">
        <f t="shared" si="11"/>
        <v/>
      </c>
      <c r="I26" s="261" t="str">
        <f t="shared" si="11"/>
        <v/>
      </c>
      <c r="J26" s="261" t="str">
        <f t="shared" si="11"/>
        <v/>
      </c>
      <c r="K26" s="261" t="str">
        <f t="shared" si="11"/>
        <v/>
      </c>
      <c r="L26" s="261" t="str">
        <f t="shared" si="11"/>
        <v/>
      </c>
      <c r="M26" s="261" t="str">
        <f t="shared" si="11"/>
        <v/>
      </c>
      <c r="N26" s="262" t="str">
        <f t="shared" si="11"/>
        <v/>
      </c>
      <c r="O26" s="263" t="str">
        <f t="shared" si="11"/>
        <v/>
      </c>
      <c r="P26" s="264"/>
    </row>
    <row r="27" spans="2:16" ht="18" customHeight="1" x14ac:dyDescent="0.3">
      <c r="B27" s="144" t="str">
        <f t="shared" si="4"/>
        <v>의료비율</v>
      </c>
      <c r="C27" s="261" t="str">
        <f t="shared" ref="C27:O27" si="12">IF(C13&gt;0,C13/C$5,"")</f>
        <v/>
      </c>
      <c r="D27" s="261" t="str">
        <f t="shared" si="12"/>
        <v/>
      </c>
      <c r="E27" s="261" t="str">
        <f t="shared" si="12"/>
        <v/>
      </c>
      <c r="F27" s="261" t="str">
        <f t="shared" si="12"/>
        <v/>
      </c>
      <c r="G27" s="261" t="str">
        <f t="shared" si="12"/>
        <v/>
      </c>
      <c r="H27" s="261" t="str">
        <f t="shared" si="12"/>
        <v/>
      </c>
      <c r="I27" s="261" t="str">
        <f t="shared" si="12"/>
        <v/>
      </c>
      <c r="J27" s="261" t="str">
        <f t="shared" si="12"/>
        <v/>
      </c>
      <c r="K27" s="261" t="str">
        <f t="shared" si="12"/>
        <v/>
      </c>
      <c r="L27" s="261" t="str">
        <f t="shared" si="12"/>
        <v/>
      </c>
      <c r="M27" s="261" t="str">
        <f t="shared" si="12"/>
        <v/>
      </c>
      <c r="N27" s="262" t="str">
        <f t="shared" si="12"/>
        <v/>
      </c>
      <c r="O27" s="263" t="str">
        <f t="shared" si="12"/>
        <v/>
      </c>
      <c r="P27" s="264"/>
    </row>
    <row r="28" spans="2:16" ht="18" customHeight="1" x14ac:dyDescent="0.3">
      <c r="B28" s="144" t="str">
        <f t="shared" si="4"/>
        <v>유류교통비율</v>
      </c>
      <c r="C28" s="261" t="str">
        <f t="shared" ref="C28:O28" si="13">IF(C14&gt;0,C14/C$5,"")</f>
        <v/>
      </c>
      <c r="D28" s="261" t="str">
        <f t="shared" si="13"/>
        <v/>
      </c>
      <c r="E28" s="261" t="str">
        <f t="shared" si="13"/>
        <v/>
      </c>
      <c r="F28" s="261" t="str">
        <f t="shared" si="13"/>
        <v/>
      </c>
      <c r="G28" s="261" t="str">
        <f t="shared" si="13"/>
        <v/>
      </c>
      <c r="H28" s="261" t="str">
        <f t="shared" si="13"/>
        <v/>
      </c>
      <c r="I28" s="261" t="str">
        <f t="shared" si="13"/>
        <v/>
      </c>
      <c r="J28" s="261" t="str">
        <f t="shared" si="13"/>
        <v/>
      </c>
      <c r="K28" s="261" t="str">
        <f t="shared" si="13"/>
        <v/>
      </c>
      <c r="L28" s="261" t="str">
        <f t="shared" si="13"/>
        <v/>
      </c>
      <c r="M28" s="261" t="str">
        <f t="shared" si="13"/>
        <v/>
      </c>
      <c r="N28" s="262" t="str">
        <f t="shared" si="13"/>
        <v/>
      </c>
      <c r="O28" s="263" t="str">
        <f t="shared" si="13"/>
        <v/>
      </c>
      <c r="P28" s="264"/>
    </row>
    <row r="29" spans="2:16" ht="18" customHeight="1" x14ac:dyDescent="0.3">
      <c r="B29" s="144" t="str">
        <f t="shared" si="4"/>
        <v>통신비율</v>
      </c>
      <c r="C29" s="261" t="str">
        <f t="shared" ref="C29:O29" si="14">IF(C15&gt;0,C15/C$5,"")</f>
        <v/>
      </c>
      <c r="D29" s="261" t="str">
        <f t="shared" si="14"/>
        <v/>
      </c>
      <c r="E29" s="261" t="str">
        <f t="shared" si="14"/>
        <v/>
      </c>
      <c r="F29" s="261" t="str">
        <f t="shared" si="14"/>
        <v/>
      </c>
      <c r="G29" s="261" t="str">
        <f t="shared" si="14"/>
        <v/>
      </c>
      <c r="H29" s="261" t="str">
        <f t="shared" si="14"/>
        <v/>
      </c>
      <c r="I29" s="261" t="str">
        <f t="shared" si="14"/>
        <v/>
      </c>
      <c r="J29" s="261" t="str">
        <f t="shared" si="14"/>
        <v/>
      </c>
      <c r="K29" s="261" t="str">
        <f t="shared" si="14"/>
        <v/>
      </c>
      <c r="L29" s="261" t="str">
        <f t="shared" si="14"/>
        <v/>
      </c>
      <c r="M29" s="261" t="str">
        <f t="shared" si="14"/>
        <v/>
      </c>
      <c r="N29" s="262" t="str">
        <f t="shared" si="14"/>
        <v/>
      </c>
      <c r="O29" s="263" t="str">
        <f t="shared" si="14"/>
        <v/>
      </c>
      <c r="P29" s="264"/>
    </row>
    <row r="30" spans="2:16" ht="18" customHeight="1" x14ac:dyDescent="0.3">
      <c r="B30" s="144" t="str">
        <f t="shared" si="4"/>
        <v>경조사회비율</v>
      </c>
      <c r="C30" s="261" t="str">
        <f t="shared" ref="C30:O31" si="15">IF(C16&gt;0,C16/C$5,"")</f>
        <v/>
      </c>
      <c r="D30" s="261" t="str">
        <f t="shared" si="15"/>
        <v/>
      </c>
      <c r="E30" s="261" t="str">
        <f t="shared" si="15"/>
        <v/>
      </c>
      <c r="F30" s="261" t="str">
        <f t="shared" si="15"/>
        <v/>
      </c>
      <c r="G30" s="261" t="str">
        <f t="shared" si="15"/>
        <v/>
      </c>
      <c r="H30" s="261" t="str">
        <f t="shared" si="15"/>
        <v/>
      </c>
      <c r="I30" s="261" t="str">
        <f t="shared" si="15"/>
        <v/>
      </c>
      <c r="J30" s="261" t="str">
        <f t="shared" si="15"/>
        <v/>
      </c>
      <c r="K30" s="261" t="str">
        <f t="shared" si="15"/>
        <v/>
      </c>
      <c r="L30" s="261" t="str">
        <f t="shared" si="15"/>
        <v/>
      </c>
      <c r="M30" s="261" t="str">
        <f t="shared" si="15"/>
        <v/>
      </c>
      <c r="N30" s="262" t="str">
        <f t="shared" si="15"/>
        <v/>
      </c>
      <c r="O30" s="263" t="str">
        <f t="shared" si="15"/>
        <v/>
      </c>
      <c r="P30" s="264"/>
    </row>
    <row r="31" spans="2:16" ht="18" customHeight="1" x14ac:dyDescent="0.3">
      <c r="B31" s="144" t="str">
        <f t="shared" si="4"/>
        <v>용돈율</v>
      </c>
      <c r="C31" s="261" t="str">
        <f t="shared" si="15"/>
        <v/>
      </c>
      <c r="D31" s="261" t="str">
        <f t="shared" si="15"/>
        <v/>
      </c>
      <c r="E31" s="261" t="str">
        <f t="shared" si="15"/>
        <v/>
      </c>
      <c r="F31" s="261" t="str">
        <f t="shared" si="15"/>
        <v/>
      </c>
      <c r="G31" s="261" t="str">
        <f t="shared" si="15"/>
        <v/>
      </c>
      <c r="H31" s="261" t="str">
        <f t="shared" si="15"/>
        <v/>
      </c>
      <c r="I31" s="261" t="str">
        <f t="shared" si="15"/>
        <v/>
      </c>
      <c r="J31" s="261" t="str">
        <f t="shared" si="15"/>
        <v/>
      </c>
      <c r="K31" s="261" t="str">
        <f t="shared" si="15"/>
        <v/>
      </c>
      <c r="L31" s="261" t="str">
        <f t="shared" si="15"/>
        <v/>
      </c>
      <c r="M31" s="261" t="str">
        <f t="shared" si="15"/>
        <v/>
      </c>
      <c r="N31" s="262" t="str">
        <f t="shared" si="15"/>
        <v/>
      </c>
      <c r="O31" s="263" t="str">
        <f t="shared" si="15"/>
        <v/>
      </c>
      <c r="P31" s="265"/>
    </row>
    <row r="32" spans="2:16" ht="18" customHeight="1" thickBot="1" x14ac:dyDescent="0.35">
      <c r="B32" s="255" t="str">
        <f t="shared" ref="B32" si="16">B18&amp;"율"</f>
        <v>추가항목율</v>
      </c>
      <c r="C32" s="261" t="str">
        <f t="shared" ref="C32:O32" si="17">IF(C18&gt;0,C18/C$5,"")</f>
        <v/>
      </c>
      <c r="D32" s="261" t="str">
        <f t="shared" si="17"/>
        <v/>
      </c>
      <c r="E32" s="261" t="str">
        <f t="shared" si="17"/>
        <v/>
      </c>
      <c r="F32" s="261" t="str">
        <f t="shared" si="17"/>
        <v/>
      </c>
      <c r="G32" s="261" t="str">
        <f t="shared" si="17"/>
        <v/>
      </c>
      <c r="H32" s="261" t="str">
        <f t="shared" si="17"/>
        <v/>
      </c>
      <c r="I32" s="261" t="str">
        <f t="shared" si="17"/>
        <v/>
      </c>
      <c r="J32" s="261" t="str">
        <f t="shared" si="17"/>
        <v/>
      </c>
      <c r="K32" s="261" t="str">
        <f t="shared" si="17"/>
        <v/>
      </c>
      <c r="L32" s="261" t="str">
        <f t="shared" si="17"/>
        <v/>
      </c>
      <c r="M32" s="261" t="str">
        <f t="shared" si="17"/>
        <v/>
      </c>
      <c r="N32" s="262" t="str">
        <f t="shared" si="17"/>
        <v/>
      </c>
      <c r="O32" s="263" t="str">
        <f t="shared" si="17"/>
        <v/>
      </c>
      <c r="P32" s="265"/>
    </row>
    <row r="33" spans="2:16" ht="24.95" customHeight="1" thickBot="1" x14ac:dyDescent="0.35">
      <c r="B33" s="231" t="s">
        <v>4</v>
      </c>
      <c r="C33" s="266">
        <f>SUM(C20:C32)</f>
        <v>0</v>
      </c>
      <c r="D33" s="266">
        <f t="shared" ref="D33:O33" si="18">SUM(D20:D32)</f>
        <v>0</v>
      </c>
      <c r="E33" s="266">
        <f t="shared" si="18"/>
        <v>0</v>
      </c>
      <c r="F33" s="266">
        <f t="shared" si="18"/>
        <v>0</v>
      </c>
      <c r="G33" s="266">
        <f t="shared" si="18"/>
        <v>0</v>
      </c>
      <c r="H33" s="266">
        <f t="shared" si="18"/>
        <v>0</v>
      </c>
      <c r="I33" s="266">
        <f t="shared" si="18"/>
        <v>0</v>
      </c>
      <c r="J33" s="266">
        <f t="shared" si="18"/>
        <v>0</v>
      </c>
      <c r="K33" s="266">
        <f t="shared" si="18"/>
        <v>0</v>
      </c>
      <c r="L33" s="266">
        <f t="shared" si="18"/>
        <v>0</v>
      </c>
      <c r="M33" s="266">
        <f t="shared" si="18"/>
        <v>0</v>
      </c>
      <c r="N33" s="234">
        <f t="shared" si="18"/>
        <v>0</v>
      </c>
      <c r="O33" s="267">
        <f t="shared" si="18"/>
        <v>0</v>
      </c>
      <c r="P33" s="253"/>
    </row>
    <row r="34" spans="2:16" ht="16.5" customHeight="1" x14ac:dyDescent="0.3"/>
    <row r="35" spans="2:16" ht="16.5" customHeight="1" x14ac:dyDescent="0.3">
      <c r="B35" s="125"/>
    </row>
    <row r="36" spans="2:16" ht="16.5" customHeight="1" x14ac:dyDescent="0.3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126"/>
      <c r="P36" s="126"/>
    </row>
    <row r="37" spans="2:16" ht="16.5" customHeight="1" x14ac:dyDescent="0.3">
      <c r="B37" s="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8"/>
      <c r="P37" s="128"/>
    </row>
    <row r="38" spans="2:16" ht="16.5" customHeight="1" x14ac:dyDescent="0.3">
      <c r="B38" s="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8"/>
      <c r="P38" s="128"/>
    </row>
    <row r="39" spans="2:16" ht="16.5" customHeight="1" x14ac:dyDescent="0.3">
      <c r="B39" s="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/>
      <c r="P39" s="128"/>
    </row>
    <row r="40" spans="2:16" ht="16.5" customHeight="1" x14ac:dyDescent="0.3">
      <c r="B40" s="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8"/>
      <c r="P40" s="128"/>
    </row>
    <row r="41" spans="2:16" ht="16.5" customHeight="1" x14ac:dyDescent="0.3">
      <c r="B41" s="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8"/>
      <c r="P41" s="128"/>
    </row>
    <row r="42" spans="2:16" ht="16.5" customHeight="1" x14ac:dyDescent="0.3">
      <c r="B42" s="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8"/>
      <c r="P42" s="128"/>
    </row>
    <row r="43" spans="2:16" ht="16.5" customHeight="1" x14ac:dyDescent="0.3">
      <c r="B43" s="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8"/>
      <c r="P43" s="128"/>
    </row>
    <row r="44" spans="2:16" ht="16.5" customHeight="1" x14ac:dyDescent="0.3">
      <c r="B44" s="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8"/>
      <c r="P44" s="128"/>
    </row>
    <row r="45" spans="2:16" ht="16.5" customHeight="1" x14ac:dyDescent="0.3">
      <c r="B45" s="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8"/>
      <c r="P45" s="128"/>
    </row>
    <row r="46" spans="2:16" ht="16.5" customHeight="1" x14ac:dyDescent="0.3">
      <c r="B46" s="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8"/>
      <c r="P46" s="128"/>
    </row>
    <row r="47" spans="2:16" ht="16.5" customHeight="1" x14ac:dyDescent="0.3">
      <c r="B47" s="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8"/>
      <c r="P47" s="128"/>
    </row>
    <row r="48" spans="2:16" ht="16.5" customHeight="1" x14ac:dyDescent="0.3">
      <c r="B48" s="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8"/>
      <c r="P48" s="128"/>
    </row>
    <row r="49" spans="2:16" ht="16.5" customHeight="1" x14ac:dyDescent="0.3">
      <c r="B49" s="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8"/>
      <c r="P49" s="128"/>
    </row>
    <row r="50" spans="2:16" ht="16.5" customHeight="1" x14ac:dyDescent="0.3">
      <c r="B50" s="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8"/>
      <c r="P50" s="128"/>
    </row>
    <row r="51" spans="2:16" ht="16.5" customHeight="1" x14ac:dyDescent="0.3">
      <c r="B51" s="126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9"/>
    </row>
    <row r="52" spans="2:16" ht="16.5" customHeight="1" x14ac:dyDescent="0.3"/>
    <row r="53" spans="2:16" ht="16.5" customHeight="1" x14ac:dyDescent="0.3"/>
    <row r="54" spans="2:16" ht="16.5" customHeight="1" x14ac:dyDescent="0.3"/>
    <row r="55" spans="2:16" ht="16.5" customHeight="1" x14ac:dyDescent="0.3"/>
    <row r="56" spans="2:16" ht="16.5" customHeight="1" x14ac:dyDescent="0.3"/>
    <row r="57" spans="2:16" ht="16.5" customHeight="1" x14ac:dyDescent="0.3"/>
    <row r="58" spans="2:16" ht="16.5" customHeight="1" x14ac:dyDescent="0.3"/>
    <row r="59" spans="2:16" ht="16.5" customHeight="1" x14ac:dyDescent="0.3"/>
    <row r="60" spans="2:16" ht="16.5" customHeight="1" x14ac:dyDescent="0.3"/>
    <row r="61" spans="2:16" ht="16.5" customHeight="1" x14ac:dyDescent="0.3"/>
    <row r="62" spans="2:16" ht="16.5" customHeight="1" x14ac:dyDescent="0.3"/>
    <row r="63" spans="2:16" ht="16.5" customHeight="1" x14ac:dyDescent="0.3"/>
    <row r="64" spans="2:16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</sheetData>
  <mergeCells count="1">
    <mergeCell ref="B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7"/>
    <pageSetUpPr autoPageBreaks="0" fitToPage="1"/>
  </sheetPr>
  <dimension ref="A1:S217"/>
  <sheetViews>
    <sheetView showGridLines="0" zoomScaleNormal="100" workbookViewId="0">
      <pane ySplit="3" topLeftCell="A13" activePane="bottomLeft" state="frozen"/>
      <selection activeCell="I14" sqref="I14"/>
      <selection pane="bottomLeft" activeCell="E8" sqref="E8"/>
    </sheetView>
  </sheetViews>
  <sheetFormatPr defaultRowHeight="16.5" x14ac:dyDescent="0.3"/>
  <cols>
    <col min="1" max="1" width="4.625" customWidth="1"/>
    <col min="2" max="2" width="12.625" customWidth="1"/>
    <col min="3" max="17" width="10.625" customWidth="1"/>
    <col min="18" max="18" width="10.625" style="306" customWidth="1"/>
    <col min="19" max="19" width="4.625" customWidth="1"/>
  </cols>
  <sheetData>
    <row r="1" spans="1:19" ht="40.5" customHeight="1" x14ac:dyDescent="0.3">
      <c r="A1" s="10"/>
      <c r="B1" s="543" t="s">
        <v>137</v>
      </c>
      <c r="C1" s="543"/>
      <c r="D1" s="54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305"/>
      <c r="S1" s="10"/>
    </row>
    <row r="2" spans="1:19" ht="17.25" thickBot="1" x14ac:dyDescent="0.35"/>
    <row r="3" spans="1:19" ht="30" customHeight="1" thickBot="1" x14ac:dyDescent="0.35">
      <c r="B3" s="554"/>
      <c r="C3" s="555"/>
      <c r="D3" s="29" t="s">
        <v>28</v>
      </c>
      <c r="E3" s="30" t="s">
        <v>31</v>
      </c>
      <c r="F3" s="30" t="s">
        <v>32</v>
      </c>
      <c r="G3" s="30" t="s">
        <v>33</v>
      </c>
      <c r="H3" s="30" t="s">
        <v>34</v>
      </c>
      <c r="I3" s="30" t="s">
        <v>35</v>
      </c>
      <c r="J3" s="30" t="s">
        <v>36</v>
      </c>
      <c r="K3" s="30" t="s">
        <v>37</v>
      </c>
      <c r="L3" s="30" t="s">
        <v>38</v>
      </c>
      <c r="M3" s="30" t="s">
        <v>39</v>
      </c>
      <c r="N3" s="30" t="s">
        <v>40</v>
      </c>
      <c r="O3" s="31" t="s">
        <v>41</v>
      </c>
      <c r="P3" s="250" t="s">
        <v>4</v>
      </c>
      <c r="Q3" s="250" t="s">
        <v>42</v>
      </c>
      <c r="R3" s="311" t="s">
        <v>78</v>
      </c>
    </row>
    <row r="4" spans="1:19" ht="24.95" customHeight="1" thickBot="1" x14ac:dyDescent="0.35">
      <c r="B4" s="552" t="s">
        <v>171</v>
      </c>
      <c r="C4" s="553"/>
      <c r="D4" s="258">
        <f t="shared" ref="D4:O4" si="0">D5+D21</f>
        <v>0</v>
      </c>
      <c r="E4" s="258">
        <f t="shared" si="0"/>
        <v>0</v>
      </c>
      <c r="F4" s="258">
        <f t="shared" si="0"/>
        <v>0</v>
      </c>
      <c r="G4" s="258">
        <f t="shared" si="0"/>
        <v>0</v>
      </c>
      <c r="H4" s="258">
        <f t="shared" si="0"/>
        <v>0</v>
      </c>
      <c r="I4" s="258">
        <f t="shared" si="0"/>
        <v>0</v>
      </c>
      <c r="J4" s="258">
        <f t="shared" si="0"/>
        <v>0</v>
      </c>
      <c r="K4" s="258">
        <f t="shared" si="0"/>
        <v>0</v>
      </c>
      <c r="L4" s="258">
        <f t="shared" si="0"/>
        <v>0</v>
      </c>
      <c r="M4" s="258">
        <f t="shared" si="0"/>
        <v>0</v>
      </c>
      <c r="N4" s="258">
        <f t="shared" si="0"/>
        <v>0</v>
      </c>
      <c r="O4" s="258">
        <f t="shared" si="0"/>
        <v>0</v>
      </c>
      <c r="P4" s="253">
        <f>SUM(D4:O4)</f>
        <v>0</v>
      </c>
      <c r="Q4" s="260">
        <f>P4/12</f>
        <v>0</v>
      </c>
      <c r="R4" s="308">
        <f>IF(P4&gt;0,$R$5+$R$21,)</f>
        <v>0</v>
      </c>
    </row>
    <row r="5" spans="1:19" s="132" customFormat="1" ht="24.95" customHeight="1" thickBot="1" x14ac:dyDescent="0.35">
      <c r="B5" s="548" t="s">
        <v>193</v>
      </c>
      <c r="C5" s="549"/>
      <c r="D5" s="252">
        <f t="shared" ref="D5:O5" si="1">SUM(D6:D20)</f>
        <v>0</v>
      </c>
      <c r="E5" s="252">
        <f t="shared" si="1"/>
        <v>0</v>
      </c>
      <c r="F5" s="252">
        <f t="shared" si="1"/>
        <v>0</v>
      </c>
      <c r="G5" s="252">
        <f t="shared" si="1"/>
        <v>0</v>
      </c>
      <c r="H5" s="252">
        <f t="shared" si="1"/>
        <v>0</v>
      </c>
      <c r="I5" s="252">
        <f t="shared" si="1"/>
        <v>0</v>
      </c>
      <c r="J5" s="252">
        <f t="shared" si="1"/>
        <v>0</v>
      </c>
      <c r="K5" s="252">
        <f t="shared" si="1"/>
        <v>0</v>
      </c>
      <c r="L5" s="252">
        <f t="shared" si="1"/>
        <v>0</v>
      </c>
      <c r="M5" s="252">
        <f t="shared" si="1"/>
        <v>0</v>
      </c>
      <c r="N5" s="252">
        <f t="shared" si="1"/>
        <v>0</v>
      </c>
      <c r="O5" s="252">
        <f t="shared" si="1"/>
        <v>0</v>
      </c>
      <c r="P5" s="253">
        <f>SUM(D5:O5)</f>
        <v>0</v>
      </c>
      <c r="Q5" s="253">
        <f>P5/12</f>
        <v>0</v>
      </c>
      <c r="R5" s="308" t="str">
        <f>IF(P5&gt;0,P5/$P$4,"")</f>
        <v/>
      </c>
    </row>
    <row r="6" spans="1:19" ht="18" customHeight="1" x14ac:dyDescent="0.3">
      <c r="B6" s="556" t="str">
        <f>IF(항목!D4="","",항목!D4)</f>
        <v>예/적금</v>
      </c>
      <c r="C6" s="557"/>
      <c r="D6" s="200">
        <f>SUMIF('1월'!$M$34:$M$165,연간_세부항목별지출!$B6,'1월'!$T$34:$T$165)</f>
        <v>0</v>
      </c>
      <c r="E6" s="200">
        <f>SUMIF('2월'!$M$34:$M$145,연간_세부항목별지출!$B6,'2월'!$T$34:$T$145)</f>
        <v>0</v>
      </c>
      <c r="F6" s="200">
        <f>SUMIF('3월'!$M$34:$M$145,연간_세부항목별지출!$B6,'3월'!$R$34:$R$145)</f>
        <v>0</v>
      </c>
      <c r="G6" s="200">
        <f>SUMIF('4월'!$M$34:$M$145,연간_세부항목별지출!$B6,'4월'!$R$34:$R$145)</f>
        <v>0</v>
      </c>
      <c r="H6" s="200">
        <f>SUMIF('5월'!$M$34:$M$145,연간_세부항목별지출!$B6,'5월'!$R$34:$R$145)</f>
        <v>0</v>
      </c>
      <c r="I6" s="200">
        <f>SUMIF('6월'!$M$34:$M$145,연간_세부항목별지출!$B6,'6월'!$R$34:$R$145)</f>
        <v>0</v>
      </c>
      <c r="J6" s="200">
        <f>SUMIF('7월'!$M$34:$M$145,연간_세부항목별지출!$B6,'7월'!$R$34:$R$145)</f>
        <v>0</v>
      </c>
      <c r="K6" s="200">
        <f>SUMIF('8월'!$M$34:$M$145,연간_세부항목별지출!$B6,'8월'!$R$34:$R$145)</f>
        <v>0</v>
      </c>
      <c r="L6" s="200">
        <f>SUMIF('9월'!$M$34:$M$145,연간_세부항목별지출!$B6,'9월'!$R$34:$R$145)</f>
        <v>0</v>
      </c>
      <c r="M6" s="200">
        <f>SUMIF('10월'!$M$34:$M$145,연간_세부항목별지출!$B6,'10월'!$R$34:$R$145)</f>
        <v>0</v>
      </c>
      <c r="N6" s="200">
        <f>SUMIF('11월'!$M$34:$M$145,연간_세부항목별지출!$B6,'11월'!$R$34:$R$145)</f>
        <v>0</v>
      </c>
      <c r="O6" s="200">
        <f>SUMIF('12월'!$M$34:$M$145,연간_세부항목별지출!$B6,'12월'!$R$34:$R$145)</f>
        <v>0</v>
      </c>
      <c r="P6" s="254">
        <f t="shared" ref="P6:P173" si="2">SUM(D6:O6)</f>
        <v>0</v>
      </c>
      <c r="Q6" s="254">
        <f t="shared" ref="Q6:Q173" si="3">P6/12</f>
        <v>0</v>
      </c>
      <c r="R6" s="309" t="str">
        <f>IF(P6&gt;0,P6/$P$5,"")</f>
        <v/>
      </c>
    </row>
    <row r="7" spans="1:19" ht="18" customHeight="1" x14ac:dyDescent="0.3">
      <c r="B7" s="550" t="str">
        <f>IF(항목!D5="","",항목!D5)</f>
        <v>주택청약</v>
      </c>
      <c r="C7" s="551"/>
      <c r="D7" s="200">
        <f>SUMIF('1월'!$M$34:$M$165,연간_세부항목별지출!$B7,'1월'!$T$34:$T$165)</f>
        <v>0</v>
      </c>
      <c r="E7" s="200">
        <f>SUMIF('2월'!$M$34:$M$145,연간_세부항목별지출!$B7,'2월'!$T$34:$T$145)</f>
        <v>0</v>
      </c>
      <c r="F7" s="200">
        <f>SUMIF('3월'!$M$34:$M$145,연간_세부항목별지출!$B7,'3월'!$R$34:$R$145)</f>
        <v>0</v>
      </c>
      <c r="G7" s="200">
        <f>SUMIF('4월'!$M$34:$M$145,연간_세부항목별지출!$B7,'4월'!$R$34:$R$145)</f>
        <v>0</v>
      </c>
      <c r="H7" s="200">
        <f>SUMIF('5월'!$M$34:$M$145,연간_세부항목별지출!$B7,'5월'!$R$34:$R$145)</f>
        <v>0</v>
      </c>
      <c r="I7" s="200">
        <f>SUMIF('6월'!$M$34:$M$145,연간_세부항목별지출!$B7,'6월'!$R$34:$R$145)</f>
        <v>0</v>
      </c>
      <c r="J7" s="200">
        <f>SUMIF('7월'!$M$34:$M$145,연간_세부항목별지출!$B7,'7월'!$R$34:$R$145)</f>
        <v>0</v>
      </c>
      <c r="K7" s="200">
        <f>SUMIF('8월'!$M$34:$M$145,연간_세부항목별지출!$B7,'8월'!$R$34:$R$145)</f>
        <v>0</v>
      </c>
      <c r="L7" s="200">
        <f>SUMIF('9월'!$M$34:$M$145,연간_세부항목별지출!$B7,'9월'!$R$34:$R$145)</f>
        <v>0</v>
      </c>
      <c r="M7" s="200">
        <f>SUMIF('10월'!$M$34:$M$145,연간_세부항목별지출!$B7,'10월'!$R$34:$R$145)</f>
        <v>0</v>
      </c>
      <c r="N7" s="200">
        <f>SUMIF('11월'!$M$34:$M$145,연간_세부항목별지출!$B7,'11월'!$R$34:$R$145)</f>
        <v>0</v>
      </c>
      <c r="O7" s="200">
        <f>SUMIF('12월'!$M$34:$M$145,연간_세부항목별지출!$B7,'12월'!$R$34:$R$145)</f>
        <v>0</v>
      </c>
      <c r="P7" s="254">
        <f t="shared" si="2"/>
        <v>0</v>
      </c>
      <c r="Q7" s="254">
        <f t="shared" si="3"/>
        <v>0</v>
      </c>
      <c r="R7" s="307" t="str">
        <f t="shared" ref="R7:R20" si="4">IF(P7&gt;0,P7/$P$5,"")</f>
        <v/>
      </c>
    </row>
    <row r="8" spans="1:19" ht="18" customHeight="1" x14ac:dyDescent="0.3">
      <c r="B8" s="550" t="str">
        <f>IF(항목!D6="","",항목!D6)</f>
        <v>퇴직연금</v>
      </c>
      <c r="C8" s="551"/>
      <c r="D8" s="200">
        <f>SUMIF('1월'!$M$34:$M$165,연간_세부항목별지출!$B8,'1월'!$T$34:$T$165)</f>
        <v>0</v>
      </c>
      <c r="E8" s="200">
        <f>SUMIF('2월'!$M$34:$M$145,연간_세부항목별지출!$B8,'2월'!$T$34:$T$145)</f>
        <v>0</v>
      </c>
      <c r="F8" s="200">
        <f>SUMIF('3월'!$M$34:$M$145,연간_세부항목별지출!$B8,'3월'!$R$34:$R$145)</f>
        <v>0</v>
      </c>
      <c r="G8" s="200">
        <f>SUMIF('4월'!$M$34:$M$145,연간_세부항목별지출!$B8,'4월'!$R$34:$R$145)</f>
        <v>0</v>
      </c>
      <c r="H8" s="200">
        <f>SUMIF('5월'!$M$34:$M$145,연간_세부항목별지출!$B8,'5월'!$R$34:$R$145)</f>
        <v>0</v>
      </c>
      <c r="I8" s="200">
        <f>SUMIF('6월'!$M$34:$M$145,연간_세부항목별지출!$B8,'6월'!$R$34:$R$145)</f>
        <v>0</v>
      </c>
      <c r="J8" s="200">
        <f>SUMIF('7월'!$M$34:$M$145,연간_세부항목별지출!$B8,'7월'!$R$34:$R$145)</f>
        <v>0</v>
      </c>
      <c r="K8" s="200">
        <f>SUMIF('8월'!$M$34:$M$145,연간_세부항목별지출!$B8,'8월'!$R$34:$R$145)</f>
        <v>0</v>
      </c>
      <c r="L8" s="200">
        <f>SUMIF('9월'!$M$34:$M$145,연간_세부항목별지출!$B8,'9월'!$R$34:$R$145)</f>
        <v>0</v>
      </c>
      <c r="M8" s="200">
        <f>SUMIF('10월'!$M$34:$M$145,연간_세부항목별지출!$B8,'10월'!$R$34:$R$145)</f>
        <v>0</v>
      </c>
      <c r="N8" s="200">
        <f>SUMIF('11월'!$M$34:$M$145,연간_세부항목별지출!$B8,'11월'!$R$34:$R$145)</f>
        <v>0</v>
      </c>
      <c r="O8" s="200">
        <f>SUMIF('12월'!$M$34:$M$145,연간_세부항목별지출!$B8,'12월'!$R$34:$R$145)</f>
        <v>0</v>
      </c>
      <c r="P8" s="254">
        <f t="shared" si="2"/>
        <v>0</v>
      </c>
      <c r="Q8" s="254">
        <f t="shared" si="3"/>
        <v>0</v>
      </c>
      <c r="R8" s="307" t="str">
        <f t="shared" si="4"/>
        <v/>
      </c>
    </row>
    <row r="9" spans="1:19" ht="18" customHeight="1" x14ac:dyDescent="0.3">
      <c r="B9" s="550" t="str">
        <f>IF(항목!D7="","",항목!D7)</f>
        <v>비상금</v>
      </c>
      <c r="C9" s="551"/>
      <c r="D9" s="200">
        <f>SUMIF('1월'!$M$34:$M$165,연간_세부항목별지출!$B9,'1월'!$T$34:$T$165)</f>
        <v>0</v>
      </c>
      <c r="E9" s="200">
        <f>SUMIF('2월'!$M$34:$M$145,연간_세부항목별지출!$B9,'2월'!$T$34:$T$145)</f>
        <v>0</v>
      </c>
      <c r="F9" s="200">
        <f>SUMIF('3월'!$M$34:$M$145,연간_세부항목별지출!$B9,'3월'!$R$34:$R$145)</f>
        <v>0</v>
      </c>
      <c r="G9" s="200">
        <f>SUMIF('4월'!$M$34:$M$145,연간_세부항목별지출!$B9,'4월'!$R$34:$R$145)</f>
        <v>0</v>
      </c>
      <c r="H9" s="200">
        <f>SUMIF('5월'!$M$34:$M$145,연간_세부항목별지출!$B9,'5월'!$R$34:$R$145)</f>
        <v>0</v>
      </c>
      <c r="I9" s="200">
        <f>SUMIF('6월'!$M$34:$M$145,연간_세부항목별지출!$B9,'6월'!$R$34:$R$145)</f>
        <v>0</v>
      </c>
      <c r="J9" s="200">
        <f>SUMIF('7월'!$M$34:$M$145,연간_세부항목별지출!$B9,'7월'!$R$34:$R$145)</f>
        <v>0</v>
      </c>
      <c r="K9" s="200">
        <f>SUMIF('8월'!$M$34:$M$145,연간_세부항목별지출!$B9,'8월'!$R$34:$R$145)</f>
        <v>0</v>
      </c>
      <c r="L9" s="200">
        <f>SUMIF('9월'!$M$34:$M$145,연간_세부항목별지출!$B9,'9월'!$R$34:$R$145)</f>
        <v>0</v>
      </c>
      <c r="M9" s="200">
        <f>SUMIF('10월'!$M$34:$M$145,연간_세부항목별지출!$B9,'10월'!$R$34:$R$145)</f>
        <v>0</v>
      </c>
      <c r="N9" s="200">
        <f>SUMIF('11월'!$M$34:$M$145,연간_세부항목별지출!$B9,'11월'!$R$34:$R$145)</f>
        <v>0</v>
      </c>
      <c r="O9" s="200">
        <f>SUMIF('12월'!$M$34:$M$145,연간_세부항목별지출!$B9,'12월'!$R$34:$R$145)</f>
        <v>0</v>
      </c>
      <c r="P9" s="254">
        <f t="shared" si="2"/>
        <v>0</v>
      </c>
      <c r="Q9" s="254">
        <f t="shared" si="3"/>
        <v>0</v>
      </c>
      <c r="R9" s="307" t="str">
        <f t="shared" si="4"/>
        <v/>
      </c>
    </row>
    <row r="10" spans="1:19" ht="18" customHeight="1" x14ac:dyDescent="0.3">
      <c r="B10" s="550" t="str">
        <f>IF(항목!D8="","",항목!D8)</f>
        <v>투자</v>
      </c>
      <c r="C10" s="551"/>
      <c r="D10" s="200">
        <f>SUMIF('1월'!$M$34:$M$165,연간_세부항목별지출!$B10,'1월'!$T$34:$T$165)</f>
        <v>0</v>
      </c>
      <c r="E10" s="200">
        <f>SUMIF('2월'!$M$34:$M$145,연간_세부항목별지출!$B10,'2월'!$T$34:$T$145)</f>
        <v>0</v>
      </c>
      <c r="F10" s="200">
        <f>SUMIF('3월'!$M$34:$M$145,연간_세부항목별지출!$B10,'3월'!$R$34:$R$145)</f>
        <v>0</v>
      </c>
      <c r="G10" s="200">
        <f>SUMIF('4월'!$M$34:$M$145,연간_세부항목별지출!$B10,'4월'!$R$34:$R$145)</f>
        <v>0</v>
      </c>
      <c r="H10" s="200">
        <f>SUMIF('5월'!$M$34:$M$145,연간_세부항목별지출!$B10,'5월'!$R$34:$R$145)</f>
        <v>0</v>
      </c>
      <c r="I10" s="200">
        <f>SUMIF('6월'!$M$34:$M$145,연간_세부항목별지출!$B10,'6월'!$R$34:$R$145)</f>
        <v>0</v>
      </c>
      <c r="J10" s="200">
        <f>SUMIF('7월'!$M$34:$M$145,연간_세부항목별지출!$B10,'7월'!$R$34:$R$145)</f>
        <v>0</v>
      </c>
      <c r="K10" s="200">
        <f>SUMIF('8월'!$M$34:$M$145,연간_세부항목별지출!$B10,'8월'!$R$34:$R$145)</f>
        <v>0</v>
      </c>
      <c r="L10" s="200">
        <f>SUMIF('9월'!$M$34:$M$145,연간_세부항목별지출!$B10,'9월'!$R$34:$R$145)</f>
        <v>0</v>
      </c>
      <c r="M10" s="200">
        <f>SUMIF('10월'!$M$34:$M$145,연간_세부항목별지출!$B10,'10월'!$R$34:$R$145)</f>
        <v>0</v>
      </c>
      <c r="N10" s="200">
        <f>SUMIF('11월'!$M$34:$M$145,연간_세부항목별지출!$B10,'11월'!$R$34:$R$145)</f>
        <v>0</v>
      </c>
      <c r="O10" s="200">
        <f>SUMIF('12월'!$M$34:$M$145,연간_세부항목별지출!$B10,'12월'!$R$34:$R$145)</f>
        <v>0</v>
      </c>
      <c r="P10" s="254">
        <f t="shared" si="2"/>
        <v>0</v>
      </c>
      <c r="Q10" s="254">
        <f t="shared" si="3"/>
        <v>0</v>
      </c>
      <c r="R10" s="307" t="str">
        <f t="shared" si="4"/>
        <v/>
      </c>
    </row>
    <row r="11" spans="1:19" ht="18" customHeight="1" x14ac:dyDescent="0.3">
      <c r="B11" s="550" t="str">
        <f>IF(항목!D9="","",항목!D9)</f>
        <v>기타 저축</v>
      </c>
      <c r="C11" s="551"/>
      <c r="D11" s="200">
        <f>SUMIF('1월'!$M$34:$M$165,연간_세부항목별지출!$B11,'1월'!$T$34:$T$165)</f>
        <v>0</v>
      </c>
      <c r="E11" s="200">
        <f>SUMIF('2월'!$M$34:$M$145,연간_세부항목별지출!$B11,'2월'!$T$34:$T$145)</f>
        <v>0</v>
      </c>
      <c r="F11" s="200">
        <f>SUMIF('3월'!$M$34:$M$145,연간_세부항목별지출!$B11,'3월'!$R$34:$R$145)</f>
        <v>0</v>
      </c>
      <c r="G11" s="200">
        <f>SUMIF('4월'!$M$34:$M$145,연간_세부항목별지출!$B11,'4월'!$R$34:$R$145)</f>
        <v>0</v>
      </c>
      <c r="H11" s="200">
        <f>SUMIF('5월'!$M$34:$M$145,연간_세부항목별지출!$B11,'5월'!$R$34:$R$145)</f>
        <v>0</v>
      </c>
      <c r="I11" s="200">
        <f>SUMIF('6월'!$M$34:$M$145,연간_세부항목별지출!$B11,'6월'!$R$34:$R$145)</f>
        <v>0</v>
      </c>
      <c r="J11" s="200">
        <f>SUMIF('7월'!$M$34:$M$145,연간_세부항목별지출!$B11,'7월'!$R$34:$R$145)</f>
        <v>0</v>
      </c>
      <c r="K11" s="200">
        <f>SUMIF('8월'!$M$34:$M$145,연간_세부항목별지출!$B11,'8월'!$R$34:$R$145)</f>
        <v>0</v>
      </c>
      <c r="L11" s="200">
        <f>SUMIF('9월'!$M$34:$M$145,연간_세부항목별지출!$B11,'9월'!$R$34:$R$145)</f>
        <v>0</v>
      </c>
      <c r="M11" s="200">
        <f>SUMIF('10월'!$M$34:$M$145,연간_세부항목별지출!$B11,'10월'!$R$34:$R$145)</f>
        <v>0</v>
      </c>
      <c r="N11" s="200">
        <f>SUMIF('11월'!$M$34:$M$145,연간_세부항목별지출!$B11,'11월'!$R$34:$R$145)</f>
        <v>0</v>
      </c>
      <c r="O11" s="200">
        <f>SUMIF('12월'!$M$34:$M$145,연간_세부항목별지출!$B11,'12월'!$R$34:$R$145)</f>
        <v>0</v>
      </c>
      <c r="P11" s="254">
        <f t="shared" si="2"/>
        <v>0</v>
      </c>
      <c r="Q11" s="254">
        <f t="shared" si="3"/>
        <v>0</v>
      </c>
      <c r="R11" s="307" t="str">
        <f t="shared" si="4"/>
        <v/>
      </c>
    </row>
    <row r="12" spans="1:19" ht="18" customHeight="1" x14ac:dyDescent="0.3">
      <c r="B12" s="550" t="str">
        <f>IF(항목!D10="","",항목!D10)</f>
        <v/>
      </c>
      <c r="C12" s="551"/>
      <c r="D12" s="200">
        <f>SUMIF('1월'!$M$34:$M$165,연간_세부항목별지출!$B12,'1월'!$T$34:$T$165)</f>
        <v>0</v>
      </c>
      <c r="E12" s="200">
        <f>SUMIF('2월'!$M$34:$M$145,연간_세부항목별지출!$B12,'2월'!$T$34:$T$145)</f>
        <v>0</v>
      </c>
      <c r="F12" s="200">
        <f>SUMIF('3월'!$M$34:$M$145,연간_세부항목별지출!$B12,'3월'!$R$34:$R$145)</f>
        <v>0</v>
      </c>
      <c r="G12" s="200">
        <f>SUMIF('4월'!$M$34:$M$145,연간_세부항목별지출!$B12,'4월'!$R$34:$R$145)</f>
        <v>0</v>
      </c>
      <c r="H12" s="200">
        <f>SUMIF('5월'!$M$34:$M$145,연간_세부항목별지출!$B12,'5월'!$R$34:$R$145)</f>
        <v>0</v>
      </c>
      <c r="I12" s="200">
        <f>SUMIF('6월'!$M$34:$M$145,연간_세부항목별지출!$B12,'6월'!$R$34:$R$145)</f>
        <v>0</v>
      </c>
      <c r="J12" s="200">
        <f>SUMIF('7월'!$M$34:$M$145,연간_세부항목별지출!$B12,'7월'!$R$34:$R$145)</f>
        <v>0</v>
      </c>
      <c r="K12" s="200">
        <f>SUMIF('8월'!$M$34:$M$145,연간_세부항목별지출!$B12,'8월'!$R$34:$R$145)</f>
        <v>0</v>
      </c>
      <c r="L12" s="200">
        <f>SUMIF('9월'!$M$34:$M$145,연간_세부항목별지출!$B12,'9월'!$R$34:$R$145)</f>
        <v>0</v>
      </c>
      <c r="M12" s="200">
        <f>SUMIF('10월'!$M$34:$M$145,연간_세부항목별지출!$B12,'10월'!$R$34:$R$145)</f>
        <v>0</v>
      </c>
      <c r="N12" s="200">
        <f>SUMIF('11월'!$M$34:$M$145,연간_세부항목별지출!$B12,'11월'!$R$34:$R$145)</f>
        <v>0</v>
      </c>
      <c r="O12" s="200">
        <f>SUMIF('12월'!$M$34:$M$145,연간_세부항목별지출!$B12,'12월'!$R$34:$R$145)</f>
        <v>0</v>
      </c>
      <c r="P12" s="254">
        <f t="shared" si="2"/>
        <v>0</v>
      </c>
      <c r="Q12" s="254">
        <f t="shared" si="3"/>
        <v>0</v>
      </c>
      <c r="R12" s="307" t="str">
        <f t="shared" si="4"/>
        <v/>
      </c>
    </row>
    <row r="13" spans="1:19" ht="18" customHeight="1" x14ac:dyDescent="0.3">
      <c r="B13" s="550" t="str">
        <f>IF(항목!D11="","",항목!D11)</f>
        <v/>
      </c>
      <c r="C13" s="551"/>
      <c r="D13" s="200">
        <f>SUMIF('1월'!$M$34:$M$165,연간_세부항목별지출!$B13,'1월'!$T$34:$T$165)</f>
        <v>0</v>
      </c>
      <c r="E13" s="200">
        <f>SUMIF('2월'!$M$34:$M$145,연간_세부항목별지출!$B13,'2월'!$T$34:$T$145)</f>
        <v>0</v>
      </c>
      <c r="F13" s="200">
        <f>SUMIF('3월'!$M$34:$M$145,연간_세부항목별지출!$B13,'3월'!$R$34:$R$145)</f>
        <v>0</v>
      </c>
      <c r="G13" s="200">
        <f>SUMIF('4월'!$M$34:$M$145,연간_세부항목별지출!$B13,'4월'!$R$34:$R$145)</f>
        <v>0</v>
      </c>
      <c r="H13" s="200">
        <f>SUMIF('5월'!$M$34:$M$145,연간_세부항목별지출!$B13,'5월'!$R$34:$R$145)</f>
        <v>0</v>
      </c>
      <c r="I13" s="200">
        <f>SUMIF('6월'!$M$34:$M$145,연간_세부항목별지출!$B13,'6월'!$R$34:$R$145)</f>
        <v>0</v>
      </c>
      <c r="J13" s="200">
        <f>SUMIF('7월'!$M$34:$M$145,연간_세부항목별지출!$B13,'7월'!$R$34:$R$145)</f>
        <v>0</v>
      </c>
      <c r="K13" s="200">
        <f>SUMIF('8월'!$M$34:$M$145,연간_세부항목별지출!$B13,'8월'!$R$34:$R$145)</f>
        <v>0</v>
      </c>
      <c r="L13" s="200">
        <f>SUMIF('9월'!$M$34:$M$145,연간_세부항목별지출!$B13,'9월'!$R$34:$R$145)</f>
        <v>0</v>
      </c>
      <c r="M13" s="200">
        <f>SUMIF('10월'!$M$34:$M$145,연간_세부항목별지출!$B13,'10월'!$R$34:$R$145)</f>
        <v>0</v>
      </c>
      <c r="N13" s="200">
        <f>SUMIF('11월'!$M$34:$M$145,연간_세부항목별지출!$B13,'11월'!$R$34:$R$145)</f>
        <v>0</v>
      </c>
      <c r="O13" s="200">
        <f>SUMIF('12월'!$M$34:$M$145,연간_세부항목별지출!$B13,'12월'!$R$34:$R$145)</f>
        <v>0</v>
      </c>
      <c r="P13" s="254">
        <f t="shared" si="2"/>
        <v>0</v>
      </c>
      <c r="Q13" s="254">
        <f t="shared" si="3"/>
        <v>0</v>
      </c>
      <c r="R13" s="307" t="str">
        <f t="shared" si="4"/>
        <v/>
      </c>
    </row>
    <row r="14" spans="1:19" ht="18" customHeight="1" x14ac:dyDescent="0.3">
      <c r="B14" s="550" t="str">
        <f>IF(항목!D12="","",항목!D12)</f>
        <v/>
      </c>
      <c r="C14" s="551"/>
      <c r="D14" s="200">
        <f>SUMIF('1월'!$M$34:$M$165,연간_세부항목별지출!$B14,'1월'!$T$34:$T$165)</f>
        <v>0</v>
      </c>
      <c r="E14" s="200">
        <f>SUMIF('2월'!$M$34:$M$145,연간_세부항목별지출!$B14,'2월'!$T$34:$T$145)</f>
        <v>0</v>
      </c>
      <c r="F14" s="200">
        <f>SUMIF('3월'!$M$34:$M$145,연간_세부항목별지출!$B14,'3월'!$R$34:$R$145)</f>
        <v>0</v>
      </c>
      <c r="G14" s="200">
        <f>SUMIF('4월'!$M$34:$M$145,연간_세부항목별지출!$B14,'4월'!$R$34:$R$145)</f>
        <v>0</v>
      </c>
      <c r="H14" s="200">
        <f>SUMIF('5월'!$M$34:$M$145,연간_세부항목별지출!$B14,'5월'!$R$34:$R$145)</f>
        <v>0</v>
      </c>
      <c r="I14" s="200">
        <f>SUMIF('6월'!$M$34:$M$145,연간_세부항목별지출!$B14,'6월'!$R$34:$R$145)</f>
        <v>0</v>
      </c>
      <c r="J14" s="200">
        <f>SUMIF('7월'!$M$34:$M$145,연간_세부항목별지출!$B14,'7월'!$R$34:$R$145)</f>
        <v>0</v>
      </c>
      <c r="K14" s="200">
        <f>SUMIF('8월'!$M$34:$M$145,연간_세부항목별지출!$B14,'8월'!$R$34:$R$145)</f>
        <v>0</v>
      </c>
      <c r="L14" s="200">
        <f>SUMIF('9월'!$M$34:$M$145,연간_세부항목별지출!$B14,'9월'!$R$34:$R$145)</f>
        <v>0</v>
      </c>
      <c r="M14" s="200">
        <f>SUMIF('10월'!$M$34:$M$145,연간_세부항목별지출!$B14,'10월'!$R$34:$R$145)</f>
        <v>0</v>
      </c>
      <c r="N14" s="200">
        <f>SUMIF('11월'!$M$34:$M$145,연간_세부항목별지출!$B14,'11월'!$R$34:$R$145)</f>
        <v>0</v>
      </c>
      <c r="O14" s="200">
        <f>SUMIF('12월'!$M$34:$M$145,연간_세부항목별지출!$B14,'12월'!$R$34:$R$145)</f>
        <v>0</v>
      </c>
      <c r="P14" s="254">
        <f t="shared" si="2"/>
        <v>0</v>
      </c>
      <c r="Q14" s="254">
        <f t="shared" si="3"/>
        <v>0</v>
      </c>
      <c r="R14" s="307" t="str">
        <f t="shared" si="4"/>
        <v/>
      </c>
    </row>
    <row r="15" spans="1:19" ht="18" customHeight="1" x14ac:dyDescent="0.3">
      <c r="B15" s="550" t="str">
        <f>IF(항목!D13="","",항목!D13)</f>
        <v/>
      </c>
      <c r="C15" s="551"/>
      <c r="D15" s="200">
        <f>SUMIF('1월'!$M$34:$M$165,연간_세부항목별지출!$B15,'1월'!$T$34:$T$165)</f>
        <v>0</v>
      </c>
      <c r="E15" s="200">
        <f>SUMIF('2월'!$M$34:$M$145,연간_세부항목별지출!$B15,'2월'!$T$34:$T$145)</f>
        <v>0</v>
      </c>
      <c r="F15" s="200">
        <f>SUMIF('3월'!$M$34:$M$145,연간_세부항목별지출!$B15,'3월'!$R$34:$R$145)</f>
        <v>0</v>
      </c>
      <c r="G15" s="200">
        <f>SUMIF('4월'!$M$34:$M$145,연간_세부항목별지출!$B15,'4월'!$R$34:$R$145)</f>
        <v>0</v>
      </c>
      <c r="H15" s="200">
        <f>SUMIF('5월'!$M$34:$M$145,연간_세부항목별지출!$B15,'5월'!$R$34:$R$145)</f>
        <v>0</v>
      </c>
      <c r="I15" s="200">
        <f>SUMIF('6월'!$M$34:$M$145,연간_세부항목별지출!$B15,'6월'!$R$34:$R$145)</f>
        <v>0</v>
      </c>
      <c r="J15" s="200">
        <f>SUMIF('7월'!$M$34:$M$145,연간_세부항목별지출!$B15,'7월'!$R$34:$R$145)</f>
        <v>0</v>
      </c>
      <c r="K15" s="200">
        <f>SUMIF('8월'!$M$34:$M$145,연간_세부항목별지출!$B15,'8월'!$R$34:$R$145)</f>
        <v>0</v>
      </c>
      <c r="L15" s="200">
        <f>SUMIF('9월'!$M$34:$M$145,연간_세부항목별지출!$B15,'9월'!$R$34:$R$145)</f>
        <v>0</v>
      </c>
      <c r="M15" s="200">
        <f>SUMIF('10월'!$M$34:$M$145,연간_세부항목별지출!$B15,'10월'!$R$34:$R$145)</f>
        <v>0</v>
      </c>
      <c r="N15" s="200">
        <f>SUMIF('11월'!$M$34:$M$145,연간_세부항목별지출!$B15,'11월'!$R$34:$R$145)</f>
        <v>0</v>
      </c>
      <c r="O15" s="200">
        <f>SUMIF('12월'!$M$34:$M$145,연간_세부항목별지출!$B15,'12월'!$R$34:$R$145)</f>
        <v>0</v>
      </c>
      <c r="P15" s="254">
        <f t="shared" si="2"/>
        <v>0</v>
      </c>
      <c r="Q15" s="254">
        <f t="shared" si="3"/>
        <v>0</v>
      </c>
      <c r="R15" s="307" t="str">
        <f t="shared" si="4"/>
        <v/>
      </c>
    </row>
    <row r="16" spans="1:19" ht="18" customHeight="1" x14ac:dyDescent="0.3">
      <c r="B16" s="550" t="str">
        <f>IF(항목!D14="","",항목!D14)</f>
        <v/>
      </c>
      <c r="C16" s="551"/>
      <c r="D16" s="200">
        <f>SUMIF('1월'!$M$34:$M$165,연간_세부항목별지출!$B16,'1월'!$T$34:$T$165)</f>
        <v>0</v>
      </c>
      <c r="E16" s="200">
        <f>SUMIF('2월'!$M$34:$M$145,연간_세부항목별지출!$B16,'2월'!$T$34:$T$145)</f>
        <v>0</v>
      </c>
      <c r="F16" s="200">
        <f>SUMIF('3월'!$M$34:$M$145,연간_세부항목별지출!$B16,'3월'!$R$34:$R$145)</f>
        <v>0</v>
      </c>
      <c r="G16" s="200">
        <f>SUMIF('4월'!$M$34:$M$145,연간_세부항목별지출!$B16,'4월'!$R$34:$R$145)</f>
        <v>0</v>
      </c>
      <c r="H16" s="200">
        <f>SUMIF('5월'!$M$34:$M$145,연간_세부항목별지출!$B16,'5월'!$R$34:$R$145)</f>
        <v>0</v>
      </c>
      <c r="I16" s="200">
        <f>SUMIF('6월'!$M$34:$M$145,연간_세부항목별지출!$B16,'6월'!$R$34:$R$145)</f>
        <v>0</v>
      </c>
      <c r="J16" s="200">
        <f>SUMIF('7월'!$M$34:$M$145,연간_세부항목별지출!$B16,'7월'!$R$34:$R$145)</f>
        <v>0</v>
      </c>
      <c r="K16" s="200">
        <f>SUMIF('8월'!$M$34:$M$145,연간_세부항목별지출!$B16,'8월'!$R$34:$R$145)</f>
        <v>0</v>
      </c>
      <c r="L16" s="200">
        <f>SUMIF('9월'!$M$34:$M$145,연간_세부항목별지출!$B16,'9월'!$R$34:$R$145)</f>
        <v>0</v>
      </c>
      <c r="M16" s="200">
        <f>SUMIF('10월'!$M$34:$M$145,연간_세부항목별지출!$B16,'10월'!$R$34:$R$145)</f>
        <v>0</v>
      </c>
      <c r="N16" s="200">
        <f>SUMIF('11월'!$M$34:$M$145,연간_세부항목별지출!$B16,'11월'!$R$34:$R$145)</f>
        <v>0</v>
      </c>
      <c r="O16" s="200">
        <f>SUMIF('12월'!$M$34:$M$145,연간_세부항목별지출!$B16,'12월'!$R$34:$R$145)</f>
        <v>0</v>
      </c>
      <c r="P16" s="254">
        <f t="shared" si="2"/>
        <v>0</v>
      </c>
      <c r="Q16" s="254">
        <f t="shared" si="3"/>
        <v>0</v>
      </c>
      <c r="R16" s="307" t="str">
        <f t="shared" si="4"/>
        <v/>
      </c>
    </row>
    <row r="17" spans="2:18" ht="18" customHeight="1" x14ac:dyDescent="0.3">
      <c r="B17" s="550" t="str">
        <f>IF(항목!D15="","",항목!D15)</f>
        <v/>
      </c>
      <c r="C17" s="551"/>
      <c r="D17" s="200">
        <f>SUMIF('1월'!$M$34:$M$165,연간_세부항목별지출!$B17,'1월'!$T$34:$T$165)</f>
        <v>0</v>
      </c>
      <c r="E17" s="200">
        <f>SUMIF('2월'!$M$34:$M$145,연간_세부항목별지출!$B17,'2월'!$T$34:$T$145)</f>
        <v>0</v>
      </c>
      <c r="F17" s="200">
        <f>SUMIF('3월'!$M$34:$M$145,연간_세부항목별지출!$B17,'3월'!$R$34:$R$145)</f>
        <v>0</v>
      </c>
      <c r="G17" s="200">
        <f>SUMIF('4월'!$M$34:$M$145,연간_세부항목별지출!$B17,'4월'!$R$34:$R$145)</f>
        <v>0</v>
      </c>
      <c r="H17" s="200">
        <f>SUMIF('5월'!$M$34:$M$145,연간_세부항목별지출!$B17,'5월'!$R$34:$R$145)</f>
        <v>0</v>
      </c>
      <c r="I17" s="200">
        <f>SUMIF('6월'!$M$34:$M$145,연간_세부항목별지출!$B17,'6월'!$R$34:$R$145)</f>
        <v>0</v>
      </c>
      <c r="J17" s="200">
        <f>SUMIF('7월'!$M$34:$M$145,연간_세부항목별지출!$B17,'7월'!$R$34:$R$145)</f>
        <v>0</v>
      </c>
      <c r="K17" s="200">
        <f>SUMIF('8월'!$M$34:$M$145,연간_세부항목별지출!$B17,'8월'!$R$34:$R$145)</f>
        <v>0</v>
      </c>
      <c r="L17" s="200">
        <f>SUMIF('9월'!$M$34:$M$145,연간_세부항목별지출!$B17,'9월'!$R$34:$R$145)</f>
        <v>0</v>
      </c>
      <c r="M17" s="200">
        <f>SUMIF('10월'!$M$34:$M$145,연간_세부항목별지출!$B17,'10월'!$R$34:$R$145)</f>
        <v>0</v>
      </c>
      <c r="N17" s="200">
        <f>SUMIF('11월'!$M$34:$M$145,연간_세부항목별지출!$B17,'11월'!$R$34:$R$145)</f>
        <v>0</v>
      </c>
      <c r="O17" s="200">
        <f>SUMIF('12월'!$M$34:$M$145,연간_세부항목별지출!$B17,'12월'!$R$34:$R$145)</f>
        <v>0</v>
      </c>
      <c r="P17" s="254">
        <f t="shared" si="2"/>
        <v>0</v>
      </c>
      <c r="Q17" s="254">
        <f t="shared" si="3"/>
        <v>0</v>
      </c>
      <c r="R17" s="307" t="str">
        <f t="shared" si="4"/>
        <v/>
      </c>
    </row>
    <row r="18" spans="2:18" ht="18" customHeight="1" x14ac:dyDescent="0.3">
      <c r="B18" s="550" t="str">
        <f>IF(항목!D16="","",항목!D16)</f>
        <v/>
      </c>
      <c r="C18" s="551"/>
      <c r="D18" s="200">
        <f>SUMIF('1월'!$M$34:$M$165,연간_세부항목별지출!$B18,'1월'!$T$34:$T$165)</f>
        <v>0</v>
      </c>
      <c r="E18" s="200">
        <f>SUMIF('2월'!$M$34:$M$145,연간_세부항목별지출!$B18,'2월'!$T$34:$T$145)</f>
        <v>0</v>
      </c>
      <c r="F18" s="200">
        <f>SUMIF('3월'!$M$34:$M$145,연간_세부항목별지출!$B18,'3월'!$R$34:$R$145)</f>
        <v>0</v>
      </c>
      <c r="G18" s="200">
        <f>SUMIF('4월'!$M$34:$M$145,연간_세부항목별지출!$B18,'4월'!$R$34:$R$145)</f>
        <v>0</v>
      </c>
      <c r="H18" s="200">
        <f>SUMIF('5월'!$M$34:$M$145,연간_세부항목별지출!$B18,'5월'!$R$34:$R$145)</f>
        <v>0</v>
      </c>
      <c r="I18" s="200">
        <f>SUMIF('6월'!$M$34:$M$145,연간_세부항목별지출!$B18,'6월'!$R$34:$R$145)</f>
        <v>0</v>
      </c>
      <c r="J18" s="200">
        <f>SUMIF('7월'!$M$34:$M$145,연간_세부항목별지출!$B18,'7월'!$R$34:$R$145)</f>
        <v>0</v>
      </c>
      <c r="K18" s="200">
        <f>SUMIF('8월'!$M$34:$M$145,연간_세부항목별지출!$B18,'8월'!$R$34:$R$145)</f>
        <v>0</v>
      </c>
      <c r="L18" s="200">
        <f>SUMIF('9월'!$M$34:$M$145,연간_세부항목별지출!$B18,'9월'!$R$34:$R$145)</f>
        <v>0</v>
      </c>
      <c r="M18" s="200">
        <f>SUMIF('10월'!$M$34:$M$145,연간_세부항목별지출!$B18,'10월'!$R$34:$R$145)</f>
        <v>0</v>
      </c>
      <c r="N18" s="200">
        <f>SUMIF('11월'!$M$34:$M$145,연간_세부항목별지출!$B18,'11월'!$R$34:$R$145)</f>
        <v>0</v>
      </c>
      <c r="O18" s="200">
        <f>SUMIF('12월'!$M$34:$M$145,연간_세부항목별지출!$B18,'12월'!$R$34:$R$145)</f>
        <v>0</v>
      </c>
      <c r="P18" s="254">
        <f t="shared" si="2"/>
        <v>0</v>
      </c>
      <c r="Q18" s="254">
        <f t="shared" si="3"/>
        <v>0</v>
      </c>
      <c r="R18" s="307" t="str">
        <f t="shared" si="4"/>
        <v/>
      </c>
    </row>
    <row r="19" spans="2:18" ht="18" customHeight="1" x14ac:dyDescent="0.3">
      <c r="B19" s="550" t="str">
        <f>IF(항목!D17="","",항목!D17)</f>
        <v/>
      </c>
      <c r="C19" s="551"/>
      <c r="D19" s="200">
        <f>SUMIF('1월'!$M$34:$M$165,연간_세부항목별지출!$B19,'1월'!$T$34:$T$165)</f>
        <v>0</v>
      </c>
      <c r="E19" s="200">
        <f>SUMIF('2월'!$M$34:$M$145,연간_세부항목별지출!$B19,'2월'!$T$34:$T$145)</f>
        <v>0</v>
      </c>
      <c r="F19" s="200">
        <f>SUMIF('3월'!$M$34:$M$145,연간_세부항목별지출!$B19,'3월'!$R$34:$R$145)</f>
        <v>0</v>
      </c>
      <c r="G19" s="200">
        <f>SUMIF('4월'!$M$34:$M$145,연간_세부항목별지출!$B19,'4월'!$R$34:$R$145)</f>
        <v>0</v>
      </c>
      <c r="H19" s="200">
        <f>SUMIF('5월'!$M$34:$M$145,연간_세부항목별지출!$B19,'5월'!$R$34:$R$145)</f>
        <v>0</v>
      </c>
      <c r="I19" s="200">
        <f>SUMIF('6월'!$M$34:$M$145,연간_세부항목별지출!$B19,'6월'!$R$34:$R$145)</f>
        <v>0</v>
      </c>
      <c r="J19" s="200">
        <f>SUMIF('7월'!$M$34:$M$145,연간_세부항목별지출!$B19,'7월'!$R$34:$R$145)</f>
        <v>0</v>
      </c>
      <c r="K19" s="200">
        <f>SUMIF('8월'!$M$34:$M$145,연간_세부항목별지출!$B19,'8월'!$R$34:$R$145)</f>
        <v>0</v>
      </c>
      <c r="L19" s="200">
        <f>SUMIF('9월'!$M$34:$M$145,연간_세부항목별지출!$B19,'9월'!$R$34:$R$145)</f>
        <v>0</v>
      </c>
      <c r="M19" s="200">
        <f>SUMIF('10월'!$M$34:$M$145,연간_세부항목별지출!$B19,'10월'!$R$34:$R$145)</f>
        <v>0</v>
      </c>
      <c r="N19" s="200">
        <f>SUMIF('11월'!$M$34:$M$145,연간_세부항목별지출!$B19,'11월'!$R$34:$R$145)</f>
        <v>0</v>
      </c>
      <c r="O19" s="200">
        <f>SUMIF('12월'!$M$34:$M$145,연간_세부항목별지출!$B19,'12월'!$R$34:$R$145)</f>
        <v>0</v>
      </c>
      <c r="P19" s="254">
        <f t="shared" si="2"/>
        <v>0</v>
      </c>
      <c r="Q19" s="254">
        <f t="shared" si="3"/>
        <v>0</v>
      </c>
      <c r="R19" s="307" t="str">
        <f t="shared" si="4"/>
        <v/>
      </c>
    </row>
    <row r="20" spans="2:18" ht="18" customHeight="1" thickBot="1" x14ac:dyDescent="0.35">
      <c r="B20" s="550" t="str">
        <f>IF(항목!D18="","",항목!D18)</f>
        <v/>
      </c>
      <c r="C20" s="551"/>
      <c r="D20" s="200">
        <f>SUMIF('1월'!$M$34:$M$165,연간_세부항목별지출!$B20,'1월'!$T$34:$T$165)</f>
        <v>0</v>
      </c>
      <c r="E20" s="200">
        <f>SUMIF('2월'!$M$34:$M$145,연간_세부항목별지출!$B20,'2월'!$T$34:$T$145)</f>
        <v>0</v>
      </c>
      <c r="F20" s="200">
        <f>SUMIF('3월'!$M$34:$M$145,연간_세부항목별지출!$B20,'3월'!$R$34:$R$145)</f>
        <v>0</v>
      </c>
      <c r="G20" s="200">
        <f>SUMIF('4월'!$M$34:$M$145,연간_세부항목별지출!$B20,'4월'!$R$34:$R$145)</f>
        <v>0</v>
      </c>
      <c r="H20" s="200">
        <f>SUMIF('5월'!$M$34:$M$145,연간_세부항목별지출!$B20,'5월'!$R$34:$R$145)</f>
        <v>0</v>
      </c>
      <c r="I20" s="200">
        <f>SUMIF('6월'!$M$34:$M$145,연간_세부항목별지출!$B20,'6월'!$R$34:$R$145)</f>
        <v>0</v>
      </c>
      <c r="J20" s="200">
        <f>SUMIF('7월'!$M$34:$M$145,연간_세부항목별지출!$B20,'7월'!$R$34:$R$145)</f>
        <v>0</v>
      </c>
      <c r="K20" s="200">
        <f>SUMIF('8월'!$M$34:$M$145,연간_세부항목별지출!$B20,'8월'!$R$34:$R$145)</f>
        <v>0</v>
      </c>
      <c r="L20" s="200">
        <f>SUMIF('9월'!$M$34:$M$145,연간_세부항목별지출!$B20,'9월'!$R$34:$R$145)</f>
        <v>0</v>
      </c>
      <c r="M20" s="200">
        <f>SUMIF('10월'!$M$34:$M$145,연간_세부항목별지출!$B20,'10월'!$R$34:$R$145)</f>
        <v>0</v>
      </c>
      <c r="N20" s="200">
        <f>SUMIF('11월'!$M$34:$M$145,연간_세부항목별지출!$B20,'11월'!$R$34:$R$145)</f>
        <v>0</v>
      </c>
      <c r="O20" s="200">
        <f>SUMIF('12월'!$M$34:$M$145,연간_세부항목별지출!$B20,'12월'!$R$34:$R$145)</f>
        <v>0</v>
      </c>
      <c r="P20" s="254">
        <f t="shared" si="2"/>
        <v>0</v>
      </c>
      <c r="Q20" s="254">
        <f t="shared" si="3"/>
        <v>0</v>
      </c>
      <c r="R20" s="307" t="str">
        <f t="shared" si="4"/>
        <v/>
      </c>
    </row>
    <row r="21" spans="2:18" s="132" customFormat="1" ht="24.95" customHeight="1" thickBot="1" x14ac:dyDescent="0.35">
      <c r="B21" s="548" t="s">
        <v>194</v>
      </c>
      <c r="C21" s="549"/>
      <c r="D21" s="268">
        <f t="shared" ref="D21:O21" si="5">SUM(D22:D216)</f>
        <v>0</v>
      </c>
      <c r="E21" s="252">
        <f t="shared" si="5"/>
        <v>0</v>
      </c>
      <c r="F21" s="252">
        <f t="shared" si="5"/>
        <v>0</v>
      </c>
      <c r="G21" s="252">
        <f t="shared" si="5"/>
        <v>0</v>
      </c>
      <c r="H21" s="252">
        <f t="shared" si="5"/>
        <v>0</v>
      </c>
      <c r="I21" s="252">
        <f t="shared" si="5"/>
        <v>0</v>
      </c>
      <c r="J21" s="252">
        <f t="shared" si="5"/>
        <v>0</v>
      </c>
      <c r="K21" s="252">
        <f t="shared" si="5"/>
        <v>0</v>
      </c>
      <c r="L21" s="252">
        <f t="shared" si="5"/>
        <v>0</v>
      </c>
      <c r="M21" s="252">
        <f t="shared" si="5"/>
        <v>0</v>
      </c>
      <c r="N21" s="252">
        <f t="shared" si="5"/>
        <v>0</v>
      </c>
      <c r="O21" s="269">
        <f t="shared" si="5"/>
        <v>0</v>
      </c>
      <c r="P21" s="253">
        <f t="shared" si="2"/>
        <v>0</v>
      </c>
      <c r="Q21" s="253">
        <f t="shared" si="3"/>
        <v>0</v>
      </c>
      <c r="R21" s="308" t="str">
        <f>IF(P21&gt;0,P21/$P$4,"")</f>
        <v/>
      </c>
    </row>
    <row r="22" spans="2:18" ht="18" customHeight="1" x14ac:dyDescent="0.3">
      <c r="B22" s="546" t="str">
        <f>항목!E3</f>
        <v>식비</v>
      </c>
      <c r="C22" s="270" t="str">
        <f>IF(항목!E4="","",항목!E4)</f>
        <v>시장/마트</v>
      </c>
      <c r="D22" s="200">
        <f>SUMIF('1월'!$M$34:$M$165,연간_세부항목별지출!$C22,'1월'!$T$34:$T$165)</f>
        <v>0</v>
      </c>
      <c r="E22" s="200">
        <f>SUMIF('2월'!$M$34:$M$145,연간_세부항목별지출!$C22,'2월'!$T$34:$T$145)</f>
        <v>0</v>
      </c>
      <c r="F22" s="200">
        <f>SUMIF('3월'!$M$34:$M$145,연간_세부항목별지출!$C22,'3월'!$R$34:$R$145)</f>
        <v>0</v>
      </c>
      <c r="G22" s="200">
        <f>SUMIF('4월'!$M$34:$M$145,연간_세부항목별지출!$C22,'4월'!$R$34:$R$145)</f>
        <v>0</v>
      </c>
      <c r="H22" s="200">
        <f>SUMIF('5월'!$M$34:$M$145,연간_세부항목별지출!$C22,'5월'!$R$34:$R$145)</f>
        <v>0</v>
      </c>
      <c r="I22" s="200">
        <f>SUMIF('6월'!$M$34:$M$145,연간_세부항목별지출!$C22,'6월'!$R$34:$R$145)</f>
        <v>0</v>
      </c>
      <c r="J22" s="200">
        <f>SUMIF('7월'!$M$34:$M$145,연간_세부항목별지출!$C22,'7월'!$R$34:$R$145)</f>
        <v>0</v>
      </c>
      <c r="K22" s="200">
        <f>SUMIF('8월'!$M$34:$M$145,연간_세부항목별지출!$C22,'8월'!$R$34:$R$145)</f>
        <v>0</v>
      </c>
      <c r="L22" s="200">
        <f>SUMIF('9월'!$M$34:$M$145,연간_세부항목별지출!$C22,'9월'!$R$34:$R$145)</f>
        <v>0</v>
      </c>
      <c r="M22" s="200">
        <f>SUMIF('10월'!$M$34:$M$145,연간_세부항목별지출!$C22,'10월'!$R$34:$R$145)</f>
        <v>0</v>
      </c>
      <c r="N22" s="200">
        <f>SUMIF('11월'!$M$34:$M$145,연간_세부항목별지출!$C22,'11월'!$R$34:$R$145)</f>
        <v>0</v>
      </c>
      <c r="O22" s="200">
        <f>SUMIF('12월'!$M$34:$M$145,연간_세부항목별지출!$C22,'12월'!$R$34:$R$145)</f>
        <v>0</v>
      </c>
      <c r="P22" s="254">
        <f t="shared" si="2"/>
        <v>0</v>
      </c>
      <c r="Q22" s="254">
        <f t="shared" si="3"/>
        <v>0</v>
      </c>
      <c r="R22" s="309" t="str">
        <f t="shared" ref="R22:R53" si="6">IF(P22&gt;0,P22/$P$21,"")</f>
        <v/>
      </c>
    </row>
    <row r="23" spans="2:18" ht="18" customHeight="1" x14ac:dyDescent="0.3">
      <c r="B23" s="546"/>
      <c r="C23" s="271" t="str">
        <f>IF(항목!E5="","",항목!E5)</f>
        <v>외식/배달</v>
      </c>
      <c r="D23" s="200">
        <f>SUMIF('1월'!$M$34:$M$165,연간_세부항목별지출!$C23,'1월'!$T$34:$T$165)</f>
        <v>0</v>
      </c>
      <c r="E23" s="200">
        <f>SUMIF('2월'!$M$34:$M$145,연간_세부항목별지출!$C23,'2월'!$T$34:$T$145)</f>
        <v>0</v>
      </c>
      <c r="F23" s="200">
        <f>SUMIF('3월'!$M$34:$M$145,연간_세부항목별지출!$C23,'3월'!$R$34:$R$145)</f>
        <v>0</v>
      </c>
      <c r="G23" s="200">
        <f>SUMIF('4월'!$M$34:$M$145,연간_세부항목별지출!$C23,'4월'!$R$34:$R$145)</f>
        <v>0</v>
      </c>
      <c r="H23" s="200">
        <f>SUMIF('5월'!$M$34:$M$145,연간_세부항목별지출!$C23,'5월'!$R$34:$R$145)</f>
        <v>0</v>
      </c>
      <c r="I23" s="200">
        <f>SUMIF('6월'!$M$34:$M$145,연간_세부항목별지출!$C23,'6월'!$R$34:$R$145)</f>
        <v>0</v>
      </c>
      <c r="J23" s="200">
        <f>SUMIF('7월'!$M$34:$M$145,연간_세부항목별지출!$C23,'7월'!$R$34:$R$145)</f>
        <v>0</v>
      </c>
      <c r="K23" s="200">
        <f>SUMIF('8월'!$M$34:$M$145,연간_세부항목별지출!$C23,'8월'!$R$34:$R$145)</f>
        <v>0</v>
      </c>
      <c r="L23" s="200">
        <f>SUMIF('9월'!$M$34:$M$145,연간_세부항목별지출!$C23,'9월'!$R$34:$R$145)</f>
        <v>0</v>
      </c>
      <c r="M23" s="200">
        <f>SUMIF('10월'!$M$34:$M$145,연간_세부항목별지출!$C23,'10월'!$R$34:$R$145)</f>
        <v>0</v>
      </c>
      <c r="N23" s="200">
        <f>SUMIF('11월'!$M$34:$M$145,연간_세부항목별지출!$C23,'11월'!$R$34:$R$145)</f>
        <v>0</v>
      </c>
      <c r="O23" s="200">
        <f>SUMIF('12월'!$M$34:$M$145,연간_세부항목별지출!$C23,'12월'!$R$34:$R$145)</f>
        <v>0</v>
      </c>
      <c r="P23" s="264">
        <f t="shared" si="2"/>
        <v>0</v>
      </c>
      <c r="Q23" s="264">
        <f t="shared" si="3"/>
        <v>0</v>
      </c>
      <c r="R23" s="307" t="str">
        <f t="shared" si="6"/>
        <v/>
      </c>
    </row>
    <row r="24" spans="2:18" ht="18" customHeight="1" x14ac:dyDescent="0.3">
      <c r="B24" s="546"/>
      <c r="C24" s="271" t="str">
        <f>IF(항목!E6="","",항목!E6)</f>
        <v>간식</v>
      </c>
      <c r="D24" s="200">
        <f>SUMIF('1월'!$M$34:$M$165,연간_세부항목별지출!$C24,'1월'!$T$34:$T$165)</f>
        <v>0</v>
      </c>
      <c r="E24" s="200">
        <f>SUMIF('2월'!$M$34:$M$145,연간_세부항목별지출!$C24,'2월'!$T$34:$T$145)</f>
        <v>0</v>
      </c>
      <c r="F24" s="200">
        <f>SUMIF('3월'!$M$34:$M$145,연간_세부항목별지출!$C24,'3월'!$R$34:$R$145)</f>
        <v>0</v>
      </c>
      <c r="G24" s="200">
        <f>SUMIF('4월'!$M$34:$M$145,연간_세부항목별지출!$C24,'4월'!$R$34:$R$145)</f>
        <v>0</v>
      </c>
      <c r="H24" s="200">
        <f>SUMIF('5월'!$M$34:$M$145,연간_세부항목별지출!$C24,'5월'!$R$34:$R$145)</f>
        <v>0</v>
      </c>
      <c r="I24" s="200">
        <f>SUMIF('6월'!$M$34:$M$145,연간_세부항목별지출!$C24,'6월'!$R$34:$R$145)</f>
        <v>0</v>
      </c>
      <c r="J24" s="200">
        <f>SUMIF('7월'!$M$34:$M$145,연간_세부항목별지출!$C24,'7월'!$R$34:$R$145)</f>
        <v>0</v>
      </c>
      <c r="K24" s="200">
        <f>SUMIF('8월'!$M$34:$M$145,연간_세부항목별지출!$C24,'8월'!$R$34:$R$145)</f>
        <v>0</v>
      </c>
      <c r="L24" s="200">
        <f>SUMIF('9월'!$M$34:$M$145,연간_세부항목별지출!$C24,'9월'!$R$34:$R$145)</f>
        <v>0</v>
      </c>
      <c r="M24" s="200">
        <f>SUMIF('10월'!$M$34:$M$145,연간_세부항목별지출!$C24,'10월'!$R$34:$R$145)</f>
        <v>0</v>
      </c>
      <c r="N24" s="200">
        <f>SUMIF('11월'!$M$34:$M$145,연간_세부항목별지출!$C24,'11월'!$R$34:$R$145)</f>
        <v>0</v>
      </c>
      <c r="O24" s="200">
        <f>SUMIF('12월'!$M$34:$M$145,연간_세부항목별지출!$C24,'12월'!$R$34:$R$145)</f>
        <v>0</v>
      </c>
      <c r="P24" s="264">
        <f t="shared" si="2"/>
        <v>0</v>
      </c>
      <c r="Q24" s="264">
        <f t="shared" si="3"/>
        <v>0</v>
      </c>
      <c r="R24" s="307" t="str">
        <f t="shared" si="6"/>
        <v/>
      </c>
    </row>
    <row r="25" spans="2:18" ht="18" customHeight="1" x14ac:dyDescent="0.3">
      <c r="B25" s="546"/>
      <c r="C25" s="271" t="str">
        <f>IF(항목!E7="","",항목!E7)</f>
        <v>술/회식</v>
      </c>
      <c r="D25" s="200">
        <f>SUMIF('1월'!$M$34:$M$165,연간_세부항목별지출!$C25,'1월'!$T$34:$T$165)</f>
        <v>0</v>
      </c>
      <c r="E25" s="200">
        <f>SUMIF('2월'!$M$34:$M$145,연간_세부항목별지출!$C25,'2월'!$T$34:$T$145)</f>
        <v>0</v>
      </c>
      <c r="F25" s="200">
        <f>SUMIF('3월'!$M$34:$M$145,연간_세부항목별지출!$C25,'3월'!$R$34:$R$145)</f>
        <v>0</v>
      </c>
      <c r="G25" s="200">
        <f>SUMIF('4월'!$M$34:$M$145,연간_세부항목별지출!$C25,'4월'!$R$34:$R$145)</f>
        <v>0</v>
      </c>
      <c r="H25" s="200">
        <f>SUMIF('5월'!$M$34:$M$145,연간_세부항목별지출!$C25,'5월'!$R$34:$R$145)</f>
        <v>0</v>
      </c>
      <c r="I25" s="200">
        <f>SUMIF('6월'!$M$34:$M$145,연간_세부항목별지출!$C25,'6월'!$R$34:$R$145)</f>
        <v>0</v>
      </c>
      <c r="J25" s="200">
        <f>SUMIF('7월'!$M$34:$M$145,연간_세부항목별지출!$C25,'7월'!$R$34:$R$145)</f>
        <v>0</v>
      </c>
      <c r="K25" s="200">
        <f>SUMIF('8월'!$M$34:$M$145,연간_세부항목별지출!$C25,'8월'!$R$34:$R$145)</f>
        <v>0</v>
      </c>
      <c r="L25" s="200">
        <f>SUMIF('9월'!$M$34:$M$145,연간_세부항목별지출!$C25,'9월'!$R$34:$R$145)</f>
        <v>0</v>
      </c>
      <c r="M25" s="200">
        <f>SUMIF('10월'!$M$34:$M$145,연간_세부항목별지출!$C25,'10월'!$R$34:$R$145)</f>
        <v>0</v>
      </c>
      <c r="N25" s="200">
        <f>SUMIF('11월'!$M$34:$M$145,연간_세부항목별지출!$C25,'11월'!$R$34:$R$145)</f>
        <v>0</v>
      </c>
      <c r="O25" s="200">
        <f>SUMIF('12월'!$M$34:$M$145,연간_세부항목별지출!$C25,'12월'!$R$34:$R$145)</f>
        <v>0</v>
      </c>
      <c r="P25" s="264">
        <f t="shared" si="2"/>
        <v>0</v>
      </c>
      <c r="Q25" s="264">
        <f t="shared" si="3"/>
        <v>0</v>
      </c>
      <c r="R25" s="307" t="str">
        <f t="shared" si="6"/>
        <v/>
      </c>
    </row>
    <row r="26" spans="2:18" ht="18" customHeight="1" x14ac:dyDescent="0.3">
      <c r="B26" s="546"/>
      <c r="C26" s="271" t="str">
        <f>IF(항목!E8="","",항목!E8)</f>
        <v>커피숍</v>
      </c>
      <c r="D26" s="200">
        <f>SUMIF('1월'!$M$34:$M$165,연간_세부항목별지출!$C26,'1월'!$T$34:$T$165)</f>
        <v>0</v>
      </c>
      <c r="E26" s="200">
        <f>SUMIF('2월'!$M$34:$M$145,연간_세부항목별지출!$C26,'2월'!$T$34:$T$145)</f>
        <v>0</v>
      </c>
      <c r="F26" s="200">
        <f>SUMIF('3월'!$M$34:$M$145,연간_세부항목별지출!$C26,'3월'!$R$34:$R$145)</f>
        <v>0</v>
      </c>
      <c r="G26" s="200">
        <f>SUMIF('4월'!$M$34:$M$145,연간_세부항목별지출!$C26,'4월'!$R$34:$R$145)</f>
        <v>0</v>
      </c>
      <c r="H26" s="200">
        <f>SUMIF('5월'!$M$34:$M$145,연간_세부항목별지출!$C26,'5월'!$R$34:$R$145)</f>
        <v>0</v>
      </c>
      <c r="I26" s="200">
        <f>SUMIF('6월'!$M$34:$M$145,연간_세부항목별지출!$C26,'6월'!$R$34:$R$145)</f>
        <v>0</v>
      </c>
      <c r="J26" s="200">
        <f>SUMIF('7월'!$M$34:$M$145,연간_세부항목별지출!$C26,'7월'!$R$34:$R$145)</f>
        <v>0</v>
      </c>
      <c r="K26" s="200">
        <f>SUMIF('8월'!$M$34:$M$145,연간_세부항목별지출!$C26,'8월'!$R$34:$R$145)</f>
        <v>0</v>
      </c>
      <c r="L26" s="200">
        <f>SUMIF('9월'!$M$34:$M$145,연간_세부항목별지출!$C26,'9월'!$R$34:$R$145)</f>
        <v>0</v>
      </c>
      <c r="M26" s="200">
        <f>SUMIF('10월'!$M$34:$M$145,연간_세부항목별지출!$C26,'10월'!$R$34:$R$145)</f>
        <v>0</v>
      </c>
      <c r="N26" s="200">
        <f>SUMIF('11월'!$M$34:$M$145,연간_세부항목별지출!$C26,'11월'!$R$34:$R$145)</f>
        <v>0</v>
      </c>
      <c r="O26" s="200">
        <f>SUMIF('12월'!$M$34:$M$145,연간_세부항목별지출!$C26,'12월'!$R$34:$R$145)</f>
        <v>0</v>
      </c>
      <c r="P26" s="264">
        <f t="shared" si="2"/>
        <v>0</v>
      </c>
      <c r="Q26" s="264">
        <f t="shared" si="3"/>
        <v>0</v>
      </c>
      <c r="R26" s="307" t="str">
        <f t="shared" si="6"/>
        <v/>
      </c>
    </row>
    <row r="27" spans="2:18" ht="18" customHeight="1" x14ac:dyDescent="0.3">
      <c r="B27" s="546"/>
      <c r="C27" s="271" t="str">
        <f>IF(항목!E9="","",항목!E9)</f>
        <v>기타 식비</v>
      </c>
      <c r="D27" s="200">
        <f>SUMIF('1월'!$M$34:$M$165,연간_세부항목별지출!$C27,'1월'!$T$34:$T$165)</f>
        <v>0</v>
      </c>
      <c r="E27" s="200">
        <f>SUMIF('2월'!$M$34:$M$145,연간_세부항목별지출!$C27,'2월'!$T$34:$T$145)</f>
        <v>0</v>
      </c>
      <c r="F27" s="200">
        <f>SUMIF('3월'!$M$34:$M$145,연간_세부항목별지출!$C27,'3월'!$R$34:$R$145)</f>
        <v>0</v>
      </c>
      <c r="G27" s="200">
        <f>SUMIF('4월'!$M$34:$M$145,연간_세부항목별지출!$C27,'4월'!$R$34:$R$145)</f>
        <v>0</v>
      </c>
      <c r="H27" s="200">
        <f>SUMIF('5월'!$M$34:$M$145,연간_세부항목별지출!$C27,'5월'!$R$34:$R$145)</f>
        <v>0</v>
      </c>
      <c r="I27" s="200">
        <f>SUMIF('6월'!$M$34:$M$145,연간_세부항목별지출!$C27,'6월'!$R$34:$R$145)</f>
        <v>0</v>
      </c>
      <c r="J27" s="200">
        <f>SUMIF('7월'!$M$34:$M$145,연간_세부항목별지출!$C27,'7월'!$R$34:$R$145)</f>
        <v>0</v>
      </c>
      <c r="K27" s="200">
        <f>SUMIF('8월'!$M$34:$M$145,연간_세부항목별지출!$C27,'8월'!$R$34:$R$145)</f>
        <v>0</v>
      </c>
      <c r="L27" s="200">
        <f>SUMIF('9월'!$M$34:$M$145,연간_세부항목별지출!$C27,'9월'!$R$34:$R$145)</f>
        <v>0</v>
      </c>
      <c r="M27" s="200">
        <f>SUMIF('10월'!$M$34:$M$145,연간_세부항목별지출!$C27,'10월'!$R$34:$R$145)</f>
        <v>0</v>
      </c>
      <c r="N27" s="200">
        <f>SUMIF('11월'!$M$34:$M$145,연간_세부항목별지출!$C27,'11월'!$R$34:$R$145)</f>
        <v>0</v>
      </c>
      <c r="O27" s="200">
        <f>SUMIF('12월'!$M$34:$M$145,연간_세부항목별지출!$C27,'12월'!$R$34:$R$145)</f>
        <v>0</v>
      </c>
      <c r="P27" s="264">
        <f t="shared" si="2"/>
        <v>0</v>
      </c>
      <c r="Q27" s="264">
        <f t="shared" si="3"/>
        <v>0</v>
      </c>
      <c r="R27" s="307" t="str">
        <f t="shared" si="6"/>
        <v/>
      </c>
    </row>
    <row r="28" spans="2:18" ht="18" customHeight="1" x14ac:dyDescent="0.3">
      <c r="B28" s="546"/>
      <c r="C28" s="271" t="str">
        <f>IF(항목!E10="","",항목!E10)</f>
        <v/>
      </c>
      <c r="D28" s="200">
        <f>SUMIF('1월'!$M$34:$M$165,연간_세부항목별지출!$C28,'1월'!$T$34:$T$165)</f>
        <v>0</v>
      </c>
      <c r="E28" s="200">
        <f>SUMIF('2월'!$M$34:$M$145,연간_세부항목별지출!$C28,'2월'!$T$34:$T$145)</f>
        <v>0</v>
      </c>
      <c r="F28" s="200">
        <f>SUMIF('3월'!$M$34:$M$145,연간_세부항목별지출!$C28,'3월'!$R$34:$R$145)</f>
        <v>0</v>
      </c>
      <c r="G28" s="200">
        <f>SUMIF('4월'!$M$34:$M$145,연간_세부항목별지출!$C28,'4월'!$R$34:$R$145)</f>
        <v>0</v>
      </c>
      <c r="H28" s="200">
        <f>SUMIF('5월'!$M$34:$M$145,연간_세부항목별지출!$C28,'5월'!$R$34:$R$145)</f>
        <v>0</v>
      </c>
      <c r="I28" s="200">
        <f>SUMIF('6월'!$M$34:$M$145,연간_세부항목별지출!$C28,'6월'!$R$34:$R$145)</f>
        <v>0</v>
      </c>
      <c r="J28" s="200">
        <f>SUMIF('7월'!$M$34:$M$145,연간_세부항목별지출!$C28,'7월'!$R$34:$R$145)</f>
        <v>0</v>
      </c>
      <c r="K28" s="200">
        <f>SUMIF('8월'!$M$34:$M$145,연간_세부항목별지출!$C28,'8월'!$R$34:$R$145)</f>
        <v>0</v>
      </c>
      <c r="L28" s="200">
        <f>SUMIF('9월'!$M$34:$M$145,연간_세부항목별지출!$C28,'9월'!$R$34:$R$145)</f>
        <v>0</v>
      </c>
      <c r="M28" s="200">
        <f>SUMIF('10월'!$M$34:$M$145,연간_세부항목별지출!$C28,'10월'!$R$34:$R$145)</f>
        <v>0</v>
      </c>
      <c r="N28" s="200">
        <f>SUMIF('11월'!$M$34:$M$145,연간_세부항목별지출!$C28,'11월'!$R$34:$R$145)</f>
        <v>0</v>
      </c>
      <c r="O28" s="200">
        <f>SUMIF('12월'!$M$34:$M$145,연간_세부항목별지출!$C28,'12월'!$R$34:$R$145)</f>
        <v>0</v>
      </c>
      <c r="P28" s="264">
        <f t="shared" si="2"/>
        <v>0</v>
      </c>
      <c r="Q28" s="264">
        <f t="shared" si="3"/>
        <v>0</v>
      </c>
      <c r="R28" s="307" t="str">
        <f t="shared" si="6"/>
        <v/>
      </c>
    </row>
    <row r="29" spans="2:18" ht="18" customHeight="1" x14ac:dyDescent="0.3">
      <c r="B29" s="546"/>
      <c r="C29" s="271" t="str">
        <f>IF(항목!E11="","",항목!E11)</f>
        <v/>
      </c>
      <c r="D29" s="200">
        <f>SUMIF('1월'!$M$34:$M$165,연간_세부항목별지출!$C29,'1월'!$T$34:$T$165)</f>
        <v>0</v>
      </c>
      <c r="E29" s="200">
        <f>SUMIF('2월'!$M$34:$M$145,연간_세부항목별지출!$C29,'2월'!$T$34:$T$145)</f>
        <v>0</v>
      </c>
      <c r="F29" s="200">
        <f>SUMIF('3월'!$M$34:$M$145,연간_세부항목별지출!$C29,'3월'!$R$34:$R$145)</f>
        <v>0</v>
      </c>
      <c r="G29" s="200">
        <f>SUMIF('4월'!$M$34:$M$145,연간_세부항목별지출!$C29,'4월'!$R$34:$R$145)</f>
        <v>0</v>
      </c>
      <c r="H29" s="200">
        <f>SUMIF('5월'!$M$34:$M$145,연간_세부항목별지출!$C29,'5월'!$R$34:$R$145)</f>
        <v>0</v>
      </c>
      <c r="I29" s="200">
        <f>SUMIF('6월'!$M$34:$M$145,연간_세부항목별지출!$C29,'6월'!$R$34:$R$145)</f>
        <v>0</v>
      </c>
      <c r="J29" s="200">
        <f>SUMIF('7월'!$M$34:$M$145,연간_세부항목별지출!$C29,'7월'!$R$34:$R$145)</f>
        <v>0</v>
      </c>
      <c r="K29" s="200">
        <f>SUMIF('8월'!$M$34:$M$145,연간_세부항목별지출!$C29,'8월'!$R$34:$R$145)</f>
        <v>0</v>
      </c>
      <c r="L29" s="200">
        <f>SUMIF('9월'!$M$34:$M$145,연간_세부항목별지출!$C29,'9월'!$R$34:$R$145)</f>
        <v>0</v>
      </c>
      <c r="M29" s="200">
        <f>SUMIF('10월'!$M$34:$M$145,연간_세부항목별지출!$C29,'10월'!$R$34:$R$145)</f>
        <v>0</v>
      </c>
      <c r="N29" s="200">
        <f>SUMIF('11월'!$M$34:$M$145,연간_세부항목별지출!$C29,'11월'!$R$34:$R$145)</f>
        <v>0</v>
      </c>
      <c r="O29" s="200">
        <f>SUMIF('12월'!$M$34:$M$145,연간_세부항목별지출!$C29,'12월'!$R$34:$R$145)</f>
        <v>0</v>
      </c>
      <c r="P29" s="264">
        <f t="shared" si="2"/>
        <v>0</v>
      </c>
      <c r="Q29" s="264">
        <f t="shared" si="3"/>
        <v>0</v>
      </c>
      <c r="R29" s="307" t="str">
        <f t="shared" si="6"/>
        <v/>
      </c>
    </row>
    <row r="30" spans="2:18" ht="18" customHeight="1" x14ac:dyDescent="0.3">
      <c r="B30" s="546"/>
      <c r="C30" s="271" t="str">
        <f>IF(항목!E12="","",항목!E12)</f>
        <v/>
      </c>
      <c r="D30" s="200">
        <f>SUMIF('1월'!$M$34:$M$165,연간_세부항목별지출!$C30,'1월'!$T$34:$T$165)</f>
        <v>0</v>
      </c>
      <c r="E30" s="200">
        <f>SUMIF('2월'!$M$34:$M$145,연간_세부항목별지출!$C30,'2월'!$T$34:$T$145)</f>
        <v>0</v>
      </c>
      <c r="F30" s="200">
        <f>SUMIF('3월'!$M$34:$M$145,연간_세부항목별지출!$C30,'3월'!$R$34:$R$145)</f>
        <v>0</v>
      </c>
      <c r="G30" s="200">
        <f>SUMIF('4월'!$M$34:$M$145,연간_세부항목별지출!$C30,'4월'!$R$34:$R$145)</f>
        <v>0</v>
      </c>
      <c r="H30" s="200">
        <f>SUMIF('5월'!$M$34:$M$145,연간_세부항목별지출!$C30,'5월'!$R$34:$R$145)</f>
        <v>0</v>
      </c>
      <c r="I30" s="200">
        <f>SUMIF('6월'!$M$34:$M$145,연간_세부항목별지출!$C30,'6월'!$R$34:$R$145)</f>
        <v>0</v>
      </c>
      <c r="J30" s="200">
        <f>SUMIF('7월'!$M$34:$M$145,연간_세부항목별지출!$C30,'7월'!$R$34:$R$145)</f>
        <v>0</v>
      </c>
      <c r="K30" s="200">
        <f>SUMIF('8월'!$M$34:$M$145,연간_세부항목별지출!$C30,'8월'!$R$34:$R$145)</f>
        <v>0</v>
      </c>
      <c r="L30" s="200">
        <f>SUMIF('9월'!$M$34:$M$145,연간_세부항목별지출!$C30,'9월'!$R$34:$R$145)</f>
        <v>0</v>
      </c>
      <c r="M30" s="200">
        <f>SUMIF('10월'!$M$34:$M$145,연간_세부항목별지출!$C30,'10월'!$R$34:$R$145)</f>
        <v>0</v>
      </c>
      <c r="N30" s="200">
        <f>SUMIF('11월'!$M$34:$M$145,연간_세부항목별지출!$C30,'11월'!$R$34:$R$145)</f>
        <v>0</v>
      </c>
      <c r="O30" s="200">
        <f>SUMIF('12월'!$M$34:$M$145,연간_세부항목별지출!$C30,'12월'!$R$34:$R$145)</f>
        <v>0</v>
      </c>
      <c r="P30" s="264">
        <f t="shared" si="2"/>
        <v>0</v>
      </c>
      <c r="Q30" s="264">
        <f t="shared" si="3"/>
        <v>0</v>
      </c>
      <c r="R30" s="307" t="str">
        <f t="shared" si="6"/>
        <v/>
      </c>
    </row>
    <row r="31" spans="2:18" ht="18" customHeight="1" x14ac:dyDescent="0.3">
      <c r="B31" s="546"/>
      <c r="C31" s="271" t="str">
        <f>IF(항목!E13="","",항목!E13)</f>
        <v/>
      </c>
      <c r="D31" s="200">
        <f>SUMIF('1월'!$M$34:$M$165,연간_세부항목별지출!$C31,'1월'!$T$34:$T$165)</f>
        <v>0</v>
      </c>
      <c r="E31" s="200">
        <f>SUMIF('2월'!$M$34:$M$145,연간_세부항목별지출!$C31,'2월'!$T$34:$T$145)</f>
        <v>0</v>
      </c>
      <c r="F31" s="200">
        <f>SUMIF('3월'!$M$34:$M$145,연간_세부항목별지출!$C31,'3월'!$R$34:$R$145)</f>
        <v>0</v>
      </c>
      <c r="G31" s="200">
        <f>SUMIF('4월'!$M$34:$M$145,연간_세부항목별지출!$C31,'4월'!$R$34:$R$145)</f>
        <v>0</v>
      </c>
      <c r="H31" s="200">
        <f>SUMIF('5월'!$M$34:$M$145,연간_세부항목별지출!$C31,'5월'!$R$34:$R$145)</f>
        <v>0</v>
      </c>
      <c r="I31" s="200">
        <f>SUMIF('6월'!$M$34:$M$145,연간_세부항목별지출!$C31,'6월'!$R$34:$R$145)</f>
        <v>0</v>
      </c>
      <c r="J31" s="200">
        <f>SUMIF('7월'!$M$34:$M$145,연간_세부항목별지출!$C31,'7월'!$R$34:$R$145)</f>
        <v>0</v>
      </c>
      <c r="K31" s="200">
        <f>SUMIF('8월'!$M$34:$M$145,연간_세부항목별지출!$C31,'8월'!$R$34:$R$145)</f>
        <v>0</v>
      </c>
      <c r="L31" s="200">
        <f>SUMIF('9월'!$M$34:$M$145,연간_세부항목별지출!$C31,'9월'!$R$34:$R$145)</f>
        <v>0</v>
      </c>
      <c r="M31" s="200">
        <f>SUMIF('10월'!$M$34:$M$145,연간_세부항목별지출!$C31,'10월'!$R$34:$R$145)</f>
        <v>0</v>
      </c>
      <c r="N31" s="200">
        <f>SUMIF('11월'!$M$34:$M$145,연간_세부항목별지출!$C31,'11월'!$R$34:$R$145)</f>
        <v>0</v>
      </c>
      <c r="O31" s="200">
        <f>SUMIF('12월'!$M$34:$M$145,연간_세부항목별지출!$C31,'12월'!$R$34:$R$145)</f>
        <v>0</v>
      </c>
      <c r="P31" s="264">
        <f t="shared" si="2"/>
        <v>0</v>
      </c>
      <c r="Q31" s="264">
        <f t="shared" si="3"/>
        <v>0</v>
      </c>
      <c r="R31" s="307" t="str">
        <f t="shared" si="6"/>
        <v/>
      </c>
    </row>
    <row r="32" spans="2:18" ht="18" customHeight="1" x14ac:dyDescent="0.3">
      <c r="B32" s="546"/>
      <c r="C32" s="271" t="str">
        <f>IF(항목!E14="","",항목!E14)</f>
        <v/>
      </c>
      <c r="D32" s="200">
        <f>SUMIF('1월'!$M$34:$M$165,연간_세부항목별지출!$C32,'1월'!$T$34:$T$165)</f>
        <v>0</v>
      </c>
      <c r="E32" s="200">
        <f>SUMIF('2월'!$M$34:$M$145,연간_세부항목별지출!$C32,'2월'!$T$34:$T$145)</f>
        <v>0</v>
      </c>
      <c r="F32" s="200">
        <f>SUMIF('3월'!$M$34:$M$145,연간_세부항목별지출!$C32,'3월'!$R$34:$R$145)</f>
        <v>0</v>
      </c>
      <c r="G32" s="200">
        <f>SUMIF('4월'!$M$34:$M$145,연간_세부항목별지출!$C32,'4월'!$R$34:$R$145)</f>
        <v>0</v>
      </c>
      <c r="H32" s="200">
        <f>SUMIF('5월'!$M$34:$M$145,연간_세부항목별지출!$C32,'5월'!$R$34:$R$145)</f>
        <v>0</v>
      </c>
      <c r="I32" s="200">
        <f>SUMIF('6월'!$M$34:$M$145,연간_세부항목별지출!$C32,'6월'!$R$34:$R$145)</f>
        <v>0</v>
      </c>
      <c r="J32" s="200">
        <f>SUMIF('7월'!$M$34:$M$145,연간_세부항목별지출!$C32,'7월'!$R$34:$R$145)</f>
        <v>0</v>
      </c>
      <c r="K32" s="200">
        <f>SUMIF('8월'!$M$34:$M$145,연간_세부항목별지출!$C32,'8월'!$R$34:$R$145)</f>
        <v>0</v>
      </c>
      <c r="L32" s="200">
        <f>SUMIF('9월'!$M$34:$M$145,연간_세부항목별지출!$C32,'9월'!$R$34:$R$145)</f>
        <v>0</v>
      </c>
      <c r="M32" s="200">
        <f>SUMIF('10월'!$M$34:$M$145,연간_세부항목별지출!$C32,'10월'!$R$34:$R$145)</f>
        <v>0</v>
      </c>
      <c r="N32" s="200">
        <f>SUMIF('11월'!$M$34:$M$145,연간_세부항목별지출!$C32,'11월'!$R$34:$R$145)</f>
        <v>0</v>
      </c>
      <c r="O32" s="200">
        <f>SUMIF('12월'!$M$34:$M$145,연간_세부항목별지출!$C32,'12월'!$R$34:$R$145)</f>
        <v>0</v>
      </c>
      <c r="P32" s="264">
        <f t="shared" si="2"/>
        <v>0</v>
      </c>
      <c r="Q32" s="264">
        <f t="shared" si="3"/>
        <v>0</v>
      </c>
      <c r="R32" s="307" t="str">
        <f t="shared" si="6"/>
        <v/>
      </c>
    </row>
    <row r="33" spans="2:18" ht="18" customHeight="1" x14ac:dyDescent="0.3">
      <c r="B33" s="546"/>
      <c r="C33" s="271" t="str">
        <f>IF(항목!E15="","",항목!E15)</f>
        <v/>
      </c>
      <c r="D33" s="200">
        <f>SUMIF('1월'!$M$34:$M$165,연간_세부항목별지출!$C33,'1월'!$T$34:$T$165)</f>
        <v>0</v>
      </c>
      <c r="E33" s="200">
        <f>SUMIF('2월'!$M$34:$M$145,연간_세부항목별지출!$C33,'2월'!$T$34:$T$145)</f>
        <v>0</v>
      </c>
      <c r="F33" s="200">
        <f>SUMIF('3월'!$M$34:$M$145,연간_세부항목별지출!$C33,'3월'!$R$34:$R$145)</f>
        <v>0</v>
      </c>
      <c r="G33" s="200">
        <f>SUMIF('4월'!$M$34:$M$145,연간_세부항목별지출!$C33,'4월'!$R$34:$R$145)</f>
        <v>0</v>
      </c>
      <c r="H33" s="200">
        <f>SUMIF('5월'!$M$34:$M$145,연간_세부항목별지출!$C33,'5월'!$R$34:$R$145)</f>
        <v>0</v>
      </c>
      <c r="I33" s="200">
        <f>SUMIF('6월'!$M$34:$M$145,연간_세부항목별지출!$C33,'6월'!$R$34:$R$145)</f>
        <v>0</v>
      </c>
      <c r="J33" s="200">
        <f>SUMIF('7월'!$M$34:$M$145,연간_세부항목별지출!$C33,'7월'!$R$34:$R$145)</f>
        <v>0</v>
      </c>
      <c r="K33" s="200">
        <f>SUMIF('8월'!$M$34:$M$145,연간_세부항목별지출!$C33,'8월'!$R$34:$R$145)</f>
        <v>0</v>
      </c>
      <c r="L33" s="200">
        <f>SUMIF('9월'!$M$34:$M$145,연간_세부항목별지출!$C33,'9월'!$R$34:$R$145)</f>
        <v>0</v>
      </c>
      <c r="M33" s="200">
        <f>SUMIF('10월'!$M$34:$M$145,연간_세부항목별지출!$C33,'10월'!$R$34:$R$145)</f>
        <v>0</v>
      </c>
      <c r="N33" s="200">
        <f>SUMIF('11월'!$M$34:$M$145,연간_세부항목별지출!$C33,'11월'!$R$34:$R$145)</f>
        <v>0</v>
      </c>
      <c r="O33" s="200">
        <f>SUMIF('12월'!$M$34:$M$145,연간_세부항목별지출!$C33,'12월'!$R$34:$R$145)</f>
        <v>0</v>
      </c>
      <c r="P33" s="264">
        <f t="shared" si="2"/>
        <v>0</v>
      </c>
      <c r="Q33" s="264">
        <f t="shared" si="3"/>
        <v>0</v>
      </c>
      <c r="R33" s="307" t="str">
        <f t="shared" si="6"/>
        <v/>
      </c>
    </row>
    <row r="34" spans="2:18" ht="18" customHeight="1" x14ac:dyDescent="0.3">
      <c r="B34" s="546"/>
      <c r="C34" s="271" t="str">
        <f>IF(항목!E16="","",항목!E16)</f>
        <v/>
      </c>
      <c r="D34" s="200">
        <f>SUMIF('1월'!$M$34:$M$165,연간_세부항목별지출!$C34,'1월'!$T$34:$T$165)</f>
        <v>0</v>
      </c>
      <c r="E34" s="200">
        <f>SUMIF('2월'!$M$34:$M$145,연간_세부항목별지출!$C34,'2월'!$T$34:$T$145)</f>
        <v>0</v>
      </c>
      <c r="F34" s="200">
        <f>SUMIF('3월'!$M$34:$M$145,연간_세부항목별지출!$C34,'3월'!$R$34:$R$145)</f>
        <v>0</v>
      </c>
      <c r="G34" s="200">
        <f>SUMIF('4월'!$M$34:$M$145,연간_세부항목별지출!$C34,'4월'!$R$34:$R$145)</f>
        <v>0</v>
      </c>
      <c r="H34" s="200">
        <f>SUMIF('5월'!$M$34:$M$145,연간_세부항목별지출!$C34,'5월'!$R$34:$R$145)</f>
        <v>0</v>
      </c>
      <c r="I34" s="200">
        <f>SUMIF('6월'!$M$34:$M$145,연간_세부항목별지출!$C34,'6월'!$R$34:$R$145)</f>
        <v>0</v>
      </c>
      <c r="J34" s="200">
        <f>SUMIF('7월'!$M$34:$M$145,연간_세부항목별지출!$C34,'7월'!$R$34:$R$145)</f>
        <v>0</v>
      </c>
      <c r="K34" s="200">
        <f>SUMIF('8월'!$M$34:$M$145,연간_세부항목별지출!$C34,'8월'!$R$34:$R$145)</f>
        <v>0</v>
      </c>
      <c r="L34" s="200">
        <f>SUMIF('9월'!$M$34:$M$145,연간_세부항목별지출!$C34,'9월'!$R$34:$R$145)</f>
        <v>0</v>
      </c>
      <c r="M34" s="200">
        <f>SUMIF('10월'!$M$34:$M$145,연간_세부항목별지출!$C34,'10월'!$R$34:$R$145)</f>
        <v>0</v>
      </c>
      <c r="N34" s="200">
        <f>SUMIF('11월'!$M$34:$M$145,연간_세부항목별지출!$C34,'11월'!$R$34:$R$145)</f>
        <v>0</v>
      </c>
      <c r="O34" s="200">
        <f>SUMIF('12월'!$M$34:$M$145,연간_세부항목별지출!$C34,'12월'!$R$34:$R$145)</f>
        <v>0</v>
      </c>
      <c r="P34" s="264">
        <f t="shared" si="2"/>
        <v>0</v>
      </c>
      <c r="Q34" s="264">
        <f t="shared" si="3"/>
        <v>0</v>
      </c>
      <c r="R34" s="307" t="str">
        <f t="shared" si="6"/>
        <v/>
      </c>
    </row>
    <row r="35" spans="2:18" ht="18" customHeight="1" x14ac:dyDescent="0.3">
      <c r="B35" s="546"/>
      <c r="C35" s="271" t="str">
        <f>IF(항목!E17="","",항목!E17)</f>
        <v/>
      </c>
      <c r="D35" s="200">
        <f>SUMIF('1월'!$M$34:$M$165,연간_세부항목별지출!$C35,'1월'!$T$34:$T$165)</f>
        <v>0</v>
      </c>
      <c r="E35" s="200">
        <f>SUMIF('2월'!$M$34:$M$145,연간_세부항목별지출!$C35,'2월'!$T$34:$T$145)</f>
        <v>0</v>
      </c>
      <c r="F35" s="200">
        <f>SUMIF('3월'!$M$34:$M$145,연간_세부항목별지출!$C35,'3월'!$R$34:$R$145)</f>
        <v>0</v>
      </c>
      <c r="G35" s="200">
        <f>SUMIF('4월'!$M$34:$M$145,연간_세부항목별지출!$C35,'4월'!$R$34:$R$145)</f>
        <v>0</v>
      </c>
      <c r="H35" s="200">
        <f>SUMIF('5월'!$M$34:$M$145,연간_세부항목별지출!$C35,'5월'!$R$34:$R$145)</f>
        <v>0</v>
      </c>
      <c r="I35" s="200">
        <f>SUMIF('6월'!$M$34:$M$145,연간_세부항목별지출!$C35,'6월'!$R$34:$R$145)</f>
        <v>0</v>
      </c>
      <c r="J35" s="200">
        <f>SUMIF('7월'!$M$34:$M$145,연간_세부항목별지출!$C35,'7월'!$R$34:$R$145)</f>
        <v>0</v>
      </c>
      <c r="K35" s="200">
        <f>SUMIF('8월'!$M$34:$M$145,연간_세부항목별지출!$C35,'8월'!$R$34:$R$145)</f>
        <v>0</v>
      </c>
      <c r="L35" s="200">
        <f>SUMIF('9월'!$M$34:$M$145,연간_세부항목별지출!$C35,'9월'!$R$34:$R$145)</f>
        <v>0</v>
      </c>
      <c r="M35" s="200">
        <f>SUMIF('10월'!$M$34:$M$145,연간_세부항목별지출!$C35,'10월'!$R$34:$R$145)</f>
        <v>0</v>
      </c>
      <c r="N35" s="200">
        <f>SUMIF('11월'!$M$34:$M$145,연간_세부항목별지출!$C35,'11월'!$R$34:$R$145)</f>
        <v>0</v>
      </c>
      <c r="O35" s="200">
        <f>SUMIF('12월'!$M$34:$M$145,연간_세부항목별지출!$C35,'12월'!$R$34:$R$145)</f>
        <v>0</v>
      </c>
      <c r="P35" s="264">
        <f t="shared" si="2"/>
        <v>0</v>
      </c>
      <c r="Q35" s="264">
        <f t="shared" si="3"/>
        <v>0</v>
      </c>
      <c r="R35" s="307" t="str">
        <f t="shared" si="6"/>
        <v/>
      </c>
    </row>
    <row r="36" spans="2:18" ht="18" customHeight="1" thickBot="1" x14ac:dyDescent="0.35">
      <c r="B36" s="546"/>
      <c r="C36" s="272" t="str">
        <f>IF(항목!E18="","",항목!E18)</f>
        <v/>
      </c>
      <c r="D36" s="238">
        <f>SUMIF('1월'!$M$34:$M$165,연간_세부항목별지출!$C36,'1월'!$T$34:$T$165)</f>
        <v>0</v>
      </c>
      <c r="E36" s="238">
        <f>SUMIF('2월'!$M$34:$M$145,연간_세부항목별지출!$C36,'2월'!$T$34:$T$145)</f>
        <v>0</v>
      </c>
      <c r="F36" s="238">
        <f>SUMIF('3월'!$M$34:$M$145,연간_세부항목별지출!$C36,'3월'!$R$34:$R$145)</f>
        <v>0</v>
      </c>
      <c r="G36" s="238">
        <f>SUMIF('4월'!$M$34:$M$145,연간_세부항목별지출!$C36,'4월'!$R$34:$R$145)</f>
        <v>0</v>
      </c>
      <c r="H36" s="238">
        <f>SUMIF('5월'!$M$34:$M$145,연간_세부항목별지출!$C36,'5월'!$R$34:$R$145)</f>
        <v>0</v>
      </c>
      <c r="I36" s="238">
        <f>SUMIF('6월'!$M$34:$M$145,연간_세부항목별지출!$C36,'6월'!$R$34:$R$145)</f>
        <v>0</v>
      </c>
      <c r="J36" s="238">
        <f>SUMIF('7월'!$M$34:$M$145,연간_세부항목별지출!$C36,'7월'!$R$34:$R$145)</f>
        <v>0</v>
      </c>
      <c r="K36" s="238">
        <f>SUMIF('8월'!$M$34:$M$145,연간_세부항목별지출!$C36,'8월'!$R$34:$R$145)</f>
        <v>0</v>
      </c>
      <c r="L36" s="238">
        <f>SUMIF('9월'!$M$34:$M$145,연간_세부항목별지출!$C36,'9월'!$R$34:$R$145)</f>
        <v>0</v>
      </c>
      <c r="M36" s="238">
        <f>SUMIF('10월'!$M$34:$M$145,연간_세부항목별지출!$C36,'10월'!$R$34:$R$145)</f>
        <v>0</v>
      </c>
      <c r="N36" s="238">
        <f>SUMIF('11월'!$M$34:$M$145,연간_세부항목별지출!$C36,'11월'!$R$34:$R$145)</f>
        <v>0</v>
      </c>
      <c r="O36" s="238">
        <f>SUMIF('12월'!$M$34:$M$145,연간_세부항목별지출!$C36,'12월'!$R$34:$R$145)</f>
        <v>0</v>
      </c>
      <c r="P36" s="273">
        <f t="shared" si="2"/>
        <v>0</v>
      </c>
      <c r="Q36" s="273">
        <f t="shared" si="3"/>
        <v>0</v>
      </c>
      <c r="R36" s="310" t="str">
        <f t="shared" si="6"/>
        <v/>
      </c>
    </row>
    <row r="37" spans="2:18" ht="18" customHeight="1" x14ac:dyDescent="0.3">
      <c r="B37" s="545" t="str">
        <f>항목!F3</f>
        <v>주거비</v>
      </c>
      <c r="C37" s="270" t="str">
        <f>IF(항목!F4="","",항목!F4)</f>
        <v>재산세</v>
      </c>
      <c r="D37" s="200">
        <f>SUMIF('1월'!$M$34:$M$165,연간_세부항목별지출!$C37,'1월'!$T$34:$T$165)</f>
        <v>0</v>
      </c>
      <c r="E37" s="200">
        <f>SUMIF('2월'!$M$34:$M$145,연간_세부항목별지출!$C37,'2월'!$T$34:$T$145)</f>
        <v>0</v>
      </c>
      <c r="F37" s="200">
        <f>SUMIF('3월'!$M$34:$M$145,연간_세부항목별지출!$C37,'3월'!$R$34:$R$145)</f>
        <v>0</v>
      </c>
      <c r="G37" s="200">
        <f>SUMIF('4월'!$M$34:$M$145,연간_세부항목별지출!$C37,'4월'!$R$34:$R$145)</f>
        <v>0</v>
      </c>
      <c r="H37" s="200">
        <f>SUMIF('5월'!$M$34:$M$145,연간_세부항목별지출!$C37,'5월'!$R$34:$R$145)</f>
        <v>0</v>
      </c>
      <c r="I37" s="200">
        <f>SUMIF('6월'!$M$34:$M$145,연간_세부항목별지출!$C37,'6월'!$R$34:$R$145)</f>
        <v>0</v>
      </c>
      <c r="J37" s="200">
        <f>SUMIF('7월'!$M$34:$M$145,연간_세부항목별지출!$C37,'7월'!$R$34:$R$145)</f>
        <v>0</v>
      </c>
      <c r="K37" s="200">
        <f>SUMIF('8월'!$M$34:$M$145,연간_세부항목별지출!$C37,'8월'!$R$34:$R$145)</f>
        <v>0</v>
      </c>
      <c r="L37" s="200">
        <f>SUMIF('9월'!$M$34:$M$145,연간_세부항목별지출!$C37,'9월'!$R$34:$R$145)</f>
        <v>0</v>
      </c>
      <c r="M37" s="200">
        <f>SUMIF('10월'!$M$34:$M$145,연간_세부항목별지출!$C37,'10월'!$R$34:$R$145)</f>
        <v>0</v>
      </c>
      <c r="N37" s="200">
        <f>SUMIF('11월'!$M$34:$M$145,연간_세부항목별지출!$C37,'11월'!$R$34:$R$145)</f>
        <v>0</v>
      </c>
      <c r="O37" s="200">
        <f>SUMIF('12월'!$M$34:$M$145,연간_세부항목별지출!$C37,'12월'!$R$34:$R$145)</f>
        <v>0</v>
      </c>
      <c r="P37" s="254">
        <f t="shared" si="2"/>
        <v>0</v>
      </c>
      <c r="Q37" s="254">
        <f t="shared" si="3"/>
        <v>0</v>
      </c>
      <c r="R37" s="309" t="str">
        <f t="shared" si="6"/>
        <v/>
      </c>
    </row>
    <row r="38" spans="2:18" ht="18" customHeight="1" x14ac:dyDescent="0.3">
      <c r="B38" s="546"/>
      <c r="C38" s="271" t="str">
        <f>IF(항목!F5="","",항목!F5)</f>
        <v>월세</v>
      </c>
      <c r="D38" s="200">
        <f>SUMIF('1월'!$M$34:$M$165,연간_세부항목별지출!$C38,'1월'!$T$34:$T$165)</f>
        <v>0</v>
      </c>
      <c r="E38" s="200">
        <f>SUMIF('2월'!$M$34:$M$145,연간_세부항목별지출!$C38,'2월'!$T$34:$T$145)</f>
        <v>0</v>
      </c>
      <c r="F38" s="200">
        <f>SUMIF('3월'!$M$34:$M$145,연간_세부항목별지출!$C38,'3월'!$R$34:$R$145)</f>
        <v>0</v>
      </c>
      <c r="G38" s="200">
        <f>SUMIF('4월'!$M$34:$M$145,연간_세부항목별지출!$C38,'4월'!$R$34:$R$145)</f>
        <v>0</v>
      </c>
      <c r="H38" s="200">
        <f>SUMIF('5월'!$M$34:$M$145,연간_세부항목별지출!$C38,'5월'!$R$34:$R$145)</f>
        <v>0</v>
      </c>
      <c r="I38" s="200">
        <f>SUMIF('6월'!$M$34:$M$145,연간_세부항목별지출!$C38,'6월'!$R$34:$R$145)</f>
        <v>0</v>
      </c>
      <c r="J38" s="200">
        <f>SUMIF('7월'!$M$34:$M$145,연간_세부항목별지출!$C38,'7월'!$R$34:$R$145)</f>
        <v>0</v>
      </c>
      <c r="K38" s="200">
        <f>SUMIF('8월'!$M$34:$M$145,연간_세부항목별지출!$C38,'8월'!$R$34:$R$145)</f>
        <v>0</v>
      </c>
      <c r="L38" s="200">
        <f>SUMIF('9월'!$M$34:$M$145,연간_세부항목별지출!$C38,'9월'!$R$34:$R$145)</f>
        <v>0</v>
      </c>
      <c r="M38" s="200">
        <f>SUMIF('10월'!$M$34:$M$145,연간_세부항목별지출!$C38,'10월'!$R$34:$R$145)</f>
        <v>0</v>
      </c>
      <c r="N38" s="200">
        <f>SUMIF('11월'!$M$34:$M$145,연간_세부항목별지출!$C38,'11월'!$R$34:$R$145)</f>
        <v>0</v>
      </c>
      <c r="O38" s="200">
        <f>SUMIF('12월'!$M$34:$M$145,연간_세부항목별지출!$C38,'12월'!$R$34:$R$145)</f>
        <v>0</v>
      </c>
      <c r="P38" s="264">
        <f t="shared" si="2"/>
        <v>0</v>
      </c>
      <c r="Q38" s="264">
        <f t="shared" si="3"/>
        <v>0</v>
      </c>
      <c r="R38" s="307" t="str">
        <f t="shared" si="6"/>
        <v/>
      </c>
    </row>
    <row r="39" spans="2:18" ht="18" customHeight="1" x14ac:dyDescent="0.3">
      <c r="B39" s="546"/>
      <c r="C39" s="271" t="str">
        <f>IF(항목!F6="","",항목!F6)</f>
        <v>주담대 이자</v>
      </c>
      <c r="D39" s="200">
        <f>SUMIF('1월'!$M$34:$M$165,연간_세부항목별지출!$C39,'1월'!$T$34:$T$165)</f>
        <v>0</v>
      </c>
      <c r="E39" s="200">
        <f>SUMIF('2월'!$M$34:$M$145,연간_세부항목별지출!$C39,'2월'!$T$34:$T$145)</f>
        <v>0</v>
      </c>
      <c r="F39" s="200">
        <f>SUMIF('3월'!$M$34:$M$145,연간_세부항목별지출!$C39,'3월'!$R$34:$R$145)</f>
        <v>0</v>
      </c>
      <c r="G39" s="200">
        <f>SUMIF('4월'!$M$34:$M$145,연간_세부항목별지출!$C39,'4월'!$R$34:$R$145)</f>
        <v>0</v>
      </c>
      <c r="H39" s="200">
        <f>SUMIF('5월'!$M$34:$M$145,연간_세부항목별지출!$C39,'5월'!$R$34:$R$145)</f>
        <v>0</v>
      </c>
      <c r="I39" s="200">
        <f>SUMIF('6월'!$M$34:$M$145,연간_세부항목별지출!$C39,'6월'!$R$34:$R$145)</f>
        <v>0</v>
      </c>
      <c r="J39" s="200">
        <f>SUMIF('7월'!$M$34:$M$145,연간_세부항목별지출!$C39,'7월'!$R$34:$R$145)</f>
        <v>0</v>
      </c>
      <c r="K39" s="200">
        <f>SUMIF('8월'!$M$34:$M$145,연간_세부항목별지출!$C39,'8월'!$R$34:$R$145)</f>
        <v>0</v>
      </c>
      <c r="L39" s="200">
        <f>SUMIF('9월'!$M$34:$M$145,연간_세부항목별지출!$C39,'9월'!$R$34:$R$145)</f>
        <v>0</v>
      </c>
      <c r="M39" s="200">
        <f>SUMIF('10월'!$M$34:$M$145,연간_세부항목별지출!$C39,'10월'!$R$34:$R$145)</f>
        <v>0</v>
      </c>
      <c r="N39" s="200">
        <f>SUMIF('11월'!$M$34:$M$145,연간_세부항목별지출!$C39,'11월'!$R$34:$R$145)</f>
        <v>0</v>
      </c>
      <c r="O39" s="200">
        <f>SUMIF('12월'!$M$34:$M$145,연간_세부항목별지출!$C39,'12월'!$R$34:$R$145)</f>
        <v>0</v>
      </c>
      <c r="P39" s="264">
        <f t="shared" si="2"/>
        <v>0</v>
      </c>
      <c r="Q39" s="264">
        <f t="shared" si="3"/>
        <v>0</v>
      </c>
      <c r="R39" s="307" t="str">
        <f t="shared" si="6"/>
        <v/>
      </c>
    </row>
    <row r="40" spans="2:18" ht="18" customHeight="1" x14ac:dyDescent="0.3">
      <c r="B40" s="546"/>
      <c r="C40" s="271" t="str">
        <f>IF(항목!F7="","",항목!F7)</f>
        <v>주담대 원금</v>
      </c>
      <c r="D40" s="200">
        <f>SUMIF('1월'!$M$34:$M$165,연간_세부항목별지출!$C40,'1월'!$T$34:$T$165)</f>
        <v>0</v>
      </c>
      <c r="E40" s="200">
        <f>SUMIF('2월'!$M$34:$M$145,연간_세부항목별지출!$C40,'2월'!$T$34:$T$145)</f>
        <v>0</v>
      </c>
      <c r="F40" s="200">
        <f>SUMIF('3월'!$M$34:$M$145,연간_세부항목별지출!$C40,'3월'!$R$34:$R$145)</f>
        <v>0</v>
      </c>
      <c r="G40" s="200">
        <f>SUMIF('4월'!$M$34:$M$145,연간_세부항목별지출!$C40,'4월'!$R$34:$R$145)</f>
        <v>0</v>
      </c>
      <c r="H40" s="200">
        <f>SUMIF('5월'!$M$34:$M$145,연간_세부항목별지출!$C40,'5월'!$R$34:$R$145)</f>
        <v>0</v>
      </c>
      <c r="I40" s="200">
        <f>SUMIF('6월'!$M$34:$M$145,연간_세부항목별지출!$C40,'6월'!$R$34:$R$145)</f>
        <v>0</v>
      </c>
      <c r="J40" s="200">
        <f>SUMIF('7월'!$M$34:$M$145,연간_세부항목별지출!$C40,'7월'!$R$34:$R$145)</f>
        <v>0</v>
      </c>
      <c r="K40" s="200">
        <f>SUMIF('8월'!$M$34:$M$145,연간_세부항목별지출!$C40,'8월'!$R$34:$R$145)</f>
        <v>0</v>
      </c>
      <c r="L40" s="200">
        <f>SUMIF('9월'!$M$34:$M$145,연간_세부항목별지출!$C40,'9월'!$R$34:$R$145)</f>
        <v>0</v>
      </c>
      <c r="M40" s="200">
        <f>SUMIF('10월'!$M$34:$M$145,연간_세부항목별지출!$C40,'10월'!$R$34:$R$145)</f>
        <v>0</v>
      </c>
      <c r="N40" s="200">
        <f>SUMIF('11월'!$M$34:$M$145,연간_세부항목별지출!$C40,'11월'!$R$34:$R$145)</f>
        <v>0</v>
      </c>
      <c r="O40" s="200">
        <f>SUMIF('12월'!$M$34:$M$145,연간_세부항목별지출!$C40,'12월'!$R$34:$R$145)</f>
        <v>0</v>
      </c>
      <c r="P40" s="264">
        <f t="shared" si="2"/>
        <v>0</v>
      </c>
      <c r="Q40" s="264">
        <f t="shared" si="3"/>
        <v>0</v>
      </c>
      <c r="R40" s="307" t="str">
        <f t="shared" si="6"/>
        <v/>
      </c>
    </row>
    <row r="41" spans="2:18" ht="18" customHeight="1" x14ac:dyDescent="0.3">
      <c r="B41" s="546"/>
      <c r="C41" s="271" t="str">
        <f>IF(항목!F8="","",항목!F8)</f>
        <v>관리비</v>
      </c>
      <c r="D41" s="200">
        <f>SUMIF('1월'!$M$34:$M$165,연간_세부항목별지출!$C41,'1월'!$T$34:$T$165)</f>
        <v>0</v>
      </c>
      <c r="E41" s="200">
        <f>SUMIF('2월'!$M$34:$M$145,연간_세부항목별지출!$C41,'2월'!$T$34:$T$145)</f>
        <v>0</v>
      </c>
      <c r="F41" s="200">
        <f>SUMIF('3월'!$M$34:$M$145,연간_세부항목별지출!$C41,'3월'!$R$34:$R$145)</f>
        <v>0</v>
      </c>
      <c r="G41" s="200">
        <f>SUMIF('4월'!$M$34:$M$145,연간_세부항목별지출!$C41,'4월'!$R$34:$R$145)</f>
        <v>0</v>
      </c>
      <c r="H41" s="200">
        <f>SUMIF('5월'!$M$34:$M$145,연간_세부항목별지출!$C41,'5월'!$R$34:$R$145)</f>
        <v>0</v>
      </c>
      <c r="I41" s="200">
        <f>SUMIF('6월'!$M$34:$M$145,연간_세부항목별지출!$C41,'6월'!$R$34:$R$145)</f>
        <v>0</v>
      </c>
      <c r="J41" s="200">
        <f>SUMIF('7월'!$M$34:$M$145,연간_세부항목별지출!$C41,'7월'!$R$34:$R$145)</f>
        <v>0</v>
      </c>
      <c r="K41" s="200">
        <f>SUMIF('8월'!$M$34:$M$145,연간_세부항목별지출!$C41,'8월'!$R$34:$R$145)</f>
        <v>0</v>
      </c>
      <c r="L41" s="200">
        <f>SUMIF('9월'!$M$34:$M$145,연간_세부항목별지출!$C41,'9월'!$R$34:$R$145)</f>
        <v>0</v>
      </c>
      <c r="M41" s="200">
        <f>SUMIF('10월'!$M$34:$M$145,연간_세부항목별지출!$C41,'10월'!$R$34:$R$145)</f>
        <v>0</v>
      </c>
      <c r="N41" s="200">
        <f>SUMIF('11월'!$M$34:$M$145,연간_세부항목별지출!$C41,'11월'!$R$34:$R$145)</f>
        <v>0</v>
      </c>
      <c r="O41" s="200">
        <f>SUMIF('12월'!$M$34:$M$145,연간_세부항목별지출!$C41,'12월'!$R$34:$R$145)</f>
        <v>0</v>
      </c>
      <c r="P41" s="264">
        <f t="shared" si="2"/>
        <v>0</v>
      </c>
      <c r="Q41" s="264">
        <f t="shared" si="3"/>
        <v>0</v>
      </c>
      <c r="R41" s="307" t="str">
        <f t="shared" si="6"/>
        <v/>
      </c>
    </row>
    <row r="42" spans="2:18" ht="18" customHeight="1" x14ac:dyDescent="0.3">
      <c r="B42" s="546"/>
      <c r="C42" s="271" t="str">
        <f>IF(항목!F9="","",항목!F9)</f>
        <v>수도세</v>
      </c>
      <c r="D42" s="200">
        <f>SUMIF('1월'!$M$34:$M$165,연간_세부항목별지출!$C42,'1월'!$T$34:$T$165)</f>
        <v>0</v>
      </c>
      <c r="E42" s="200">
        <f>SUMIF('2월'!$M$34:$M$145,연간_세부항목별지출!$C42,'2월'!$T$34:$T$145)</f>
        <v>0</v>
      </c>
      <c r="F42" s="200">
        <f>SUMIF('3월'!$M$34:$M$145,연간_세부항목별지출!$C42,'3월'!$R$34:$R$145)</f>
        <v>0</v>
      </c>
      <c r="G42" s="200">
        <f>SUMIF('4월'!$M$34:$M$145,연간_세부항목별지출!$C42,'4월'!$R$34:$R$145)</f>
        <v>0</v>
      </c>
      <c r="H42" s="200">
        <f>SUMIF('5월'!$M$34:$M$145,연간_세부항목별지출!$C42,'5월'!$R$34:$R$145)</f>
        <v>0</v>
      </c>
      <c r="I42" s="200">
        <f>SUMIF('6월'!$M$34:$M$145,연간_세부항목별지출!$C42,'6월'!$R$34:$R$145)</f>
        <v>0</v>
      </c>
      <c r="J42" s="200">
        <f>SUMIF('7월'!$M$34:$M$145,연간_세부항목별지출!$C42,'7월'!$R$34:$R$145)</f>
        <v>0</v>
      </c>
      <c r="K42" s="200">
        <f>SUMIF('8월'!$M$34:$M$145,연간_세부항목별지출!$C42,'8월'!$R$34:$R$145)</f>
        <v>0</v>
      </c>
      <c r="L42" s="200">
        <f>SUMIF('9월'!$M$34:$M$145,연간_세부항목별지출!$C42,'9월'!$R$34:$R$145)</f>
        <v>0</v>
      </c>
      <c r="M42" s="200">
        <f>SUMIF('10월'!$M$34:$M$145,연간_세부항목별지출!$C42,'10월'!$R$34:$R$145)</f>
        <v>0</v>
      </c>
      <c r="N42" s="200">
        <f>SUMIF('11월'!$M$34:$M$145,연간_세부항목별지출!$C42,'11월'!$R$34:$R$145)</f>
        <v>0</v>
      </c>
      <c r="O42" s="200">
        <f>SUMIF('12월'!$M$34:$M$145,연간_세부항목별지출!$C42,'12월'!$R$34:$R$145)</f>
        <v>0</v>
      </c>
      <c r="P42" s="264">
        <f t="shared" si="2"/>
        <v>0</v>
      </c>
      <c r="Q42" s="264">
        <f t="shared" si="3"/>
        <v>0</v>
      </c>
      <c r="R42" s="307" t="str">
        <f t="shared" si="6"/>
        <v/>
      </c>
    </row>
    <row r="43" spans="2:18" ht="18" customHeight="1" x14ac:dyDescent="0.3">
      <c r="B43" s="546"/>
      <c r="C43" s="271" t="str">
        <f>IF(항목!F10="","",항목!F10)</f>
        <v>전기세</v>
      </c>
      <c r="D43" s="200">
        <f>SUMIF('1월'!$M$34:$M$165,연간_세부항목별지출!$C43,'1월'!$T$34:$T$165)</f>
        <v>0</v>
      </c>
      <c r="E43" s="200">
        <f>SUMIF('2월'!$M$34:$M$145,연간_세부항목별지출!$C43,'2월'!$T$34:$T$145)</f>
        <v>0</v>
      </c>
      <c r="F43" s="200">
        <f>SUMIF('3월'!$M$34:$M$145,연간_세부항목별지출!$C43,'3월'!$R$34:$R$145)</f>
        <v>0</v>
      </c>
      <c r="G43" s="200">
        <f>SUMIF('4월'!$M$34:$M$145,연간_세부항목별지출!$C43,'4월'!$R$34:$R$145)</f>
        <v>0</v>
      </c>
      <c r="H43" s="200">
        <f>SUMIF('5월'!$M$34:$M$145,연간_세부항목별지출!$C43,'5월'!$R$34:$R$145)</f>
        <v>0</v>
      </c>
      <c r="I43" s="200">
        <f>SUMIF('6월'!$M$34:$M$145,연간_세부항목별지출!$C43,'6월'!$R$34:$R$145)</f>
        <v>0</v>
      </c>
      <c r="J43" s="200">
        <f>SUMIF('7월'!$M$34:$M$145,연간_세부항목별지출!$C43,'7월'!$R$34:$R$145)</f>
        <v>0</v>
      </c>
      <c r="K43" s="200">
        <f>SUMIF('8월'!$M$34:$M$145,연간_세부항목별지출!$C43,'8월'!$R$34:$R$145)</f>
        <v>0</v>
      </c>
      <c r="L43" s="200">
        <f>SUMIF('9월'!$M$34:$M$145,연간_세부항목별지출!$C43,'9월'!$R$34:$R$145)</f>
        <v>0</v>
      </c>
      <c r="M43" s="200">
        <f>SUMIF('10월'!$M$34:$M$145,연간_세부항목별지출!$C43,'10월'!$R$34:$R$145)</f>
        <v>0</v>
      </c>
      <c r="N43" s="200">
        <f>SUMIF('11월'!$M$34:$M$145,연간_세부항목별지출!$C43,'11월'!$R$34:$R$145)</f>
        <v>0</v>
      </c>
      <c r="O43" s="200">
        <f>SUMIF('12월'!$M$34:$M$145,연간_세부항목별지출!$C43,'12월'!$R$34:$R$145)</f>
        <v>0</v>
      </c>
      <c r="P43" s="264">
        <f t="shared" si="2"/>
        <v>0</v>
      </c>
      <c r="Q43" s="264">
        <f t="shared" si="3"/>
        <v>0</v>
      </c>
      <c r="R43" s="307" t="str">
        <f t="shared" si="6"/>
        <v/>
      </c>
    </row>
    <row r="44" spans="2:18" ht="18" customHeight="1" x14ac:dyDescent="0.3">
      <c r="B44" s="546"/>
      <c r="C44" s="271" t="str">
        <f>IF(항목!F11="","",항목!F11)</f>
        <v>가스비</v>
      </c>
      <c r="D44" s="200">
        <f>SUMIF('1월'!$M$34:$M$165,연간_세부항목별지출!$C44,'1월'!$T$34:$T$165)</f>
        <v>0</v>
      </c>
      <c r="E44" s="200">
        <f>SUMIF('2월'!$M$34:$M$145,연간_세부항목별지출!$C44,'2월'!$T$34:$T$145)</f>
        <v>0</v>
      </c>
      <c r="F44" s="200">
        <f>SUMIF('3월'!$M$34:$M$145,연간_세부항목별지출!$C44,'3월'!$R$34:$R$145)</f>
        <v>0</v>
      </c>
      <c r="G44" s="200">
        <f>SUMIF('4월'!$M$34:$M$145,연간_세부항목별지출!$C44,'4월'!$R$34:$R$145)</f>
        <v>0</v>
      </c>
      <c r="H44" s="200">
        <f>SUMIF('5월'!$M$34:$M$145,연간_세부항목별지출!$C44,'5월'!$R$34:$R$145)</f>
        <v>0</v>
      </c>
      <c r="I44" s="200">
        <f>SUMIF('6월'!$M$34:$M$145,연간_세부항목별지출!$C44,'6월'!$R$34:$R$145)</f>
        <v>0</v>
      </c>
      <c r="J44" s="200">
        <f>SUMIF('7월'!$M$34:$M$145,연간_세부항목별지출!$C44,'7월'!$R$34:$R$145)</f>
        <v>0</v>
      </c>
      <c r="K44" s="200">
        <f>SUMIF('8월'!$M$34:$M$145,연간_세부항목별지출!$C44,'8월'!$R$34:$R$145)</f>
        <v>0</v>
      </c>
      <c r="L44" s="200">
        <f>SUMIF('9월'!$M$34:$M$145,연간_세부항목별지출!$C44,'9월'!$R$34:$R$145)</f>
        <v>0</v>
      </c>
      <c r="M44" s="200">
        <f>SUMIF('10월'!$M$34:$M$145,연간_세부항목별지출!$C44,'10월'!$R$34:$R$145)</f>
        <v>0</v>
      </c>
      <c r="N44" s="200">
        <f>SUMIF('11월'!$M$34:$M$145,연간_세부항목별지출!$C44,'11월'!$R$34:$R$145)</f>
        <v>0</v>
      </c>
      <c r="O44" s="200">
        <f>SUMIF('12월'!$M$34:$M$145,연간_세부항목별지출!$C44,'12월'!$R$34:$R$145)</f>
        <v>0</v>
      </c>
      <c r="P44" s="264">
        <f t="shared" si="2"/>
        <v>0</v>
      </c>
      <c r="Q44" s="264">
        <f t="shared" si="3"/>
        <v>0</v>
      </c>
      <c r="R44" s="307" t="str">
        <f t="shared" si="6"/>
        <v/>
      </c>
    </row>
    <row r="45" spans="2:18" ht="18" customHeight="1" x14ac:dyDescent="0.3">
      <c r="B45" s="546"/>
      <c r="C45" s="271" t="str">
        <f>IF(항목!F12="","",항목!F12)</f>
        <v>기타 주거비</v>
      </c>
      <c r="D45" s="200">
        <f>SUMIF('1월'!$M$34:$M$165,연간_세부항목별지출!$C45,'1월'!$T$34:$T$165)</f>
        <v>0</v>
      </c>
      <c r="E45" s="200">
        <f>SUMIF('2월'!$M$34:$M$145,연간_세부항목별지출!$C45,'2월'!$T$34:$T$145)</f>
        <v>0</v>
      </c>
      <c r="F45" s="200">
        <f>SUMIF('3월'!$M$34:$M$145,연간_세부항목별지출!$C45,'3월'!$R$34:$R$145)</f>
        <v>0</v>
      </c>
      <c r="G45" s="200">
        <f>SUMIF('4월'!$M$34:$M$145,연간_세부항목별지출!$C45,'4월'!$R$34:$R$145)</f>
        <v>0</v>
      </c>
      <c r="H45" s="200">
        <f>SUMIF('5월'!$M$34:$M$145,연간_세부항목별지출!$C45,'5월'!$R$34:$R$145)</f>
        <v>0</v>
      </c>
      <c r="I45" s="200">
        <f>SUMIF('6월'!$M$34:$M$145,연간_세부항목별지출!$C45,'6월'!$R$34:$R$145)</f>
        <v>0</v>
      </c>
      <c r="J45" s="200">
        <f>SUMIF('7월'!$M$34:$M$145,연간_세부항목별지출!$C45,'7월'!$R$34:$R$145)</f>
        <v>0</v>
      </c>
      <c r="K45" s="200">
        <f>SUMIF('8월'!$M$34:$M$145,연간_세부항목별지출!$C45,'8월'!$R$34:$R$145)</f>
        <v>0</v>
      </c>
      <c r="L45" s="200">
        <f>SUMIF('9월'!$M$34:$M$145,연간_세부항목별지출!$C45,'9월'!$R$34:$R$145)</f>
        <v>0</v>
      </c>
      <c r="M45" s="200">
        <f>SUMIF('10월'!$M$34:$M$145,연간_세부항목별지출!$C45,'10월'!$R$34:$R$145)</f>
        <v>0</v>
      </c>
      <c r="N45" s="200">
        <f>SUMIF('11월'!$M$34:$M$145,연간_세부항목별지출!$C45,'11월'!$R$34:$R$145)</f>
        <v>0</v>
      </c>
      <c r="O45" s="200">
        <f>SUMIF('12월'!$M$34:$M$145,연간_세부항목별지출!$C45,'12월'!$R$34:$R$145)</f>
        <v>0</v>
      </c>
      <c r="P45" s="264">
        <f t="shared" si="2"/>
        <v>0</v>
      </c>
      <c r="Q45" s="264">
        <f t="shared" si="3"/>
        <v>0</v>
      </c>
      <c r="R45" s="307" t="str">
        <f t="shared" si="6"/>
        <v/>
      </c>
    </row>
    <row r="46" spans="2:18" ht="18" customHeight="1" x14ac:dyDescent="0.3">
      <c r="B46" s="546"/>
      <c r="C46" s="271" t="str">
        <f>IF(항목!F13="","",항목!F13)</f>
        <v/>
      </c>
      <c r="D46" s="200">
        <f>SUMIF('1월'!$M$34:$M$165,연간_세부항목별지출!$C46,'1월'!$T$34:$T$165)</f>
        <v>0</v>
      </c>
      <c r="E46" s="200">
        <f>SUMIF('2월'!$M$34:$M$145,연간_세부항목별지출!$C46,'2월'!$T$34:$T$145)</f>
        <v>0</v>
      </c>
      <c r="F46" s="200">
        <f>SUMIF('3월'!$M$34:$M$145,연간_세부항목별지출!$C46,'3월'!$R$34:$R$145)</f>
        <v>0</v>
      </c>
      <c r="G46" s="200">
        <f>SUMIF('4월'!$M$34:$M$145,연간_세부항목별지출!$C46,'4월'!$R$34:$R$145)</f>
        <v>0</v>
      </c>
      <c r="H46" s="200">
        <f>SUMIF('5월'!$M$34:$M$145,연간_세부항목별지출!$C46,'5월'!$R$34:$R$145)</f>
        <v>0</v>
      </c>
      <c r="I46" s="200">
        <f>SUMIF('6월'!$M$34:$M$145,연간_세부항목별지출!$C46,'6월'!$R$34:$R$145)</f>
        <v>0</v>
      </c>
      <c r="J46" s="200">
        <f>SUMIF('7월'!$M$34:$M$145,연간_세부항목별지출!$C46,'7월'!$R$34:$R$145)</f>
        <v>0</v>
      </c>
      <c r="K46" s="200">
        <f>SUMIF('8월'!$M$34:$M$145,연간_세부항목별지출!$C46,'8월'!$R$34:$R$145)</f>
        <v>0</v>
      </c>
      <c r="L46" s="200">
        <f>SUMIF('9월'!$M$34:$M$145,연간_세부항목별지출!$C46,'9월'!$R$34:$R$145)</f>
        <v>0</v>
      </c>
      <c r="M46" s="200">
        <f>SUMIF('10월'!$M$34:$M$145,연간_세부항목별지출!$C46,'10월'!$R$34:$R$145)</f>
        <v>0</v>
      </c>
      <c r="N46" s="200">
        <f>SUMIF('11월'!$M$34:$M$145,연간_세부항목별지출!$C46,'11월'!$R$34:$R$145)</f>
        <v>0</v>
      </c>
      <c r="O46" s="200">
        <f>SUMIF('12월'!$M$34:$M$145,연간_세부항목별지출!$C46,'12월'!$R$34:$R$145)</f>
        <v>0</v>
      </c>
      <c r="P46" s="264">
        <f t="shared" si="2"/>
        <v>0</v>
      </c>
      <c r="Q46" s="264">
        <f t="shared" si="3"/>
        <v>0</v>
      </c>
      <c r="R46" s="307" t="str">
        <f t="shared" si="6"/>
        <v/>
      </c>
    </row>
    <row r="47" spans="2:18" ht="18" customHeight="1" x14ac:dyDescent="0.3">
      <c r="B47" s="546"/>
      <c r="C47" s="271" t="str">
        <f>IF(항목!F14="","",항목!F14)</f>
        <v/>
      </c>
      <c r="D47" s="200">
        <f>SUMIF('1월'!$M$34:$M$165,연간_세부항목별지출!$C47,'1월'!$T$34:$T$165)</f>
        <v>0</v>
      </c>
      <c r="E47" s="200">
        <f>SUMIF('2월'!$M$34:$M$145,연간_세부항목별지출!$C47,'2월'!$T$34:$T$145)</f>
        <v>0</v>
      </c>
      <c r="F47" s="200">
        <f>SUMIF('3월'!$M$34:$M$145,연간_세부항목별지출!$C47,'3월'!$R$34:$R$145)</f>
        <v>0</v>
      </c>
      <c r="G47" s="200">
        <f>SUMIF('4월'!$M$34:$M$145,연간_세부항목별지출!$C47,'4월'!$R$34:$R$145)</f>
        <v>0</v>
      </c>
      <c r="H47" s="200">
        <f>SUMIF('5월'!$M$34:$M$145,연간_세부항목별지출!$C47,'5월'!$R$34:$R$145)</f>
        <v>0</v>
      </c>
      <c r="I47" s="200">
        <f>SUMIF('6월'!$M$34:$M$145,연간_세부항목별지출!$C47,'6월'!$R$34:$R$145)</f>
        <v>0</v>
      </c>
      <c r="J47" s="200">
        <f>SUMIF('7월'!$M$34:$M$145,연간_세부항목별지출!$C47,'7월'!$R$34:$R$145)</f>
        <v>0</v>
      </c>
      <c r="K47" s="200">
        <f>SUMIF('8월'!$M$34:$M$145,연간_세부항목별지출!$C47,'8월'!$R$34:$R$145)</f>
        <v>0</v>
      </c>
      <c r="L47" s="200">
        <f>SUMIF('9월'!$M$34:$M$145,연간_세부항목별지출!$C47,'9월'!$R$34:$R$145)</f>
        <v>0</v>
      </c>
      <c r="M47" s="200">
        <f>SUMIF('10월'!$M$34:$M$145,연간_세부항목별지출!$C47,'10월'!$R$34:$R$145)</f>
        <v>0</v>
      </c>
      <c r="N47" s="200">
        <f>SUMIF('11월'!$M$34:$M$145,연간_세부항목별지출!$C47,'11월'!$R$34:$R$145)</f>
        <v>0</v>
      </c>
      <c r="O47" s="200">
        <f>SUMIF('12월'!$M$34:$M$145,연간_세부항목별지출!$C47,'12월'!$R$34:$R$145)</f>
        <v>0</v>
      </c>
      <c r="P47" s="264">
        <f t="shared" si="2"/>
        <v>0</v>
      </c>
      <c r="Q47" s="264">
        <f t="shared" si="3"/>
        <v>0</v>
      </c>
      <c r="R47" s="307" t="str">
        <f t="shared" si="6"/>
        <v/>
      </c>
    </row>
    <row r="48" spans="2:18" ht="18" customHeight="1" x14ac:dyDescent="0.3">
      <c r="B48" s="546"/>
      <c r="C48" s="271" t="str">
        <f>IF(항목!F15="","",항목!F15)</f>
        <v/>
      </c>
      <c r="D48" s="200">
        <f>SUMIF('1월'!$M$34:$M$165,연간_세부항목별지출!$C48,'1월'!$T$34:$T$165)</f>
        <v>0</v>
      </c>
      <c r="E48" s="200">
        <f>SUMIF('2월'!$M$34:$M$145,연간_세부항목별지출!$C48,'2월'!$T$34:$T$145)</f>
        <v>0</v>
      </c>
      <c r="F48" s="200">
        <f>SUMIF('3월'!$M$34:$M$145,연간_세부항목별지출!$C48,'3월'!$R$34:$R$145)</f>
        <v>0</v>
      </c>
      <c r="G48" s="200">
        <f>SUMIF('4월'!$M$34:$M$145,연간_세부항목별지출!$C48,'4월'!$R$34:$R$145)</f>
        <v>0</v>
      </c>
      <c r="H48" s="200">
        <f>SUMIF('5월'!$M$34:$M$145,연간_세부항목별지출!$C48,'5월'!$R$34:$R$145)</f>
        <v>0</v>
      </c>
      <c r="I48" s="200">
        <f>SUMIF('6월'!$M$34:$M$145,연간_세부항목별지출!$C48,'6월'!$R$34:$R$145)</f>
        <v>0</v>
      </c>
      <c r="J48" s="200">
        <f>SUMIF('7월'!$M$34:$M$145,연간_세부항목별지출!$C48,'7월'!$R$34:$R$145)</f>
        <v>0</v>
      </c>
      <c r="K48" s="200">
        <f>SUMIF('8월'!$M$34:$M$145,연간_세부항목별지출!$C48,'8월'!$R$34:$R$145)</f>
        <v>0</v>
      </c>
      <c r="L48" s="200">
        <f>SUMIF('9월'!$M$34:$M$145,연간_세부항목별지출!$C48,'9월'!$R$34:$R$145)</f>
        <v>0</v>
      </c>
      <c r="M48" s="200">
        <f>SUMIF('10월'!$M$34:$M$145,연간_세부항목별지출!$C48,'10월'!$R$34:$R$145)</f>
        <v>0</v>
      </c>
      <c r="N48" s="200">
        <f>SUMIF('11월'!$M$34:$M$145,연간_세부항목별지출!$C48,'11월'!$R$34:$R$145)</f>
        <v>0</v>
      </c>
      <c r="O48" s="200">
        <f>SUMIF('12월'!$M$34:$M$145,연간_세부항목별지출!$C48,'12월'!$R$34:$R$145)</f>
        <v>0</v>
      </c>
      <c r="P48" s="264">
        <f t="shared" si="2"/>
        <v>0</v>
      </c>
      <c r="Q48" s="264">
        <f t="shared" si="3"/>
        <v>0</v>
      </c>
      <c r="R48" s="307" t="str">
        <f t="shared" si="6"/>
        <v/>
      </c>
    </row>
    <row r="49" spans="2:18" ht="18" customHeight="1" x14ac:dyDescent="0.3">
      <c r="B49" s="546"/>
      <c r="C49" s="271" t="str">
        <f>IF(항목!F16="","",항목!F16)</f>
        <v/>
      </c>
      <c r="D49" s="200">
        <f>SUMIF('1월'!$M$34:$M$165,연간_세부항목별지출!$C49,'1월'!$T$34:$T$165)</f>
        <v>0</v>
      </c>
      <c r="E49" s="200">
        <f>SUMIF('2월'!$M$34:$M$145,연간_세부항목별지출!$C49,'2월'!$T$34:$T$145)</f>
        <v>0</v>
      </c>
      <c r="F49" s="200">
        <f>SUMIF('3월'!$M$34:$M$145,연간_세부항목별지출!$C49,'3월'!$R$34:$R$145)</f>
        <v>0</v>
      </c>
      <c r="G49" s="200">
        <f>SUMIF('4월'!$M$34:$M$145,연간_세부항목별지출!$C49,'4월'!$R$34:$R$145)</f>
        <v>0</v>
      </c>
      <c r="H49" s="200">
        <f>SUMIF('5월'!$M$34:$M$145,연간_세부항목별지출!$C49,'5월'!$R$34:$R$145)</f>
        <v>0</v>
      </c>
      <c r="I49" s="200">
        <f>SUMIF('6월'!$M$34:$M$145,연간_세부항목별지출!$C49,'6월'!$R$34:$R$145)</f>
        <v>0</v>
      </c>
      <c r="J49" s="200">
        <f>SUMIF('7월'!$M$34:$M$145,연간_세부항목별지출!$C49,'7월'!$R$34:$R$145)</f>
        <v>0</v>
      </c>
      <c r="K49" s="200">
        <f>SUMIF('8월'!$M$34:$M$145,연간_세부항목별지출!$C49,'8월'!$R$34:$R$145)</f>
        <v>0</v>
      </c>
      <c r="L49" s="200">
        <f>SUMIF('9월'!$M$34:$M$145,연간_세부항목별지출!$C49,'9월'!$R$34:$R$145)</f>
        <v>0</v>
      </c>
      <c r="M49" s="200">
        <f>SUMIF('10월'!$M$34:$M$145,연간_세부항목별지출!$C49,'10월'!$R$34:$R$145)</f>
        <v>0</v>
      </c>
      <c r="N49" s="200">
        <f>SUMIF('11월'!$M$34:$M$145,연간_세부항목별지출!$C49,'11월'!$R$34:$R$145)</f>
        <v>0</v>
      </c>
      <c r="O49" s="200">
        <f>SUMIF('12월'!$M$34:$M$145,연간_세부항목별지출!$C49,'12월'!$R$34:$R$145)</f>
        <v>0</v>
      </c>
      <c r="P49" s="264">
        <f t="shared" si="2"/>
        <v>0</v>
      </c>
      <c r="Q49" s="264">
        <f t="shared" si="3"/>
        <v>0</v>
      </c>
      <c r="R49" s="307" t="str">
        <f t="shared" si="6"/>
        <v/>
      </c>
    </row>
    <row r="50" spans="2:18" ht="18" customHeight="1" x14ac:dyDescent="0.3">
      <c r="B50" s="546"/>
      <c r="C50" s="271" t="str">
        <f>IF(항목!F17="","",항목!F17)</f>
        <v/>
      </c>
      <c r="D50" s="200">
        <f>SUMIF('1월'!$M$34:$M$165,연간_세부항목별지출!$C50,'1월'!$T$34:$T$165)</f>
        <v>0</v>
      </c>
      <c r="E50" s="200">
        <f>SUMIF('2월'!$M$34:$M$145,연간_세부항목별지출!$C50,'2월'!$T$34:$T$145)</f>
        <v>0</v>
      </c>
      <c r="F50" s="200">
        <f>SUMIF('3월'!$M$34:$M$145,연간_세부항목별지출!$C50,'3월'!$R$34:$R$145)</f>
        <v>0</v>
      </c>
      <c r="G50" s="200">
        <f>SUMIF('4월'!$M$34:$M$145,연간_세부항목별지출!$C50,'4월'!$R$34:$R$145)</f>
        <v>0</v>
      </c>
      <c r="H50" s="200">
        <f>SUMIF('5월'!$M$34:$M$145,연간_세부항목별지출!$C50,'5월'!$R$34:$R$145)</f>
        <v>0</v>
      </c>
      <c r="I50" s="200">
        <f>SUMIF('6월'!$M$34:$M$145,연간_세부항목별지출!$C50,'6월'!$R$34:$R$145)</f>
        <v>0</v>
      </c>
      <c r="J50" s="200">
        <f>SUMIF('7월'!$M$34:$M$145,연간_세부항목별지출!$C50,'7월'!$R$34:$R$145)</f>
        <v>0</v>
      </c>
      <c r="K50" s="200">
        <f>SUMIF('8월'!$M$34:$M$145,연간_세부항목별지출!$C50,'8월'!$R$34:$R$145)</f>
        <v>0</v>
      </c>
      <c r="L50" s="200">
        <f>SUMIF('9월'!$M$34:$M$145,연간_세부항목별지출!$C50,'9월'!$R$34:$R$145)</f>
        <v>0</v>
      </c>
      <c r="M50" s="200">
        <f>SUMIF('10월'!$M$34:$M$145,연간_세부항목별지출!$C50,'10월'!$R$34:$R$145)</f>
        <v>0</v>
      </c>
      <c r="N50" s="200">
        <f>SUMIF('11월'!$M$34:$M$145,연간_세부항목별지출!$C50,'11월'!$R$34:$R$145)</f>
        <v>0</v>
      </c>
      <c r="O50" s="200">
        <f>SUMIF('12월'!$M$34:$M$145,연간_세부항목별지출!$C50,'12월'!$R$34:$R$145)</f>
        <v>0</v>
      </c>
      <c r="P50" s="264">
        <f t="shared" si="2"/>
        <v>0</v>
      </c>
      <c r="Q50" s="264">
        <f t="shared" si="3"/>
        <v>0</v>
      </c>
      <c r="R50" s="307" t="str">
        <f t="shared" si="6"/>
        <v/>
      </c>
    </row>
    <row r="51" spans="2:18" ht="18" customHeight="1" thickBot="1" x14ac:dyDescent="0.35">
      <c r="B51" s="546"/>
      <c r="C51" s="271" t="str">
        <f>IF(항목!F18="","",항목!F18)</f>
        <v/>
      </c>
      <c r="D51" s="200">
        <f>SUMIF('1월'!$M$34:$M$165,연간_세부항목별지출!$C51,'1월'!$T$34:$T$165)</f>
        <v>0</v>
      </c>
      <c r="E51" s="200">
        <f>SUMIF('2월'!$M$34:$M$145,연간_세부항목별지출!$C51,'2월'!$T$34:$T$145)</f>
        <v>0</v>
      </c>
      <c r="F51" s="200">
        <f>SUMIF('3월'!$M$34:$M$145,연간_세부항목별지출!$C51,'3월'!$R$34:$R$145)</f>
        <v>0</v>
      </c>
      <c r="G51" s="200">
        <f>SUMIF('4월'!$M$34:$M$145,연간_세부항목별지출!$C51,'4월'!$R$34:$R$145)</f>
        <v>0</v>
      </c>
      <c r="H51" s="200">
        <f>SUMIF('5월'!$M$34:$M$145,연간_세부항목별지출!$C51,'5월'!$R$34:$R$145)</f>
        <v>0</v>
      </c>
      <c r="I51" s="200">
        <f>SUMIF('6월'!$M$34:$M$145,연간_세부항목별지출!$C51,'6월'!$R$34:$R$145)</f>
        <v>0</v>
      </c>
      <c r="J51" s="200">
        <f>SUMIF('7월'!$M$34:$M$145,연간_세부항목별지출!$C51,'7월'!$R$34:$R$145)</f>
        <v>0</v>
      </c>
      <c r="K51" s="200">
        <f>SUMIF('8월'!$M$34:$M$145,연간_세부항목별지출!$C51,'8월'!$R$34:$R$145)</f>
        <v>0</v>
      </c>
      <c r="L51" s="200">
        <f>SUMIF('9월'!$M$34:$M$145,연간_세부항목별지출!$C51,'9월'!$R$34:$R$145)</f>
        <v>0</v>
      </c>
      <c r="M51" s="200">
        <f>SUMIF('10월'!$M$34:$M$145,연간_세부항목별지출!$C51,'10월'!$R$34:$R$145)</f>
        <v>0</v>
      </c>
      <c r="N51" s="200">
        <f>SUMIF('11월'!$M$34:$M$145,연간_세부항목별지출!$C51,'11월'!$R$34:$R$145)</f>
        <v>0</v>
      </c>
      <c r="O51" s="200">
        <f>SUMIF('12월'!$M$34:$M$145,연간_세부항목별지출!$C51,'12월'!$R$34:$R$145)</f>
        <v>0</v>
      </c>
      <c r="P51" s="264">
        <f t="shared" si="2"/>
        <v>0</v>
      </c>
      <c r="Q51" s="264">
        <f t="shared" si="3"/>
        <v>0</v>
      </c>
      <c r="R51" s="307" t="str">
        <f t="shared" si="6"/>
        <v/>
      </c>
    </row>
    <row r="52" spans="2:18" ht="18" customHeight="1" x14ac:dyDescent="0.3">
      <c r="B52" s="545" t="str">
        <f>항목!G3</f>
        <v>생활용품비</v>
      </c>
      <c r="C52" s="316" t="str">
        <f>IF(항목!G4="","",항목!G4)</f>
        <v>가구/가전</v>
      </c>
      <c r="D52" s="205">
        <f>SUMIF('1월'!$M$34:$M$165,연간_세부항목별지출!$C52,'1월'!$T$34:$T$165)</f>
        <v>0</v>
      </c>
      <c r="E52" s="205">
        <f>SUMIF('2월'!$M$34:$M$145,연간_세부항목별지출!$C52,'2월'!$T$34:$T$145)</f>
        <v>0</v>
      </c>
      <c r="F52" s="205">
        <f>SUMIF('3월'!$M$34:$M$145,연간_세부항목별지출!$C52,'3월'!$R$34:$R$145)</f>
        <v>0</v>
      </c>
      <c r="G52" s="205">
        <f>SUMIF('4월'!$M$34:$M$145,연간_세부항목별지출!$C52,'4월'!$R$34:$R$145)</f>
        <v>0</v>
      </c>
      <c r="H52" s="205">
        <f>SUMIF('5월'!$M$34:$M$145,연간_세부항목별지출!$C52,'5월'!$R$34:$R$145)</f>
        <v>0</v>
      </c>
      <c r="I52" s="205">
        <f>SUMIF('6월'!$M$34:$M$145,연간_세부항목별지출!$C52,'6월'!$R$34:$R$145)</f>
        <v>0</v>
      </c>
      <c r="J52" s="205">
        <f>SUMIF('7월'!$M$34:$M$145,연간_세부항목별지출!$C52,'7월'!$R$34:$R$145)</f>
        <v>0</v>
      </c>
      <c r="K52" s="205">
        <f>SUMIF('8월'!$M$34:$M$145,연간_세부항목별지출!$C52,'8월'!$R$34:$R$145)</f>
        <v>0</v>
      </c>
      <c r="L52" s="205">
        <f>SUMIF('9월'!$M$34:$M$145,연간_세부항목별지출!$C52,'9월'!$R$34:$R$145)</f>
        <v>0</v>
      </c>
      <c r="M52" s="205">
        <f>SUMIF('10월'!$M$34:$M$145,연간_세부항목별지출!$C52,'10월'!$R$34:$R$145)</f>
        <v>0</v>
      </c>
      <c r="N52" s="205">
        <f>SUMIF('11월'!$M$34:$M$145,연간_세부항목별지출!$C52,'11월'!$R$34:$R$145)</f>
        <v>0</v>
      </c>
      <c r="O52" s="205">
        <f>SUMIF('12월'!$M$34:$M$145,연간_세부항목별지출!$C52,'12월'!$R$34:$R$145)</f>
        <v>0</v>
      </c>
      <c r="P52" s="319">
        <f t="shared" si="2"/>
        <v>0</v>
      </c>
      <c r="Q52" s="319">
        <f t="shared" si="3"/>
        <v>0</v>
      </c>
      <c r="R52" s="320" t="str">
        <f t="shared" si="6"/>
        <v/>
      </c>
    </row>
    <row r="53" spans="2:18" ht="18" customHeight="1" x14ac:dyDescent="0.3">
      <c r="B53" s="546"/>
      <c r="C53" s="271" t="str">
        <f>IF(항목!G5="","",항목!G5)</f>
        <v>주방/욕실</v>
      </c>
      <c r="D53" s="315">
        <f>SUMIF('1월'!$M$34:$M$165,연간_세부항목별지출!$C53,'1월'!$T$34:$T$165)</f>
        <v>0</v>
      </c>
      <c r="E53" s="315">
        <f>SUMIF('2월'!$M$34:$M$145,연간_세부항목별지출!$C53,'2월'!$T$34:$T$145)</f>
        <v>0</v>
      </c>
      <c r="F53" s="315">
        <f>SUMIF('3월'!$M$34:$M$145,연간_세부항목별지출!$C53,'3월'!$R$34:$R$145)</f>
        <v>0</v>
      </c>
      <c r="G53" s="315">
        <f>SUMIF('4월'!$M$34:$M$145,연간_세부항목별지출!$C53,'4월'!$R$34:$R$145)</f>
        <v>0</v>
      </c>
      <c r="H53" s="315">
        <f>SUMIF('5월'!$M$34:$M$145,연간_세부항목별지출!$C53,'5월'!$R$34:$R$145)</f>
        <v>0</v>
      </c>
      <c r="I53" s="315">
        <f>SUMIF('6월'!$M$34:$M$145,연간_세부항목별지출!$C53,'6월'!$R$34:$R$145)</f>
        <v>0</v>
      </c>
      <c r="J53" s="315">
        <f>SUMIF('7월'!$M$34:$M$145,연간_세부항목별지출!$C53,'7월'!$R$34:$R$145)</f>
        <v>0</v>
      </c>
      <c r="K53" s="315">
        <f>SUMIF('8월'!$M$34:$M$145,연간_세부항목별지출!$C53,'8월'!$R$34:$R$145)</f>
        <v>0</v>
      </c>
      <c r="L53" s="315">
        <f>SUMIF('9월'!$M$34:$M$145,연간_세부항목별지출!$C53,'9월'!$R$34:$R$145)</f>
        <v>0</v>
      </c>
      <c r="M53" s="315">
        <f>SUMIF('10월'!$M$34:$M$145,연간_세부항목별지출!$C53,'10월'!$R$34:$R$145)</f>
        <v>0</v>
      </c>
      <c r="N53" s="315">
        <f>SUMIF('11월'!$M$34:$M$145,연간_세부항목별지출!$C53,'11월'!$R$34:$R$145)</f>
        <v>0</v>
      </c>
      <c r="O53" s="315">
        <f>SUMIF('12월'!$M$34:$M$145,연간_세부항목별지출!$C53,'12월'!$R$34:$R$145)</f>
        <v>0</v>
      </c>
      <c r="P53" s="264">
        <f t="shared" si="2"/>
        <v>0</v>
      </c>
      <c r="Q53" s="264">
        <f t="shared" si="3"/>
        <v>0</v>
      </c>
      <c r="R53" s="307" t="str">
        <f t="shared" si="6"/>
        <v/>
      </c>
    </row>
    <row r="54" spans="2:18" ht="18" customHeight="1" x14ac:dyDescent="0.3">
      <c r="B54" s="546"/>
      <c r="C54" s="271" t="str">
        <f>IF(항목!G6="","",항목!G6)</f>
        <v>오피스/문구</v>
      </c>
      <c r="D54" s="315">
        <f>SUMIF('1월'!$M$34:$M$165,연간_세부항목별지출!$C54,'1월'!$T$34:$T$165)</f>
        <v>0</v>
      </c>
      <c r="E54" s="315">
        <f>SUMIF('2월'!$M$34:$M$145,연간_세부항목별지출!$C54,'2월'!$T$34:$T$145)</f>
        <v>0</v>
      </c>
      <c r="F54" s="315">
        <f>SUMIF('3월'!$M$34:$M$145,연간_세부항목별지출!$C54,'3월'!$R$34:$R$145)</f>
        <v>0</v>
      </c>
      <c r="G54" s="315">
        <f>SUMIF('4월'!$M$34:$M$145,연간_세부항목별지출!$C54,'4월'!$R$34:$R$145)</f>
        <v>0</v>
      </c>
      <c r="H54" s="315">
        <f>SUMIF('5월'!$M$34:$M$145,연간_세부항목별지출!$C54,'5월'!$R$34:$R$145)</f>
        <v>0</v>
      </c>
      <c r="I54" s="315">
        <f>SUMIF('6월'!$M$34:$M$145,연간_세부항목별지출!$C54,'6월'!$R$34:$R$145)</f>
        <v>0</v>
      </c>
      <c r="J54" s="315">
        <f>SUMIF('7월'!$M$34:$M$145,연간_세부항목별지출!$C54,'7월'!$R$34:$R$145)</f>
        <v>0</v>
      </c>
      <c r="K54" s="315">
        <f>SUMIF('8월'!$M$34:$M$145,연간_세부항목별지출!$C54,'8월'!$R$34:$R$145)</f>
        <v>0</v>
      </c>
      <c r="L54" s="315">
        <f>SUMIF('9월'!$M$34:$M$145,연간_세부항목별지출!$C54,'9월'!$R$34:$R$145)</f>
        <v>0</v>
      </c>
      <c r="M54" s="315">
        <f>SUMIF('10월'!$M$34:$M$145,연간_세부항목별지출!$C54,'10월'!$R$34:$R$145)</f>
        <v>0</v>
      </c>
      <c r="N54" s="315">
        <f>SUMIF('11월'!$M$34:$M$145,연간_세부항목별지출!$C54,'11월'!$R$34:$R$145)</f>
        <v>0</v>
      </c>
      <c r="O54" s="315">
        <f>SUMIF('12월'!$M$34:$M$145,연간_세부항목별지출!$C54,'12월'!$R$34:$R$145)</f>
        <v>0</v>
      </c>
      <c r="P54" s="264">
        <f t="shared" si="2"/>
        <v>0</v>
      </c>
      <c r="Q54" s="264">
        <f t="shared" si="3"/>
        <v>0</v>
      </c>
      <c r="R54" s="307" t="str">
        <f t="shared" ref="R54:R86" si="7">IF(P54&gt;0,P54/$P$21,"")</f>
        <v/>
      </c>
    </row>
    <row r="55" spans="2:18" ht="18" customHeight="1" x14ac:dyDescent="0.3">
      <c r="B55" s="546"/>
      <c r="C55" s="271" t="str">
        <f>IF(항목!G7="","",항목!G7)</f>
        <v>멤버십</v>
      </c>
      <c r="D55" s="315">
        <f>SUMIF('1월'!$M$34:$M$165,연간_세부항목별지출!$C55,'1월'!$T$34:$T$165)</f>
        <v>0</v>
      </c>
      <c r="E55" s="315">
        <f>SUMIF('2월'!$M$34:$M$145,연간_세부항목별지출!$C55,'2월'!$T$34:$T$145)</f>
        <v>0</v>
      </c>
      <c r="F55" s="315">
        <f>SUMIF('3월'!$M$34:$M$145,연간_세부항목별지출!$C55,'3월'!$R$34:$R$145)</f>
        <v>0</v>
      </c>
      <c r="G55" s="315">
        <f>SUMIF('4월'!$M$34:$M$145,연간_세부항목별지출!$C55,'4월'!$R$34:$R$145)</f>
        <v>0</v>
      </c>
      <c r="H55" s="315">
        <f>SUMIF('5월'!$M$34:$M$145,연간_세부항목별지출!$C55,'5월'!$R$34:$R$145)</f>
        <v>0</v>
      </c>
      <c r="I55" s="315">
        <f>SUMIF('6월'!$M$34:$M$145,연간_세부항목별지출!$C55,'6월'!$R$34:$R$145)</f>
        <v>0</v>
      </c>
      <c r="J55" s="315">
        <f>SUMIF('7월'!$M$34:$M$145,연간_세부항목별지출!$C55,'7월'!$R$34:$R$145)</f>
        <v>0</v>
      </c>
      <c r="K55" s="315">
        <f>SUMIF('8월'!$M$34:$M$145,연간_세부항목별지출!$C55,'8월'!$R$34:$R$145)</f>
        <v>0</v>
      </c>
      <c r="L55" s="315">
        <f>SUMIF('9월'!$M$34:$M$145,연간_세부항목별지출!$C55,'9월'!$R$34:$R$145)</f>
        <v>0</v>
      </c>
      <c r="M55" s="315">
        <f>SUMIF('10월'!$M$34:$M$145,연간_세부항목별지출!$C55,'10월'!$R$34:$R$145)</f>
        <v>0</v>
      </c>
      <c r="N55" s="315">
        <f>SUMIF('11월'!$M$34:$M$145,연간_세부항목별지출!$C55,'11월'!$R$34:$R$145)</f>
        <v>0</v>
      </c>
      <c r="O55" s="315">
        <f>SUMIF('12월'!$M$34:$M$145,연간_세부항목별지출!$C55,'12월'!$R$34:$R$145)</f>
        <v>0</v>
      </c>
      <c r="P55" s="264">
        <f t="shared" si="2"/>
        <v>0</v>
      </c>
      <c r="Q55" s="264">
        <f t="shared" si="3"/>
        <v>0</v>
      </c>
      <c r="R55" s="307" t="str">
        <f t="shared" si="7"/>
        <v/>
      </c>
    </row>
    <row r="56" spans="2:18" ht="18" customHeight="1" x14ac:dyDescent="0.3">
      <c r="B56" s="546"/>
      <c r="C56" s="271" t="str">
        <f>IF(항목!G8="","",항목!G8)</f>
        <v>기타 생활용품</v>
      </c>
      <c r="D56" s="315">
        <f>SUMIF('1월'!$M$34:$M$165,연간_세부항목별지출!$C56,'1월'!$T$34:$T$165)</f>
        <v>0</v>
      </c>
      <c r="E56" s="315">
        <f>SUMIF('2월'!$M$34:$M$145,연간_세부항목별지출!$C56,'2월'!$T$34:$T$145)</f>
        <v>0</v>
      </c>
      <c r="F56" s="315">
        <f>SUMIF('3월'!$M$34:$M$145,연간_세부항목별지출!$C56,'3월'!$R$34:$R$145)</f>
        <v>0</v>
      </c>
      <c r="G56" s="315">
        <f>SUMIF('4월'!$M$34:$M$145,연간_세부항목별지출!$C56,'4월'!$R$34:$R$145)</f>
        <v>0</v>
      </c>
      <c r="H56" s="315">
        <f>SUMIF('5월'!$M$34:$M$145,연간_세부항목별지출!$C56,'5월'!$R$34:$R$145)</f>
        <v>0</v>
      </c>
      <c r="I56" s="315">
        <f>SUMIF('6월'!$M$34:$M$145,연간_세부항목별지출!$C56,'6월'!$R$34:$R$145)</f>
        <v>0</v>
      </c>
      <c r="J56" s="315">
        <f>SUMIF('7월'!$M$34:$M$145,연간_세부항목별지출!$C56,'7월'!$R$34:$R$145)</f>
        <v>0</v>
      </c>
      <c r="K56" s="315">
        <f>SUMIF('8월'!$M$34:$M$145,연간_세부항목별지출!$C56,'8월'!$R$34:$R$145)</f>
        <v>0</v>
      </c>
      <c r="L56" s="315">
        <f>SUMIF('9월'!$M$34:$M$145,연간_세부항목별지출!$C56,'9월'!$R$34:$R$145)</f>
        <v>0</v>
      </c>
      <c r="M56" s="315">
        <f>SUMIF('10월'!$M$34:$M$145,연간_세부항목별지출!$C56,'10월'!$R$34:$R$145)</f>
        <v>0</v>
      </c>
      <c r="N56" s="315">
        <f>SUMIF('11월'!$M$34:$M$145,연간_세부항목별지출!$C56,'11월'!$R$34:$R$145)</f>
        <v>0</v>
      </c>
      <c r="O56" s="315">
        <f>SUMIF('12월'!$M$34:$M$145,연간_세부항목별지출!$C56,'12월'!$R$34:$R$145)</f>
        <v>0</v>
      </c>
      <c r="P56" s="264">
        <f t="shared" si="2"/>
        <v>0</v>
      </c>
      <c r="Q56" s="264">
        <f t="shared" si="3"/>
        <v>0</v>
      </c>
      <c r="R56" s="307" t="str">
        <f t="shared" si="7"/>
        <v/>
      </c>
    </row>
    <row r="57" spans="2:18" ht="18" customHeight="1" x14ac:dyDescent="0.3">
      <c r="B57" s="546"/>
      <c r="C57" s="271" t="str">
        <f>IF(항목!G9="","",항목!G9)</f>
        <v>기타 잡지출</v>
      </c>
      <c r="D57" s="315">
        <f>SUMIF('1월'!$M$34:$M$165,연간_세부항목별지출!$C57,'1월'!$T$34:$T$165)</f>
        <v>0</v>
      </c>
      <c r="E57" s="315">
        <f>SUMIF('2월'!$M$34:$M$145,연간_세부항목별지출!$C57,'2월'!$T$34:$T$145)</f>
        <v>0</v>
      </c>
      <c r="F57" s="315">
        <f>SUMIF('3월'!$M$34:$M$145,연간_세부항목별지출!$C57,'3월'!$R$34:$R$145)</f>
        <v>0</v>
      </c>
      <c r="G57" s="315">
        <f>SUMIF('4월'!$M$34:$M$145,연간_세부항목별지출!$C57,'4월'!$R$34:$R$145)</f>
        <v>0</v>
      </c>
      <c r="H57" s="315">
        <f>SUMIF('5월'!$M$34:$M$145,연간_세부항목별지출!$C57,'5월'!$R$34:$R$145)</f>
        <v>0</v>
      </c>
      <c r="I57" s="315">
        <f>SUMIF('6월'!$M$34:$M$145,연간_세부항목별지출!$C57,'6월'!$R$34:$R$145)</f>
        <v>0</v>
      </c>
      <c r="J57" s="315">
        <f>SUMIF('7월'!$M$34:$M$145,연간_세부항목별지출!$C57,'7월'!$R$34:$R$145)</f>
        <v>0</v>
      </c>
      <c r="K57" s="315">
        <f>SUMIF('8월'!$M$34:$M$145,연간_세부항목별지출!$C57,'8월'!$R$34:$R$145)</f>
        <v>0</v>
      </c>
      <c r="L57" s="315">
        <f>SUMIF('9월'!$M$34:$M$145,연간_세부항목별지출!$C57,'9월'!$R$34:$R$145)</f>
        <v>0</v>
      </c>
      <c r="M57" s="315">
        <f>SUMIF('10월'!$M$34:$M$145,연간_세부항목별지출!$C57,'10월'!$R$34:$R$145)</f>
        <v>0</v>
      </c>
      <c r="N57" s="315">
        <f>SUMIF('11월'!$M$34:$M$145,연간_세부항목별지출!$C57,'11월'!$R$34:$R$145)</f>
        <v>0</v>
      </c>
      <c r="O57" s="315">
        <f>SUMIF('12월'!$M$34:$M$145,연간_세부항목별지출!$C57,'12월'!$R$34:$R$145)</f>
        <v>0</v>
      </c>
      <c r="P57" s="264">
        <f t="shared" si="2"/>
        <v>0</v>
      </c>
      <c r="Q57" s="264">
        <f t="shared" si="3"/>
        <v>0</v>
      </c>
      <c r="R57" s="307" t="str">
        <f t="shared" si="7"/>
        <v/>
      </c>
    </row>
    <row r="58" spans="2:18" ht="18" customHeight="1" x14ac:dyDescent="0.3">
      <c r="B58" s="546"/>
      <c r="C58" s="271" t="str">
        <f>IF(항목!G10="","",항목!G10)</f>
        <v/>
      </c>
      <c r="D58" s="315">
        <f>SUMIF('1월'!$M$34:$M$165,연간_세부항목별지출!$C58,'1월'!$T$34:$T$165)</f>
        <v>0</v>
      </c>
      <c r="E58" s="315">
        <f>SUMIF('2월'!$M$34:$M$145,연간_세부항목별지출!$C58,'2월'!$T$34:$T$145)</f>
        <v>0</v>
      </c>
      <c r="F58" s="315">
        <f>SUMIF('3월'!$M$34:$M$145,연간_세부항목별지출!$C58,'3월'!$R$34:$R$145)</f>
        <v>0</v>
      </c>
      <c r="G58" s="315">
        <f>SUMIF('4월'!$M$34:$M$145,연간_세부항목별지출!$C58,'4월'!$R$34:$R$145)</f>
        <v>0</v>
      </c>
      <c r="H58" s="315">
        <f>SUMIF('5월'!$M$34:$M$145,연간_세부항목별지출!$C58,'5월'!$R$34:$R$145)</f>
        <v>0</v>
      </c>
      <c r="I58" s="315">
        <f>SUMIF('6월'!$M$34:$M$145,연간_세부항목별지출!$C58,'6월'!$R$34:$R$145)</f>
        <v>0</v>
      </c>
      <c r="J58" s="315">
        <f>SUMIF('7월'!$M$34:$M$145,연간_세부항목별지출!$C58,'7월'!$R$34:$R$145)</f>
        <v>0</v>
      </c>
      <c r="K58" s="315">
        <f>SUMIF('8월'!$M$34:$M$145,연간_세부항목별지출!$C58,'8월'!$R$34:$R$145)</f>
        <v>0</v>
      </c>
      <c r="L58" s="315">
        <f>SUMIF('9월'!$M$34:$M$145,연간_세부항목별지출!$C58,'9월'!$R$34:$R$145)</f>
        <v>0</v>
      </c>
      <c r="M58" s="315">
        <f>SUMIF('10월'!$M$34:$M$145,연간_세부항목별지출!$C58,'10월'!$R$34:$R$145)</f>
        <v>0</v>
      </c>
      <c r="N58" s="315">
        <f>SUMIF('11월'!$M$34:$M$145,연간_세부항목별지출!$C58,'11월'!$R$34:$R$145)</f>
        <v>0</v>
      </c>
      <c r="O58" s="315">
        <f>SUMIF('12월'!$M$34:$M$145,연간_세부항목별지출!$C58,'12월'!$R$34:$R$145)</f>
        <v>0</v>
      </c>
      <c r="P58" s="264">
        <f t="shared" si="2"/>
        <v>0</v>
      </c>
      <c r="Q58" s="264">
        <f t="shared" si="3"/>
        <v>0</v>
      </c>
      <c r="R58" s="307" t="str">
        <f t="shared" si="7"/>
        <v/>
      </c>
    </row>
    <row r="59" spans="2:18" ht="18" customHeight="1" x14ac:dyDescent="0.3">
      <c r="B59" s="546"/>
      <c r="C59" s="271" t="str">
        <f>IF(항목!G11="","",항목!G11)</f>
        <v/>
      </c>
      <c r="D59" s="315">
        <f>SUMIF('1월'!$M$34:$M$165,연간_세부항목별지출!$C59,'1월'!$T$34:$T$165)</f>
        <v>0</v>
      </c>
      <c r="E59" s="315">
        <f>SUMIF('2월'!$M$34:$M$145,연간_세부항목별지출!$C59,'2월'!$T$34:$T$145)</f>
        <v>0</v>
      </c>
      <c r="F59" s="315">
        <f>SUMIF('3월'!$M$34:$M$145,연간_세부항목별지출!$C59,'3월'!$R$34:$R$145)</f>
        <v>0</v>
      </c>
      <c r="G59" s="315">
        <f>SUMIF('4월'!$M$34:$M$145,연간_세부항목별지출!$C59,'4월'!$R$34:$R$145)</f>
        <v>0</v>
      </c>
      <c r="H59" s="315">
        <f>SUMIF('5월'!$M$34:$M$145,연간_세부항목별지출!$C59,'5월'!$R$34:$R$145)</f>
        <v>0</v>
      </c>
      <c r="I59" s="315">
        <f>SUMIF('6월'!$M$34:$M$145,연간_세부항목별지출!$C59,'6월'!$R$34:$R$145)</f>
        <v>0</v>
      </c>
      <c r="J59" s="315">
        <f>SUMIF('7월'!$M$34:$M$145,연간_세부항목별지출!$C59,'7월'!$R$34:$R$145)</f>
        <v>0</v>
      </c>
      <c r="K59" s="315">
        <f>SUMIF('8월'!$M$34:$M$145,연간_세부항목별지출!$C59,'8월'!$R$34:$R$145)</f>
        <v>0</v>
      </c>
      <c r="L59" s="315">
        <f>SUMIF('9월'!$M$34:$M$145,연간_세부항목별지출!$C59,'9월'!$R$34:$R$145)</f>
        <v>0</v>
      </c>
      <c r="M59" s="315">
        <f>SUMIF('10월'!$M$34:$M$145,연간_세부항목별지출!$C59,'10월'!$R$34:$R$145)</f>
        <v>0</v>
      </c>
      <c r="N59" s="315">
        <f>SUMIF('11월'!$M$34:$M$145,연간_세부항목별지출!$C59,'11월'!$R$34:$R$145)</f>
        <v>0</v>
      </c>
      <c r="O59" s="315">
        <f>SUMIF('12월'!$M$34:$M$145,연간_세부항목별지출!$C59,'12월'!$R$34:$R$145)</f>
        <v>0</v>
      </c>
      <c r="P59" s="264">
        <f t="shared" si="2"/>
        <v>0</v>
      </c>
      <c r="Q59" s="264">
        <f t="shared" si="3"/>
        <v>0</v>
      </c>
      <c r="R59" s="307" t="str">
        <f t="shared" si="7"/>
        <v/>
      </c>
    </row>
    <row r="60" spans="2:18" ht="18" customHeight="1" x14ac:dyDescent="0.3">
      <c r="B60" s="546"/>
      <c r="C60" s="271" t="str">
        <f>IF(항목!G12="","",항목!G12)</f>
        <v/>
      </c>
      <c r="D60" s="315">
        <f>SUMIF('1월'!$M$34:$M$165,연간_세부항목별지출!$C60,'1월'!$T$34:$T$165)</f>
        <v>0</v>
      </c>
      <c r="E60" s="315">
        <f>SUMIF('2월'!$M$34:$M$145,연간_세부항목별지출!$C60,'2월'!$T$34:$T$145)</f>
        <v>0</v>
      </c>
      <c r="F60" s="315">
        <f>SUMIF('3월'!$M$34:$M$145,연간_세부항목별지출!$C60,'3월'!$R$34:$R$145)</f>
        <v>0</v>
      </c>
      <c r="G60" s="315">
        <f>SUMIF('4월'!$M$34:$M$145,연간_세부항목별지출!$C60,'4월'!$R$34:$R$145)</f>
        <v>0</v>
      </c>
      <c r="H60" s="315">
        <f>SUMIF('5월'!$M$34:$M$145,연간_세부항목별지출!$C60,'5월'!$R$34:$R$145)</f>
        <v>0</v>
      </c>
      <c r="I60" s="315">
        <f>SUMIF('6월'!$M$34:$M$145,연간_세부항목별지출!$C60,'6월'!$R$34:$R$145)</f>
        <v>0</v>
      </c>
      <c r="J60" s="315">
        <f>SUMIF('7월'!$M$34:$M$145,연간_세부항목별지출!$C60,'7월'!$R$34:$R$145)</f>
        <v>0</v>
      </c>
      <c r="K60" s="315">
        <f>SUMIF('8월'!$M$34:$M$145,연간_세부항목별지출!$C60,'8월'!$R$34:$R$145)</f>
        <v>0</v>
      </c>
      <c r="L60" s="315">
        <f>SUMIF('9월'!$M$34:$M$145,연간_세부항목별지출!$C60,'9월'!$R$34:$R$145)</f>
        <v>0</v>
      </c>
      <c r="M60" s="315">
        <f>SUMIF('10월'!$M$34:$M$145,연간_세부항목별지출!$C60,'10월'!$R$34:$R$145)</f>
        <v>0</v>
      </c>
      <c r="N60" s="315">
        <f>SUMIF('11월'!$M$34:$M$145,연간_세부항목별지출!$C60,'11월'!$R$34:$R$145)</f>
        <v>0</v>
      </c>
      <c r="O60" s="315">
        <f>SUMIF('12월'!$M$34:$M$145,연간_세부항목별지출!$C60,'12월'!$R$34:$R$145)</f>
        <v>0</v>
      </c>
      <c r="P60" s="264">
        <f t="shared" si="2"/>
        <v>0</v>
      </c>
      <c r="Q60" s="264">
        <f t="shared" si="3"/>
        <v>0</v>
      </c>
      <c r="R60" s="307" t="str">
        <f t="shared" si="7"/>
        <v/>
      </c>
    </row>
    <row r="61" spans="2:18" ht="18" customHeight="1" x14ac:dyDescent="0.3">
      <c r="B61" s="546"/>
      <c r="C61" s="271" t="str">
        <f>IF(항목!G13="","",항목!G13)</f>
        <v/>
      </c>
      <c r="D61" s="315">
        <f>SUMIF('1월'!$M$34:$M$165,연간_세부항목별지출!$C61,'1월'!$T$34:$T$165)</f>
        <v>0</v>
      </c>
      <c r="E61" s="315">
        <f>SUMIF('2월'!$M$34:$M$145,연간_세부항목별지출!$C61,'2월'!$T$34:$T$145)</f>
        <v>0</v>
      </c>
      <c r="F61" s="315">
        <f>SUMIF('3월'!$M$34:$M$145,연간_세부항목별지출!$C61,'3월'!$R$34:$R$145)</f>
        <v>0</v>
      </c>
      <c r="G61" s="315">
        <f>SUMIF('4월'!$M$34:$M$145,연간_세부항목별지출!$C61,'4월'!$R$34:$R$145)</f>
        <v>0</v>
      </c>
      <c r="H61" s="315">
        <f>SUMIF('5월'!$M$34:$M$145,연간_세부항목별지출!$C61,'5월'!$R$34:$R$145)</f>
        <v>0</v>
      </c>
      <c r="I61" s="315">
        <f>SUMIF('6월'!$M$34:$M$145,연간_세부항목별지출!$C61,'6월'!$R$34:$R$145)</f>
        <v>0</v>
      </c>
      <c r="J61" s="315">
        <f>SUMIF('7월'!$M$34:$M$145,연간_세부항목별지출!$C61,'7월'!$R$34:$R$145)</f>
        <v>0</v>
      </c>
      <c r="K61" s="315">
        <f>SUMIF('8월'!$M$34:$M$145,연간_세부항목별지출!$C61,'8월'!$R$34:$R$145)</f>
        <v>0</v>
      </c>
      <c r="L61" s="315">
        <f>SUMIF('9월'!$M$34:$M$145,연간_세부항목별지출!$C61,'9월'!$R$34:$R$145)</f>
        <v>0</v>
      </c>
      <c r="M61" s="315">
        <f>SUMIF('10월'!$M$34:$M$145,연간_세부항목별지출!$C61,'10월'!$R$34:$R$145)</f>
        <v>0</v>
      </c>
      <c r="N61" s="315">
        <f>SUMIF('11월'!$M$34:$M$145,연간_세부항목별지출!$C61,'11월'!$R$34:$R$145)</f>
        <v>0</v>
      </c>
      <c r="O61" s="315">
        <f>SUMIF('12월'!$M$34:$M$145,연간_세부항목별지출!$C61,'12월'!$R$34:$R$145)</f>
        <v>0</v>
      </c>
      <c r="P61" s="264">
        <f t="shared" si="2"/>
        <v>0</v>
      </c>
      <c r="Q61" s="264">
        <f t="shared" si="3"/>
        <v>0</v>
      </c>
      <c r="R61" s="307" t="str">
        <f t="shared" si="7"/>
        <v/>
      </c>
    </row>
    <row r="62" spans="2:18" ht="18" customHeight="1" x14ac:dyDescent="0.3">
      <c r="B62" s="546"/>
      <c r="C62" s="271" t="str">
        <f>IF(항목!G14="","",항목!G14)</f>
        <v/>
      </c>
      <c r="D62" s="315">
        <f>SUMIF('1월'!$M$34:$M$165,연간_세부항목별지출!$C62,'1월'!$T$34:$T$165)</f>
        <v>0</v>
      </c>
      <c r="E62" s="315">
        <f>SUMIF('2월'!$M$34:$M$145,연간_세부항목별지출!$C62,'2월'!$T$34:$T$145)</f>
        <v>0</v>
      </c>
      <c r="F62" s="315">
        <f>SUMIF('3월'!$M$34:$M$145,연간_세부항목별지출!$C62,'3월'!$R$34:$R$145)</f>
        <v>0</v>
      </c>
      <c r="G62" s="315">
        <f>SUMIF('4월'!$M$34:$M$145,연간_세부항목별지출!$C62,'4월'!$R$34:$R$145)</f>
        <v>0</v>
      </c>
      <c r="H62" s="315">
        <f>SUMIF('5월'!$M$34:$M$145,연간_세부항목별지출!$C62,'5월'!$R$34:$R$145)</f>
        <v>0</v>
      </c>
      <c r="I62" s="315">
        <f>SUMIF('6월'!$M$34:$M$145,연간_세부항목별지출!$C62,'6월'!$R$34:$R$145)</f>
        <v>0</v>
      </c>
      <c r="J62" s="315">
        <f>SUMIF('7월'!$M$34:$M$145,연간_세부항목별지출!$C62,'7월'!$R$34:$R$145)</f>
        <v>0</v>
      </c>
      <c r="K62" s="315">
        <f>SUMIF('8월'!$M$34:$M$145,연간_세부항목별지출!$C62,'8월'!$R$34:$R$145)</f>
        <v>0</v>
      </c>
      <c r="L62" s="315">
        <f>SUMIF('9월'!$M$34:$M$145,연간_세부항목별지출!$C62,'9월'!$R$34:$R$145)</f>
        <v>0</v>
      </c>
      <c r="M62" s="315">
        <f>SUMIF('10월'!$M$34:$M$145,연간_세부항목별지출!$C62,'10월'!$R$34:$R$145)</f>
        <v>0</v>
      </c>
      <c r="N62" s="315">
        <f>SUMIF('11월'!$M$34:$M$145,연간_세부항목별지출!$C62,'11월'!$R$34:$R$145)</f>
        <v>0</v>
      </c>
      <c r="O62" s="315">
        <f>SUMIF('12월'!$M$34:$M$145,연간_세부항목별지출!$C62,'12월'!$R$34:$R$145)</f>
        <v>0</v>
      </c>
      <c r="P62" s="264">
        <f t="shared" si="2"/>
        <v>0</v>
      </c>
      <c r="Q62" s="264">
        <f t="shared" si="3"/>
        <v>0</v>
      </c>
      <c r="R62" s="307" t="str">
        <f t="shared" si="7"/>
        <v/>
      </c>
    </row>
    <row r="63" spans="2:18" ht="18" customHeight="1" x14ac:dyDescent="0.3">
      <c r="B63" s="546"/>
      <c r="C63" s="271" t="str">
        <f>IF(항목!G15="","",항목!G15)</f>
        <v/>
      </c>
      <c r="D63" s="315">
        <f>SUMIF('1월'!$M$34:$M$165,연간_세부항목별지출!$C63,'1월'!$T$34:$T$165)</f>
        <v>0</v>
      </c>
      <c r="E63" s="315">
        <f>SUMIF('2월'!$M$34:$M$145,연간_세부항목별지출!$C63,'2월'!$T$34:$T$145)</f>
        <v>0</v>
      </c>
      <c r="F63" s="315">
        <f>SUMIF('3월'!$M$34:$M$145,연간_세부항목별지출!$C63,'3월'!$R$34:$R$145)</f>
        <v>0</v>
      </c>
      <c r="G63" s="315">
        <f>SUMIF('4월'!$M$34:$M$145,연간_세부항목별지출!$C63,'4월'!$R$34:$R$145)</f>
        <v>0</v>
      </c>
      <c r="H63" s="315">
        <f>SUMIF('5월'!$M$34:$M$145,연간_세부항목별지출!$C63,'5월'!$R$34:$R$145)</f>
        <v>0</v>
      </c>
      <c r="I63" s="315">
        <f>SUMIF('6월'!$M$34:$M$145,연간_세부항목별지출!$C63,'6월'!$R$34:$R$145)</f>
        <v>0</v>
      </c>
      <c r="J63" s="315">
        <f>SUMIF('7월'!$M$34:$M$145,연간_세부항목별지출!$C63,'7월'!$R$34:$R$145)</f>
        <v>0</v>
      </c>
      <c r="K63" s="315">
        <f>SUMIF('8월'!$M$34:$M$145,연간_세부항목별지출!$C63,'8월'!$R$34:$R$145)</f>
        <v>0</v>
      </c>
      <c r="L63" s="315">
        <f>SUMIF('9월'!$M$34:$M$145,연간_세부항목별지출!$C63,'9월'!$R$34:$R$145)</f>
        <v>0</v>
      </c>
      <c r="M63" s="315">
        <f>SUMIF('10월'!$M$34:$M$145,연간_세부항목별지출!$C63,'10월'!$R$34:$R$145)</f>
        <v>0</v>
      </c>
      <c r="N63" s="315">
        <f>SUMIF('11월'!$M$34:$M$145,연간_세부항목별지출!$C63,'11월'!$R$34:$R$145)</f>
        <v>0</v>
      </c>
      <c r="O63" s="315">
        <f>SUMIF('12월'!$M$34:$M$145,연간_세부항목별지출!$C63,'12월'!$R$34:$R$145)</f>
        <v>0</v>
      </c>
      <c r="P63" s="264">
        <f t="shared" si="2"/>
        <v>0</v>
      </c>
      <c r="Q63" s="264">
        <f t="shared" si="3"/>
        <v>0</v>
      </c>
      <c r="R63" s="307" t="str">
        <f t="shared" si="7"/>
        <v/>
      </c>
    </row>
    <row r="64" spans="2:18" ht="18" customHeight="1" x14ac:dyDescent="0.3">
      <c r="B64" s="546"/>
      <c r="C64" s="271" t="str">
        <f>IF(항목!G16="","",항목!G16)</f>
        <v/>
      </c>
      <c r="D64" s="315">
        <f>SUMIF('1월'!$M$34:$M$165,연간_세부항목별지출!$C64,'1월'!$T$34:$T$165)</f>
        <v>0</v>
      </c>
      <c r="E64" s="315">
        <f>SUMIF('2월'!$M$34:$M$145,연간_세부항목별지출!$C64,'2월'!$T$34:$T$145)</f>
        <v>0</v>
      </c>
      <c r="F64" s="315">
        <f>SUMIF('3월'!$M$34:$M$145,연간_세부항목별지출!$C64,'3월'!$R$34:$R$145)</f>
        <v>0</v>
      </c>
      <c r="G64" s="315">
        <f>SUMIF('4월'!$M$34:$M$145,연간_세부항목별지출!$C64,'4월'!$R$34:$R$145)</f>
        <v>0</v>
      </c>
      <c r="H64" s="315">
        <f>SUMIF('5월'!$M$34:$M$145,연간_세부항목별지출!$C64,'5월'!$R$34:$R$145)</f>
        <v>0</v>
      </c>
      <c r="I64" s="315">
        <f>SUMIF('6월'!$M$34:$M$145,연간_세부항목별지출!$C64,'6월'!$R$34:$R$145)</f>
        <v>0</v>
      </c>
      <c r="J64" s="315">
        <f>SUMIF('7월'!$M$34:$M$145,연간_세부항목별지출!$C64,'7월'!$R$34:$R$145)</f>
        <v>0</v>
      </c>
      <c r="K64" s="315">
        <f>SUMIF('8월'!$M$34:$M$145,연간_세부항목별지출!$C64,'8월'!$R$34:$R$145)</f>
        <v>0</v>
      </c>
      <c r="L64" s="315">
        <f>SUMIF('9월'!$M$34:$M$145,연간_세부항목별지출!$C64,'9월'!$R$34:$R$145)</f>
        <v>0</v>
      </c>
      <c r="M64" s="315">
        <f>SUMIF('10월'!$M$34:$M$145,연간_세부항목별지출!$C64,'10월'!$R$34:$R$145)</f>
        <v>0</v>
      </c>
      <c r="N64" s="315">
        <f>SUMIF('11월'!$M$34:$M$145,연간_세부항목별지출!$C64,'11월'!$R$34:$R$145)</f>
        <v>0</v>
      </c>
      <c r="O64" s="315">
        <f>SUMIF('12월'!$M$34:$M$145,연간_세부항목별지출!$C64,'12월'!$R$34:$R$145)</f>
        <v>0</v>
      </c>
      <c r="P64" s="264">
        <f t="shared" si="2"/>
        <v>0</v>
      </c>
      <c r="Q64" s="264">
        <f t="shared" si="3"/>
        <v>0</v>
      </c>
      <c r="R64" s="307" t="str">
        <f t="shared" si="7"/>
        <v/>
      </c>
    </row>
    <row r="65" spans="2:18" ht="18" customHeight="1" x14ac:dyDescent="0.3">
      <c r="B65" s="546"/>
      <c r="C65" s="271" t="str">
        <f>IF(항목!G17="","",항목!G17)</f>
        <v/>
      </c>
      <c r="D65" s="315">
        <f>SUMIF('1월'!$M$34:$M$165,연간_세부항목별지출!$C65,'1월'!$T$34:$T$165)</f>
        <v>0</v>
      </c>
      <c r="E65" s="315">
        <f>SUMIF('2월'!$M$34:$M$145,연간_세부항목별지출!$C65,'2월'!$T$34:$T$145)</f>
        <v>0</v>
      </c>
      <c r="F65" s="315">
        <f>SUMIF('3월'!$M$34:$M$145,연간_세부항목별지출!$C65,'3월'!$R$34:$R$145)</f>
        <v>0</v>
      </c>
      <c r="G65" s="315">
        <f>SUMIF('4월'!$M$34:$M$145,연간_세부항목별지출!$C65,'4월'!$R$34:$R$145)</f>
        <v>0</v>
      </c>
      <c r="H65" s="315">
        <f>SUMIF('5월'!$M$34:$M$145,연간_세부항목별지출!$C65,'5월'!$R$34:$R$145)</f>
        <v>0</v>
      </c>
      <c r="I65" s="315">
        <f>SUMIF('6월'!$M$34:$M$145,연간_세부항목별지출!$C65,'6월'!$R$34:$R$145)</f>
        <v>0</v>
      </c>
      <c r="J65" s="315">
        <f>SUMIF('7월'!$M$34:$M$145,연간_세부항목별지출!$C65,'7월'!$R$34:$R$145)</f>
        <v>0</v>
      </c>
      <c r="K65" s="315">
        <f>SUMIF('8월'!$M$34:$M$145,연간_세부항목별지출!$C65,'8월'!$R$34:$R$145)</f>
        <v>0</v>
      </c>
      <c r="L65" s="315">
        <f>SUMIF('9월'!$M$34:$M$145,연간_세부항목별지출!$C65,'9월'!$R$34:$R$145)</f>
        <v>0</v>
      </c>
      <c r="M65" s="315">
        <f>SUMIF('10월'!$M$34:$M$145,연간_세부항목별지출!$C65,'10월'!$R$34:$R$145)</f>
        <v>0</v>
      </c>
      <c r="N65" s="315">
        <f>SUMIF('11월'!$M$34:$M$145,연간_세부항목별지출!$C65,'11월'!$R$34:$R$145)</f>
        <v>0</v>
      </c>
      <c r="O65" s="315">
        <f>SUMIF('12월'!$M$34:$M$145,연간_세부항목별지출!$C65,'12월'!$R$34:$R$145)</f>
        <v>0</v>
      </c>
      <c r="P65" s="264">
        <f t="shared" si="2"/>
        <v>0</v>
      </c>
      <c r="Q65" s="264">
        <f t="shared" si="3"/>
        <v>0</v>
      </c>
      <c r="R65" s="307" t="str">
        <f t="shared" si="7"/>
        <v/>
      </c>
    </row>
    <row r="66" spans="2:18" ht="18" customHeight="1" thickBot="1" x14ac:dyDescent="0.35">
      <c r="B66" s="547"/>
      <c r="C66" s="272" t="str">
        <f>IF(항목!G18="","",항목!G18)</f>
        <v/>
      </c>
      <c r="D66" s="238">
        <f>SUMIF('1월'!$M$34:$M$165,연간_세부항목별지출!$C66,'1월'!$T$34:$T$165)</f>
        <v>0</v>
      </c>
      <c r="E66" s="238">
        <f>SUMIF('2월'!$M$34:$M$145,연간_세부항목별지출!$C66,'2월'!$T$34:$T$145)</f>
        <v>0</v>
      </c>
      <c r="F66" s="238">
        <f>SUMIF('3월'!$M$34:$M$145,연간_세부항목별지출!$C66,'3월'!$R$34:$R$145)</f>
        <v>0</v>
      </c>
      <c r="G66" s="238">
        <f>SUMIF('4월'!$M$34:$M$145,연간_세부항목별지출!$C66,'4월'!$R$34:$R$145)</f>
        <v>0</v>
      </c>
      <c r="H66" s="238">
        <f>SUMIF('5월'!$M$34:$M$145,연간_세부항목별지출!$C66,'5월'!$R$34:$R$145)</f>
        <v>0</v>
      </c>
      <c r="I66" s="238">
        <f>SUMIF('6월'!$M$34:$M$145,연간_세부항목별지출!$C66,'6월'!$R$34:$R$145)</f>
        <v>0</v>
      </c>
      <c r="J66" s="238">
        <f>SUMIF('7월'!$M$34:$M$145,연간_세부항목별지출!$C66,'7월'!$R$34:$R$145)</f>
        <v>0</v>
      </c>
      <c r="K66" s="238">
        <f>SUMIF('8월'!$M$34:$M$145,연간_세부항목별지출!$C66,'8월'!$R$34:$R$145)</f>
        <v>0</v>
      </c>
      <c r="L66" s="238">
        <f>SUMIF('9월'!$M$34:$M$145,연간_세부항목별지출!$C66,'9월'!$R$34:$R$145)</f>
        <v>0</v>
      </c>
      <c r="M66" s="238">
        <f>SUMIF('10월'!$M$34:$M$145,연간_세부항목별지출!$C66,'10월'!$R$34:$R$145)</f>
        <v>0</v>
      </c>
      <c r="N66" s="238">
        <f>SUMIF('11월'!$M$34:$M$145,연간_세부항목별지출!$C66,'11월'!$R$34:$R$145)</f>
        <v>0</v>
      </c>
      <c r="O66" s="238">
        <f>SUMIF('12월'!$M$34:$M$145,연간_세부항목별지출!$C66,'12월'!$R$34:$R$145)</f>
        <v>0</v>
      </c>
      <c r="P66" s="273">
        <f t="shared" si="2"/>
        <v>0</v>
      </c>
      <c r="Q66" s="273">
        <f t="shared" si="3"/>
        <v>0</v>
      </c>
      <c r="R66" s="310" t="str">
        <f t="shared" si="7"/>
        <v/>
      </c>
    </row>
    <row r="67" spans="2:18" ht="18" customHeight="1" x14ac:dyDescent="0.3">
      <c r="B67" s="545" t="str">
        <f>항목!H3</f>
        <v>반려동물비</v>
      </c>
      <c r="C67" s="316" t="str">
        <f>IF(항목!H4="","",항목!H4)</f>
        <v>사료/간식</v>
      </c>
      <c r="D67" s="205">
        <f>SUMIF('1월'!$M$34:$M$165,연간_세부항목별지출!$C67,'1월'!$T$34:$T$165)</f>
        <v>0</v>
      </c>
      <c r="E67" s="205">
        <f>SUMIF('2월'!$M$34:$M$145,연간_세부항목별지출!$C67,'2월'!$T$34:$T$145)</f>
        <v>0</v>
      </c>
      <c r="F67" s="205">
        <f>SUMIF('3월'!$M$34:$M$145,연간_세부항목별지출!$C67,'3월'!$R$34:$R$145)</f>
        <v>0</v>
      </c>
      <c r="G67" s="205">
        <f>SUMIF('4월'!$M$34:$M$145,연간_세부항목별지출!$C67,'4월'!$R$34:$R$145)</f>
        <v>0</v>
      </c>
      <c r="H67" s="205">
        <f>SUMIF('5월'!$M$34:$M$145,연간_세부항목별지출!$C67,'5월'!$R$34:$R$145)</f>
        <v>0</v>
      </c>
      <c r="I67" s="205">
        <f>SUMIF('6월'!$M$34:$M$145,연간_세부항목별지출!$C67,'6월'!$R$34:$R$145)</f>
        <v>0</v>
      </c>
      <c r="J67" s="205">
        <f>SUMIF('7월'!$M$34:$M$145,연간_세부항목별지출!$C67,'7월'!$R$34:$R$145)</f>
        <v>0</v>
      </c>
      <c r="K67" s="205">
        <f>SUMIF('8월'!$M$34:$M$145,연간_세부항목별지출!$C67,'8월'!$R$34:$R$145)</f>
        <v>0</v>
      </c>
      <c r="L67" s="205">
        <f>SUMIF('9월'!$M$34:$M$145,연간_세부항목별지출!$C67,'9월'!$R$34:$R$145)</f>
        <v>0</v>
      </c>
      <c r="M67" s="205">
        <f>SUMIF('10월'!$M$34:$M$145,연간_세부항목별지출!$C67,'10월'!$R$34:$R$145)</f>
        <v>0</v>
      </c>
      <c r="N67" s="205">
        <f>SUMIF('11월'!$M$34:$M$145,연간_세부항목별지출!$C67,'11월'!$R$34:$R$145)</f>
        <v>0</v>
      </c>
      <c r="O67" s="205">
        <f>SUMIF('12월'!$M$34:$M$145,연간_세부항목별지출!$C67,'12월'!$R$34:$R$145)</f>
        <v>0</v>
      </c>
      <c r="P67" s="319">
        <f t="shared" si="2"/>
        <v>0</v>
      </c>
      <c r="Q67" s="319">
        <f t="shared" si="3"/>
        <v>0</v>
      </c>
      <c r="R67" s="320" t="str">
        <f t="shared" si="7"/>
        <v/>
      </c>
    </row>
    <row r="68" spans="2:18" ht="18" customHeight="1" x14ac:dyDescent="0.3">
      <c r="B68" s="546"/>
      <c r="C68" s="270" t="str">
        <f>IF(항목!H5="","",항목!H5)</f>
        <v>용품/장난감</v>
      </c>
      <c r="D68" s="200">
        <f>SUMIF('1월'!$M$34:$M$165,연간_세부항목별지출!$C68,'1월'!$T$34:$T$165)</f>
        <v>0</v>
      </c>
      <c r="E68" s="200">
        <f>SUMIF('2월'!$M$34:$M$145,연간_세부항목별지출!$C68,'2월'!$T$34:$T$145)</f>
        <v>0</v>
      </c>
      <c r="F68" s="200">
        <f>SUMIF('3월'!$M$34:$M$145,연간_세부항목별지출!$C68,'3월'!$R$34:$R$145)</f>
        <v>0</v>
      </c>
      <c r="G68" s="200">
        <f>SUMIF('4월'!$M$34:$M$145,연간_세부항목별지출!$C68,'4월'!$R$34:$R$145)</f>
        <v>0</v>
      </c>
      <c r="H68" s="200">
        <f>SUMIF('5월'!$M$34:$M$145,연간_세부항목별지출!$C68,'5월'!$R$34:$R$145)</f>
        <v>0</v>
      </c>
      <c r="I68" s="200">
        <f>SUMIF('6월'!$M$34:$M$145,연간_세부항목별지출!$C68,'6월'!$R$34:$R$145)</f>
        <v>0</v>
      </c>
      <c r="J68" s="200">
        <f>SUMIF('7월'!$M$34:$M$145,연간_세부항목별지출!$C68,'7월'!$R$34:$R$145)</f>
        <v>0</v>
      </c>
      <c r="K68" s="200">
        <f>SUMIF('8월'!$M$34:$M$145,연간_세부항목별지출!$C68,'8월'!$R$34:$R$145)</f>
        <v>0</v>
      </c>
      <c r="L68" s="200">
        <f>SUMIF('9월'!$M$34:$M$145,연간_세부항목별지출!$C68,'9월'!$R$34:$R$145)</f>
        <v>0</v>
      </c>
      <c r="M68" s="200">
        <f>SUMIF('10월'!$M$34:$M$145,연간_세부항목별지출!$C68,'10월'!$R$34:$R$145)</f>
        <v>0</v>
      </c>
      <c r="N68" s="200">
        <f>SUMIF('11월'!$M$34:$M$145,연간_세부항목별지출!$C68,'11월'!$R$34:$R$145)</f>
        <v>0</v>
      </c>
      <c r="O68" s="200">
        <f>SUMIF('12월'!$M$34:$M$145,연간_세부항목별지출!$C68,'12월'!$R$34:$R$145)</f>
        <v>0</v>
      </c>
      <c r="P68" s="264">
        <f t="shared" si="2"/>
        <v>0</v>
      </c>
      <c r="Q68" s="264">
        <f t="shared" si="3"/>
        <v>0</v>
      </c>
      <c r="R68" s="307" t="str">
        <f t="shared" si="7"/>
        <v/>
      </c>
    </row>
    <row r="69" spans="2:18" ht="18" customHeight="1" x14ac:dyDescent="0.3">
      <c r="B69" s="546"/>
      <c r="C69" s="270" t="str">
        <f>IF(항목!H6="","",항목!H6)</f>
        <v>병원/접종</v>
      </c>
      <c r="D69" s="200">
        <f>SUMIF('1월'!$M$34:$M$165,연간_세부항목별지출!$C69,'1월'!$T$34:$T$165)</f>
        <v>0</v>
      </c>
      <c r="E69" s="200">
        <f>SUMIF('2월'!$M$34:$M$145,연간_세부항목별지출!$C69,'2월'!$T$34:$T$145)</f>
        <v>0</v>
      </c>
      <c r="F69" s="200">
        <f>SUMIF('3월'!$M$34:$M$145,연간_세부항목별지출!$C69,'3월'!$R$34:$R$145)</f>
        <v>0</v>
      </c>
      <c r="G69" s="200">
        <f>SUMIF('4월'!$M$34:$M$145,연간_세부항목별지출!$C69,'4월'!$R$34:$R$145)</f>
        <v>0</v>
      </c>
      <c r="H69" s="200">
        <f>SUMIF('5월'!$M$34:$M$145,연간_세부항목별지출!$C69,'5월'!$R$34:$R$145)</f>
        <v>0</v>
      </c>
      <c r="I69" s="200">
        <f>SUMIF('6월'!$M$34:$M$145,연간_세부항목별지출!$C69,'6월'!$R$34:$R$145)</f>
        <v>0</v>
      </c>
      <c r="J69" s="200">
        <f>SUMIF('7월'!$M$34:$M$145,연간_세부항목별지출!$C69,'7월'!$R$34:$R$145)</f>
        <v>0</v>
      </c>
      <c r="K69" s="200">
        <f>SUMIF('8월'!$M$34:$M$145,연간_세부항목별지출!$C69,'8월'!$R$34:$R$145)</f>
        <v>0</v>
      </c>
      <c r="L69" s="200">
        <f>SUMIF('9월'!$M$34:$M$145,연간_세부항목별지출!$C69,'9월'!$R$34:$R$145)</f>
        <v>0</v>
      </c>
      <c r="M69" s="200">
        <f>SUMIF('10월'!$M$34:$M$145,연간_세부항목별지출!$C69,'10월'!$R$34:$R$145)</f>
        <v>0</v>
      </c>
      <c r="N69" s="200">
        <f>SUMIF('11월'!$M$34:$M$145,연간_세부항목별지출!$C69,'11월'!$R$34:$R$145)</f>
        <v>0</v>
      </c>
      <c r="O69" s="200">
        <f>SUMIF('12월'!$M$34:$M$145,연간_세부항목별지출!$C69,'12월'!$R$34:$R$145)</f>
        <v>0</v>
      </c>
      <c r="P69" s="264">
        <f t="shared" si="2"/>
        <v>0</v>
      </c>
      <c r="Q69" s="264">
        <f t="shared" si="3"/>
        <v>0</v>
      </c>
      <c r="R69" s="307" t="str">
        <f t="shared" si="7"/>
        <v/>
      </c>
    </row>
    <row r="70" spans="2:18" ht="18" customHeight="1" x14ac:dyDescent="0.3">
      <c r="B70" s="546"/>
      <c r="C70" s="270" t="str">
        <f>IF(항목!H7="","",항목!H7)</f>
        <v>미용</v>
      </c>
      <c r="D70" s="200">
        <f>SUMIF('1월'!$M$34:$M$165,연간_세부항목별지출!$C70,'1월'!$T$34:$T$165)</f>
        <v>0</v>
      </c>
      <c r="E70" s="200">
        <f>SUMIF('2월'!$M$34:$M$145,연간_세부항목별지출!$C70,'2월'!$T$34:$T$145)</f>
        <v>0</v>
      </c>
      <c r="F70" s="200">
        <f>SUMIF('3월'!$M$34:$M$145,연간_세부항목별지출!$C70,'3월'!$R$34:$R$145)</f>
        <v>0</v>
      </c>
      <c r="G70" s="200">
        <f>SUMIF('4월'!$M$34:$M$145,연간_세부항목별지출!$C70,'4월'!$R$34:$R$145)</f>
        <v>0</v>
      </c>
      <c r="H70" s="200">
        <f>SUMIF('5월'!$M$34:$M$145,연간_세부항목별지출!$C70,'5월'!$R$34:$R$145)</f>
        <v>0</v>
      </c>
      <c r="I70" s="200">
        <f>SUMIF('6월'!$M$34:$M$145,연간_세부항목별지출!$C70,'6월'!$R$34:$R$145)</f>
        <v>0</v>
      </c>
      <c r="J70" s="200">
        <f>SUMIF('7월'!$M$34:$M$145,연간_세부항목별지출!$C70,'7월'!$R$34:$R$145)</f>
        <v>0</v>
      </c>
      <c r="K70" s="200">
        <f>SUMIF('8월'!$M$34:$M$145,연간_세부항목별지출!$C70,'8월'!$R$34:$R$145)</f>
        <v>0</v>
      </c>
      <c r="L70" s="200">
        <f>SUMIF('9월'!$M$34:$M$145,연간_세부항목별지출!$C70,'9월'!$R$34:$R$145)</f>
        <v>0</v>
      </c>
      <c r="M70" s="200">
        <f>SUMIF('10월'!$M$34:$M$145,연간_세부항목별지출!$C70,'10월'!$R$34:$R$145)</f>
        <v>0</v>
      </c>
      <c r="N70" s="200">
        <f>SUMIF('11월'!$M$34:$M$145,연간_세부항목별지출!$C70,'11월'!$R$34:$R$145)</f>
        <v>0</v>
      </c>
      <c r="O70" s="200">
        <f>SUMIF('12월'!$M$34:$M$145,연간_세부항목별지출!$C70,'12월'!$R$34:$R$145)</f>
        <v>0</v>
      </c>
      <c r="P70" s="264">
        <f t="shared" si="2"/>
        <v>0</v>
      </c>
      <c r="Q70" s="264">
        <f t="shared" si="3"/>
        <v>0</v>
      </c>
      <c r="R70" s="307" t="str">
        <f t="shared" si="7"/>
        <v/>
      </c>
    </row>
    <row r="71" spans="2:18" ht="18" customHeight="1" x14ac:dyDescent="0.3">
      <c r="B71" s="546"/>
      <c r="C71" s="270" t="str">
        <f>IF(항목!H8="","",항목!H8)</f>
        <v>기타 반려동물</v>
      </c>
      <c r="D71" s="200">
        <f>SUMIF('1월'!$M$34:$M$165,연간_세부항목별지출!$C71,'1월'!$T$34:$T$165)</f>
        <v>0</v>
      </c>
      <c r="E71" s="200">
        <f>SUMIF('2월'!$M$34:$M$145,연간_세부항목별지출!$C71,'2월'!$T$34:$T$145)</f>
        <v>0</v>
      </c>
      <c r="F71" s="200">
        <f>SUMIF('3월'!$M$34:$M$145,연간_세부항목별지출!$C71,'3월'!$R$34:$R$145)</f>
        <v>0</v>
      </c>
      <c r="G71" s="200">
        <f>SUMIF('4월'!$M$34:$M$145,연간_세부항목별지출!$C71,'4월'!$R$34:$R$145)</f>
        <v>0</v>
      </c>
      <c r="H71" s="200">
        <f>SUMIF('5월'!$M$34:$M$145,연간_세부항목별지출!$C71,'5월'!$R$34:$R$145)</f>
        <v>0</v>
      </c>
      <c r="I71" s="200">
        <f>SUMIF('6월'!$M$34:$M$145,연간_세부항목별지출!$C71,'6월'!$R$34:$R$145)</f>
        <v>0</v>
      </c>
      <c r="J71" s="200">
        <f>SUMIF('7월'!$M$34:$M$145,연간_세부항목별지출!$C71,'7월'!$R$34:$R$145)</f>
        <v>0</v>
      </c>
      <c r="K71" s="200">
        <f>SUMIF('8월'!$M$34:$M$145,연간_세부항목별지출!$C71,'8월'!$R$34:$R$145)</f>
        <v>0</v>
      </c>
      <c r="L71" s="200">
        <f>SUMIF('9월'!$M$34:$M$145,연간_세부항목별지출!$C71,'9월'!$R$34:$R$145)</f>
        <v>0</v>
      </c>
      <c r="M71" s="200">
        <f>SUMIF('10월'!$M$34:$M$145,연간_세부항목별지출!$C71,'10월'!$R$34:$R$145)</f>
        <v>0</v>
      </c>
      <c r="N71" s="200">
        <f>SUMIF('11월'!$M$34:$M$145,연간_세부항목별지출!$C71,'11월'!$R$34:$R$145)</f>
        <v>0</v>
      </c>
      <c r="O71" s="200">
        <f>SUMIF('12월'!$M$34:$M$145,연간_세부항목별지출!$C71,'12월'!$R$34:$R$145)</f>
        <v>0</v>
      </c>
      <c r="P71" s="264">
        <f t="shared" si="2"/>
        <v>0</v>
      </c>
      <c r="Q71" s="264">
        <f t="shared" si="3"/>
        <v>0</v>
      </c>
      <c r="R71" s="307" t="str">
        <f t="shared" si="7"/>
        <v/>
      </c>
    </row>
    <row r="72" spans="2:18" ht="18" customHeight="1" x14ac:dyDescent="0.3">
      <c r="B72" s="546"/>
      <c r="C72" s="270" t="str">
        <f>IF(항목!H9="","",항목!H9)</f>
        <v/>
      </c>
      <c r="D72" s="200">
        <f>SUMIF('1월'!$M$34:$M$165,연간_세부항목별지출!$C72,'1월'!$T$34:$T$165)</f>
        <v>0</v>
      </c>
      <c r="E72" s="200">
        <f>SUMIF('2월'!$M$34:$M$145,연간_세부항목별지출!$C72,'2월'!$T$34:$T$145)</f>
        <v>0</v>
      </c>
      <c r="F72" s="200">
        <f>SUMIF('3월'!$M$34:$M$145,연간_세부항목별지출!$C72,'3월'!$R$34:$R$145)</f>
        <v>0</v>
      </c>
      <c r="G72" s="200">
        <f>SUMIF('4월'!$M$34:$M$145,연간_세부항목별지출!$C72,'4월'!$R$34:$R$145)</f>
        <v>0</v>
      </c>
      <c r="H72" s="200">
        <f>SUMIF('5월'!$M$34:$M$145,연간_세부항목별지출!$C72,'5월'!$R$34:$R$145)</f>
        <v>0</v>
      </c>
      <c r="I72" s="200">
        <f>SUMIF('6월'!$M$34:$M$145,연간_세부항목별지출!$C72,'6월'!$R$34:$R$145)</f>
        <v>0</v>
      </c>
      <c r="J72" s="200">
        <f>SUMIF('7월'!$M$34:$M$145,연간_세부항목별지출!$C72,'7월'!$R$34:$R$145)</f>
        <v>0</v>
      </c>
      <c r="K72" s="200">
        <f>SUMIF('8월'!$M$34:$M$145,연간_세부항목별지출!$C72,'8월'!$R$34:$R$145)</f>
        <v>0</v>
      </c>
      <c r="L72" s="200">
        <f>SUMIF('9월'!$M$34:$M$145,연간_세부항목별지출!$C72,'9월'!$R$34:$R$145)</f>
        <v>0</v>
      </c>
      <c r="M72" s="200">
        <f>SUMIF('10월'!$M$34:$M$145,연간_세부항목별지출!$C72,'10월'!$R$34:$R$145)</f>
        <v>0</v>
      </c>
      <c r="N72" s="200">
        <f>SUMIF('11월'!$M$34:$M$145,연간_세부항목별지출!$C72,'11월'!$R$34:$R$145)</f>
        <v>0</v>
      </c>
      <c r="O72" s="200">
        <f>SUMIF('12월'!$M$34:$M$145,연간_세부항목별지출!$C72,'12월'!$R$34:$R$145)</f>
        <v>0</v>
      </c>
      <c r="P72" s="264">
        <f t="shared" si="2"/>
        <v>0</v>
      </c>
      <c r="Q72" s="264">
        <f t="shared" si="3"/>
        <v>0</v>
      </c>
      <c r="R72" s="307" t="str">
        <f t="shared" si="7"/>
        <v/>
      </c>
    </row>
    <row r="73" spans="2:18" ht="18" customHeight="1" x14ac:dyDescent="0.3">
      <c r="B73" s="546"/>
      <c r="C73" s="270" t="str">
        <f>IF(항목!H10="","",항목!H10)</f>
        <v/>
      </c>
      <c r="D73" s="200">
        <f>SUMIF('1월'!$M$34:$M$165,연간_세부항목별지출!$C73,'1월'!$T$34:$T$165)</f>
        <v>0</v>
      </c>
      <c r="E73" s="200">
        <f>SUMIF('2월'!$M$34:$M$145,연간_세부항목별지출!$C73,'2월'!$T$34:$T$145)</f>
        <v>0</v>
      </c>
      <c r="F73" s="200">
        <f>SUMIF('3월'!$M$34:$M$145,연간_세부항목별지출!$C73,'3월'!$R$34:$R$145)</f>
        <v>0</v>
      </c>
      <c r="G73" s="200">
        <f>SUMIF('4월'!$M$34:$M$145,연간_세부항목별지출!$C73,'4월'!$R$34:$R$145)</f>
        <v>0</v>
      </c>
      <c r="H73" s="200">
        <f>SUMIF('5월'!$M$34:$M$145,연간_세부항목별지출!$C73,'5월'!$R$34:$R$145)</f>
        <v>0</v>
      </c>
      <c r="I73" s="200">
        <f>SUMIF('6월'!$M$34:$M$145,연간_세부항목별지출!$C73,'6월'!$R$34:$R$145)</f>
        <v>0</v>
      </c>
      <c r="J73" s="200">
        <f>SUMIF('7월'!$M$34:$M$145,연간_세부항목별지출!$C73,'7월'!$R$34:$R$145)</f>
        <v>0</v>
      </c>
      <c r="K73" s="200">
        <f>SUMIF('8월'!$M$34:$M$145,연간_세부항목별지출!$C73,'8월'!$R$34:$R$145)</f>
        <v>0</v>
      </c>
      <c r="L73" s="200">
        <f>SUMIF('9월'!$M$34:$M$145,연간_세부항목별지출!$C73,'9월'!$R$34:$R$145)</f>
        <v>0</v>
      </c>
      <c r="M73" s="200">
        <f>SUMIF('10월'!$M$34:$M$145,연간_세부항목별지출!$C73,'10월'!$R$34:$R$145)</f>
        <v>0</v>
      </c>
      <c r="N73" s="200">
        <f>SUMIF('11월'!$M$34:$M$145,연간_세부항목별지출!$C73,'11월'!$R$34:$R$145)</f>
        <v>0</v>
      </c>
      <c r="O73" s="200">
        <f>SUMIF('12월'!$M$34:$M$145,연간_세부항목별지출!$C73,'12월'!$R$34:$R$145)</f>
        <v>0</v>
      </c>
      <c r="P73" s="264">
        <f t="shared" si="2"/>
        <v>0</v>
      </c>
      <c r="Q73" s="264">
        <f t="shared" si="3"/>
        <v>0</v>
      </c>
      <c r="R73" s="307" t="str">
        <f t="shared" si="7"/>
        <v/>
      </c>
    </row>
    <row r="74" spans="2:18" ht="18" customHeight="1" x14ac:dyDescent="0.3">
      <c r="B74" s="546"/>
      <c r="C74" s="270" t="str">
        <f>IF(항목!H11="","",항목!H11)</f>
        <v/>
      </c>
      <c r="D74" s="200">
        <f>SUMIF('1월'!$M$34:$M$165,연간_세부항목별지출!$C74,'1월'!$T$34:$T$165)</f>
        <v>0</v>
      </c>
      <c r="E74" s="200">
        <f>SUMIF('2월'!$M$34:$M$145,연간_세부항목별지출!$C74,'2월'!$T$34:$T$145)</f>
        <v>0</v>
      </c>
      <c r="F74" s="200">
        <f>SUMIF('3월'!$M$34:$M$145,연간_세부항목별지출!$C74,'3월'!$R$34:$R$145)</f>
        <v>0</v>
      </c>
      <c r="G74" s="200">
        <f>SUMIF('4월'!$M$34:$M$145,연간_세부항목별지출!$C74,'4월'!$R$34:$R$145)</f>
        <v>0</v>
      </c>
      <c r="H74" s="200">
        <f>SUMIF('5월'!$M$34:$M$145,연간_세부항목별지출!$C74,'5월'!$R$34:$R$145)</f>
        <v>0</v>
      </c>
      <c r="I74" s="200">
        <f>SUMIF('6월'!$M$34:$M$145,연간_세부항목별지출!$C74,'6월'!$R$34:$R$145)</f>
        <v>0</v>
      </c>
      <c r="J74" s="200">
        <f>SUMIF('7월'!$M$34:$M$145,연간_세부항목별지출!$C74,'7월'!$R$34:$R$145)</f>
        <v>0</v>
      </c>
      <c r="K74" s="200">
        <f>SUMIF('8월'!$M$34:$M$145,연간_세부항목별지출!$C74,'8월'!$R$34:$R$145)</f>
        <v>0</v>
      </c>
      <c r="L74" s="200">
        <f>SUMIF('9월'!$M$34:$M$145,연간_세부항목별지출!$C74,'9월'!$R$34:$R$145)</f>
        <v>0</v>
      </c>
      <c r="M74" s="200">
        <f>SUMIF('10월'!$M$34:$M$145,연간_세부항목별지출!$C74,'10월'!$R$34:$R$145)</f>
        <v>0</v>
      </c>
      <c r="N74" s="200">
        <f>SUMIF('11월'!$M$34:$M$145,연간_세부항목별지출!$C74,'11월'!$R$34:$R$145)</f>
        <v>0</v>
      </c>
      <c r="O74" s="200">
        <f>SUMIF('12월'!$M$34:$M$145,연간_세부항목별지출!$C74,'12월'!$R$34:$R$145)</f>
        <v>0</v>
      </c>
      <c r="P74" s="264">
        <f t="shared" si="2"/>
        <v>0</v>
      </c>
      <c r="Q74" s="264">
        <f t="shared" si="3"/>
        <v>0</v>
      </c>
      <c r="R74" s="307" t="str">
        <f t="shared" si="7"/>
        <v/>
      </c>
    </row>
    <row r="75" spans="2:18" ht="18" customHeight="1" x14ac:dyDescent="0.3">
      <c r="B75" s="546"/>
      <c r="C75" s="270" t="str">
        <f>IF(항목!H12="","",항목!H12)</f>
        <v/>
      </c>
      <c r="D75" s="200">
        <f>SUMIF('1월'!$M$34:$M$165,연간_세부항목별지출!$C75,'1월'!$T$34:$T$165)</f>
        <v>0</v>
      </c>
      <c r="E75" s="200">
        <f>SUMIF('2월'!$M$34:$M$145,연간_세부항목별지출!$C75,'2월'!$T$34:$T$145)</f>
        <v>0</v>
      </c>
      <c r="F75" s="200">
        <f>SUMIF('3월'!$M$34:$M$145,연간_세부항목별지출!$C75,'3월'!$R$34:$R$145)</f>
        <v>0</v>
      </c>
      <c r="G75" s="200">
        <f>SUMIF('4월'!$M$34:$M$145,연간_세부항목별지출!$C75,'4월'!$R$34:$R$145)</f>
        <v>0</v>
      </c>
      <c r="H75" s="200">
        <f>SUMIF('5월'!$M$34:$M$145,연간_세부항목별지출!$C75,'5월'!$R$34:$R$145)</f>
        <v>0</v>
      </c>
      <c r="I75" s="200">
        <f>SUMIF('6월'!$M$34:$M$145,연간_세부항목별지출!$C75,'6월'!$R$34:$R$145)</f>
        <v>0</v>
      </c>
      <c r="J75" s="200">
        <f>SUMIF('7월'!$M$34:$M$145,연간_세부항목별지출!$C75,'7월'!$R$34:$R$145)</f>
        <v>0</v>
      </c>
      <c r="K75" s="200">
        <f>SUMIF('8월'!$M$34:$M$145,연간_세부항목별지출!$C75,'8월'!$R$34:$R$145)</f>
        <v>0</v>
      </c>
      <c r="L75" s="200">
        <f>SUMIF('9월'!$M$34:$M$145,연간_세부항목별지출!$C75,'9월'!$R$34:$R$145)</f>
        <v>0</v>
      </c>
      <c r="M75" s="200">
        <f>SUMIF('10월'!$M$34:$M$145,연간_세부항목별지출!$C75,'10월'!$R$34:$R$145)</f>
        <v>0</v>
      </c>
      <c r="N75" s="200">
        <f>SUMIF('11월'!$M$34:$M$145,연간_세부항목별지출!$C75,'11월'!$R$34:$R$145)</f>
        <v>0</v>
      </c>
      <c r="O75" s="200">
        <f>SUMIF('12월'!$M$34:$M$145,연간_세부항목별지출!$C75,'12월'!$R$34:$R$145)</f>
        <v>0</v>
      </c>
      <c r="P75" s="264">
        <f t="shared" si="2"/>
        <v>0</v>
      </c>
      <c r="Q75" s="264">
        <f t="shared" si="3"/>
        <v>0</v>
      </c>
      <c r="R75" s="307" t="str">
        <f t="shared" si="7"/>
        <v/>
      </c>
    </row>
    <row r="76" spans="2:18" ht="18" customHeight="1" x14ac:dyDescent="0.3">
      <c r="B76" s="546"/>
      <c r="C76" s="270" t="str">
        <f>IF(항목!H13="","",항목!H13)</f>
        <v/>
      </c>
      <c r="D76" s="200">
        <f>SUMIF('1월'!$M$34:$M$165,연간_세부항목별지출!$C76,'1월'!$T$34:$T$165)</f>
        <v>0</v>
      </c>
      <c r="E76" s="200">
        <f>SUMIF('2월'!$M$34:$M$145,연간_세부항목별지출!$C76,'2월'!$T$34:$T$145)</f>
        <v>0</v>
      </c>
      <c r="F76" s="200">
        <f>SUMIF('3월'!$M$34:$M$145,연간_세부항목별지출!$C76,'3월'!$R$34:$R$145)</f>
        <v>0</v>
      </c>
      <c r="G76" s="200">
        <f>SUMIF('4월'!$M$34:$M$145,연간_세부항목별지출!$C76,'4월'!$R$34:$R$145)</f>
        <v>0</v>
      </c>
      <c r="H76" s="200">
        <f>SUMIF('5월'!$M$34:$M$145,연간_세부항목별지출!$C76,'5월'!$R$34:$R$145)</f>
        <v>0</v>
      </c>
      <c r="I76" s="200">
        <f>SUMIF('6월'!$M$34:$M$145,연간_세부항목별지출!$C76,'6월'!$R$34:$R$145)</f>
        <v>0</v>
      </c>
      <c r="J76" s="200">
        <f>SUMIF('7월'!$M$34:$M$145,연간_세부항목별지출!$C76,'7월'!$R$34:$R$145)</f>
        <v>0</v>
      </c>
      <c r="K76" s="200">
        <f>SUMIF('8월'!$M$34:$M$145,연간_세부항목별지출!$C76,'8월'!$R$34:$R$145)</f>
        <v>0</v>
      </c>
      <c r="L76" s="200">
        <f>SUMIF('9월'!$M$34:$M$145,연간_세부항목별지출!$C76,'9월'!$R$34:$R$145)</f>
        <v>0</v>
      </c>
      <c r="M76" s="200">
        <f>SUMIF('10월'!$M$34:$M$145,연간_세부항목별지출!$C76,'10월'!$R$34:$R$145)</f>
        <v>0</v>
      </c>
      <c r="N76" s="200">
        <f>SUMIF('11월'!$M$34:$M$145,연간_세부항목별지출!$C76,'11월'!$R$34:$R$145)</f>
        <v>0</v>
      </c>
      <c r="O76" s="200">
        <f>SUMIF('12월'!$M$34:$M$145,연간_세부항목별지출!$C76,'12월'!$R$34:$R$145)</f>
        <v>0</v>
      </c>
      <c r="P76" s="264">
        <f t="shared" si="2"/>
        <v>0</v>
      </c>
      <c r="Q76" s="264">
        <f t="shared" si="3"/>
        <v>0</v>
      </c>
      <c r="R76" s="307" t="str">
        <f t="shared" si="7"/>
        <v/>
      </c>
    </row>
    <row r="77" spans="2:18" ht="18" customHeight="1" x14ac:dyDescent="0.3">
      <c r="B77" s="546"/>
      <c r="C77" s="270" t="str">
        <f>IF(항목!H14="","",항목!H14)</f>
        <v/>
      </c>
      <c r="D77" s="200">
        <f>SUMIF('1월'!$M$34:$M$165,연간_세부항목별지출!$C77,'1월'!$T$34:$T$165)</f>
        <v>0</v>
      </c>
      <c r="E77" s="200">
        <f>SUMIF('2월'!$M$34:$M$145,연간_세부항목별지출!$C77,'2월'!$T$34:$T$145)</f>
        <v>0</v>
      </c>
      <c r="F77" s="200">
        <f>SUMIF('3월'!$M$34:$M$145,연간_세부항목별지출!$C77,'3월'!$R$34:$R$145)</f>
        <v>0</v>
      </c>
      <c r="G77" s="200">
        <f>SUMIF('4월'!$M$34:$M$145,연간_세부항목별지출!$C77,'4월'!$R$34:$R$145)</f>
        <v>0</v>
      </c>
      <c r="H77" s="200">
        <f>SUMIF('5월'!$M$34:$M$145,연간_세부항목별지출!$C77,'5월'!$R$34:$R$145)</f>
        <v>0</v>
      </c>
      <c r="I77" s="200">
        <f>SUMIF('6월'!$M$34:$M$145,연간_세부항목별지출!$C77,'6월'!$R$34:$R$145)</f>
        <v>0</v>
      </c>
      <c r="J77" s="200">
        <f>SUMIF('7월'!$M$34:$M$145,연간_세부항목별지출!$C77,'7월'!$R$34:$R$145)</f>
        <v>0</v>
      </c>
      <c r="K77" s="200">
        <f>SUMIF('8월'!$M$34:$M$145,연간_세부항목별지출!$C77,'8월'!$R$34:$R$145)</f>
        <v>0</v>
      </c>
      <c r="L77" s="200">
        <f>SUMIF('9월'!$M$34:$M$145,연간_세부항목별지출!$C77,'9월'!$R$34:$R$145)</f>
        <v>0</v>
      </c>
      <c r="M77" s="200">
        <f>SUMIF('10월'!$M$34:$M$145,연간_세부항목별지출!$C77,'10월'!$R$34:$R$145)</f>
        <v>0</v>
      </c>
      <c r="N77" s="200">
        <f>SUMIF('11월'!$M$34:$M$145,연간_세부항목별지출!$C77,'11월'!$R$34:$R$145)</f>
        <v>0</v>
      </c>
      <c r="O77" s="200">
        <f>SUMIF('12월'!$M$34:$M$145,연간_세부항목별지출!$C77,'12월'!$R$34:$R$145)</f>
        <v>0</v>
      </c>
      <c r="P77" s="264">
        <f t="shared" si="2"/>
        <v>0</v>
      </c>
      <c r="Q77" s="264">
        <f t="shared" si="3"/>
        <v>0</v>
      </c>
      <c r="R77" s="307" t="str">
        <f t="shared" si="7"/>
        <v/>
      </c>
    </row>
    <row r="78" spans="2:18" ht="18" customHeight="1" x14ac:dyDescent="0.3">
      <c r="B78" s="546"/>
      <c r="C78" s="270" t="str">
        <f>IF(항목!H15="","",항목!H15)</f>
        <v/>
      </c>
      <c r="D78" s="200">
        <f>SUMIF('1월'!$M$34:$M$165,연간_세부항목별지출!$C78,'1월'!$T$34:$T$165)</f>
        <v>0</v>
      </c>
      <c r="E78" s="200">
        <f>SUMIF('2월'!$M$34:$M$145,연간_세부항목별지출!$C78,'2월'!$T$34:$T$145)</f>
        <v>0</v>
      </c>
      <c r="F78" s="200">
        <f>SUMIF('3월'!$M$34:$M$145,연간_세부항목별지출!$C78,'3월'!$R$34:$R$145)</f>
        <v>0</v>
      </c>
      <c r="G78" s="200">
        <f>SUMIF('4월'!$M$34:$M$145,연간_세부항목별지출!$C78,'4월'!$R$34:$R$145)</f>
        <v>0</v>
      </c>
      <c r="H78" s="200">
        <f>SUMIF('5월'!$M$34:$M$145,연간_세부항목별지출!$C78,'5월'!$R$34:$R$145)</f>
        <v>0</v>
      </c>
      <c r="I78" s="200">
        <f>SUMIF('6월'!$M$34:$M$145,연간_세부항목별지출!$C78,'6월'!$R$34:$R$145)</f>
        <v>0</v>
      </c>
      <c r="J78" s="200">
        <f>SUMIF('7월'!$M$34:$M$145,연간_세부항목별지출!$C78,'7월'!$R$34:$R$145)</f>
        <v>0</v>
      </c>
      <c r="K78" s="200">
        <f>SUMIF('8월'!$M$34:$M$145,연간_세부항목별지출!$C78,'8월'!$R$34:$R$145)</f>
        <v>0</v>
      </c>
      <c r="L78" s="200">
        <f>SUMIF('9월'!$M$34:$M$145,연간_세부항목별지출!$C78,'9월'!$R$34:$R$145)</f>
        <v>0</v>
      </c>
      <c r="M78" s="200">
        <f>SUMIF('10월'!$M$34:$M$145,연간_세부항목별지출!$C78,'10월'!$R$34:$R$145)</f>
        <v>0</v>
      </c>
      <c r="N78" s="200">
        <f>SUMIF('11월'!$M$34:$M$145,연간_세부항목별지출!$C78,'11월'!$R$34:$R$145)</f>
        <v>0</v>
      </c>
      <c r="O78" s="200">
        <f>SUMIF('12월'!$M$34:$M$145,연간_세부항목별지출!$C78,'12월'!$R$34:$R$145)</f>
        <v>0</v>
      </c>
      <c r="P78" s="264">
        <f t="shared" si="2"/>
        <v>0</v>
      </c>
      <c r="Q78" s="264">
        <f t="shared" si="3"/>
        <v>0</v>
      </c>
      <c r="R78" s="307" t="str">
        <f t="shared" si="7"/>
        <v/>
      </c>
    </row>
    <row r="79" spans="2:18" ht="18" customHeight="1" x14ac:dyDescent="0.3">
      <c r="B79" s="546"/>
      <c r="C79" s="270" t="str">
        <f>IF(항목!H16="","",항목!H16)</f>
        <v/>
      </c>
      <c r="D79" s="200">
        <f>SUMIF('1월'!$M$34:$M$165,연간_세부항목별지출!$C79,'1월'!$T$34:$T$165)</f>
        <v>0</v>
      </c>
      <c r="E79" s="200">
        <f>SUMIF('2월'!$M$34:$M$145,연간_세부항목별지출!$C79,'2월'!$T$34:$T$145)</f>
        <v>0</v>
      </c>
      <c r="F79" s="200">
        <f>SUMIF('3월'!$M$34:$M$145,연간_세부항목별지출!$C79,'3월'!$R$34:$R$145)</f>
        <v>0</v>
      </c>
      <c r="G79" s="200">
        <f>SUMIF('4월'!$M$34:$M$145,연간_세부항목별지출!$C79,'4월'!$R$34:$R$145)</f>
        <v>0</v>
      </c>
      <c r="H79" s="200">
        <f>SUMIF('5월'!$M$34:$M$145,연간_세부항목별지출!$C79,'5월'!$R$34:$R$145)</f>
        <v>0</v>
      </c>
      <c r="I79" s="200">
        <f>SUMIF('6월'!$M$34:$M$145,연간_세부항목별지출!$C79,'6월'!$R$34:$R$145)</f>
        <v>0</v>
      </c>
      <c r="J79" s="200">
        <f>SUMIF('7월'!$M$34:$M$145,연간_세부항목별지출!$C79,'7월'!$R$34:$R$145)</f>
        <v>0</v>
      </c>
      <c r="K79" s="200">
        <f>SUMIF('8월'!$M$34:$M$145,연간_세부항목별지출!$C79,'8월'!$R$34:$R$145)</f>
        <v>0</v>
      </c>
      <c r="L79" s="200">
        <f>SUMIF('9월'!$M$34:$M$145,연간_세부항목별지출!$C79,'9월'!$R$34:$R$145)</f>
        <v>0</v>
      </c>
      <c r="M79" s="200">
        <f>SUMIF('10월'!$M$34:$M$145,연간_세부항목별지출!$C79,'10월'!$R$34:$R$145)</f>
        <v>0</v>
      </c>
      <c r="N79" s="200">
        <f>SUMIF('11월'!$M$34:$M$145,연간_세부항목별지출!$C79,'11월'!$R$34:$R$145)</f>
        <v>0</v>
      </c>
      <c r="O79" s="200">
        <f>SUMIF('12월'!$M$34:$M$145,연간_세부항목별지출!$C79,'12월'!$R$34:$R$145)</f>
        <v>0</v>
      </c>
      <c r="P79" s="264">
        <f t="shared" si="2"/>
        <v>0</v>
      </c>
      <c r="Q79" s="264">
        <f t="shared" si="3"/>
        <v>0</v>
      </c>
      <c r="R79" s="307" t="str">
        <f t="shared" si="7"/>
        <v/>
      </c>
    </row>
    <row r="80" spans="2:18" ht="18" customHeight="1" x14ac:dyDescent="0.3">
      <c r="B80" s="546"/>
      <c r="C80" s="270" t="str">
        <f>IF(항목!H17="","",항목!H17)</f>
        <v/>
      </c>
      <c r="D80" s="200">
        <f>SUMIF('1월'!$M$34:$M$165,연간_세부항목별지출!$C80,'1월'!$T$34:$T$165)</f>
        <v>0</v>
      </c>
      <c r="E80" s="200">
        <f>SUMIF('2월'!$M$34:$M$145,연간_세부항목별지출!$C80,'2월'!$T$34:$T$145)</f>
        <v>0</v>
      </c>
      <c r="F80" s="200">
        <f>SUMIF('3월'!$M$34:$M$145,연간_세부항목별지출!$C80,'3월'!$R$34:$R$145)</f>
        <v>0</v>
      </c>
      <c r="G80" s="200">
        <f>SUMIF('4월'!$M$34:$M$145,연간_세부항목별지출!$C80,'4월'!$R$34:$R$145)</f>
        <v>0</v>
      </c>
      <c r="H80" s="200">
        <f>SUMIF('5월'!$M$34:$M$145,연간_세부항목별지출!$C80,'5월'!$R$34:$R$145)</f>
        <v>0</v>
      </c>
      <c r="I80" s="200">
        <f>SUMIF('6월'!$M$34:$M$145,연간_세부항목별지출!$C80,'6월'!$R$34:$R$145)</f>
        <v>0</v>
      </c>
      <c r="J80" s="200">
        <f>SUMIF('7월'!$M$34:$M$145,연간_세부항목별지출!$C80,'7월'!$R$34:$R$145)</f>
        <v>0</v>
      </c>
      <c r="K80" s="200">
        <f>SUMIF('8월'!$M$34:$M$145,연간_세부항목별지출!$C80,'8월'!$R$34:$R$145)</f>
        <v>0</v>
      </c>
      <c r="L80" s="200">
        <f>SUMIF('9월'!$M$34:$M$145,연간_세부항목별지출!$C80,'9월'!$R$34:$R$145)</f>
        <v>0</v>
      </c>
      <c r="M80" s="200">
        <f>SUMIF('10월'!$M$34:$M$145,연간_세부항목별지출!$C80,'10월'!$R$34:$R$145)</f>
        <v>0</v>
      </c>
      <c r="N80" s="200">
        <f>SUMIF('11월'!$M$34:$M$145,연간_세부항목별지출!$C80,'11월'!$R$34:$R$145)</f>
        <v>0</v>
      </c>
      <c r="O80" s="200">
        <f>SUMIF('12월'!$M$34:$M$145,연간_세부항목별지출!$C80,'12월'!$R$34:$R$145)</f>
        <v>0</v>
      </c>
      <c r="P80" s="264">
        <f t="shared" si="2"/>
        <v>0</v>
      </c>
      <c r="Q80" s="264">
        <f t="shared" si="3"/>
        <v>0</v>
      </c>
      <c r="R80" s="307" t="str">
        <f t="shared" si="7"/>
        <v/>
      </c>
    </row>
    <row r="81" spans="2:18" ht="18" customHeight="1" thickBot="1" x14ac:dyDescent="0.35">
      <c r="B81" s="547"/>
      <c r="C81" s="317" t="str">
        <f>IF(항목!H18="","",항목!H18)</f>
        <v/>
      </c>
      <c r="D81" s="318">
        <f>SUMIF('1월'!$M$34:$M$165,연간_세부항목별지출!$C81,'1월'!$T$34:$T$165)</f>
        <v>0</v>
      </c>
      <c r="E81" s="318">
        <f>SUMIF('2월'!$M$34:$M$145,연간_세부항목별지출!$C81,'2월'!$T$34:$T$145)</f>
        <v>0</v>
      </c>
      <c r="F81" s="318">
        <f>SUMIF('3월'!$M$34:$M$145,연간_세부항목별지출!$C81,'3월'!$R$34:$R$145)</f>
        <v>0</v>
      </c>
      <c r="G81" s="318">
        <f>SUMIF('4월'!$M$34:$M$145,연간_세부항목별지출!$C81,'4월'!$R$34:$R$145)</f>
        <v>0</v>
      </c>
      <c r="H81" s="318">
        <f>SUMIF('5월'!$M$34:$M$145,연간_세부항목별지출!$C81,'5월'!$R$34:$R$145)</f>
        <v>0</v>
      </c>
      <c r="I81" s="318">
        <f>SUMIF('6월'!$M$34:$M$145,연간_세부항목별지출!$C81,'6월'!$R$34:$R$145)</f>
        <v>0</v>
      </c>
      <c r="J81" s="318">
        <f>SUMIF('7월'!$M$34:$M$145,연간_세부항목별지출!$C81,'7월'!$R$34:$R$145)</f>
        <v>0</v>
      </c>
      <c r="K81" s="318">
        <f>SUMIF('8월'!$M$34:$M$145,연간_세부항목별지출!$C81,'8월'!$R$34:$R$145)</f>
        <v>0</v>
      </c>
      <c r="L81" s="318">
        <f>SUMIF('9월'!$M$34:$M$145,연간_세부항목별지출!$C81,'9월'!$R$34:$R$145)</f>
        <v>0</v>
      </c>
      <c r="M81" s="318">
        <f>SUMIF('10월'!$M$34:$M$145,연간_세부항목별지출!$C81,'10월'!$R$34:$R$145)</f>
        <v>0</v>
      </c>
      <c r="N81" s="318">
        <f>SUMIF('11월'!$M$34:$M$145,연간_세부항목별지출!$C81,'11월'!$R$34:$R$145)</f>
        <v>0</v>
      </c>
      <c r="O81" s="318">
        <f>SUMIF('12월'!$M$34:$M$145,연간_세부항목별지출!$C81,'12월'!$R$34:$R$145)</f>
        <v>0</v>
      </c>
      <c r="P81" s="273">
        <f t="shared" si="2"/>
        <v>0</v>
      </c>
      <c r="Q81" s="273">
        <f t="shared" si="3"/>
        <v>0</v>
      </c>
      <c r="R81" s="310" t="str">
        <f t="shared" si="7"/>
        <v/>
      </c>
    </row>
    <row r="82" spans="2:18" ht="18" customHeight="1" x14ac:dyDescent="0.3">
      <c r="B82" s="545" t="str">
        <f>항목!I3</f>
        <v>의류미용비</v>
      </c>
      <c r="C82" s="316" t="str">
        <f>IF(항목!I4="","",항목!I4)</f>
        <v>의류</v>
      </c>
      <c r="D82" s="205">
        <f>SUMIF('1월'!$M$34:$M$165,연간_세부항목별지출!$C82,'1월'!$T$34:$T$165)</f>
        <v>0</v>
      </c>
      <c r="E82" s="205">
        <f>SUMIF('2월'!$M$34:$M$145,연간_세부항목별지출!$C82,'2월'!$T$34:$T$145)</f>
        <v>0</v>
      </c>
      <c r="F82" s="205">
        <f>SUMIF('3월'!$M$34:$M$145,연간_세부항목별지출!$C82,'3월'!$R$34:$R$145)</f>
        <v>0</v>
      </c>
      <c r="G82" s="205">
        <f>SUMIF('4월'!$M$34:$M$145,연간_세부항목별지출!$C82,'4월'!$R$34:$R$145)</f>
        <v>0</v>
      </c>
      <c r="H82" s="205">
        <f>SUMIF('5월'!$M$34:$M$145,연간_세부항목별지출!$C82,'5월'!$R$34:$R$145)</f>
        <v>0</v>
      </c>
      <c r="I82" s="205">
        <f>SUMIF('6월'!$M$34:$M$145,연간_세부항목별지출!$C82,'6월'!$R$34:$R$145)</f>
        <v>0</v>
      </c>
      <c r="J82" s="205">
        <f>SUMIF('7월'!$M$34:$M$145,연간_세부항목별지출!$C82,'7월'!$R$34:$R$145)</f>
        <v>0</v>
      </c>
      <c r="K82" s="205">
        <f>SUMIF('8월'!$M$34:$M$145,연간_세부항목별지출!$C82,'8월'!$R$34:$R$145)</f>
        <v>0</v>
      </c>
      <c r="L82" s="205">
        <f>SUMIF('9월'!$M$34:$M$145,연간_세부항목별지출!$C82,'9월'!$R$34:$R$145)</f>
        <v>0</v>
      </c>
      <c r="M82" s="205">
        <f>SUMIF('10월'!$M$34:$M$145,연간_세부항목별지출!$C82,'10월'!$R$34:$R$145)</f>
        <v>0</v>
      </c>
      <c r="N82" s="205">
        <f>SUMIF('11월'!$M$34:$M$145,연간_세부항목별지출!$C82,'11월'!$R$34:$R$145)</f>
        <v>0</v>
      </c>
      <c r="O82" s="205">
        <f>SUMIF('12월'!$M$34:$M$145,연간_세부항목별지출!$C82,'12월'!$R$34:$R$145)</f>
        <v>0</v>
      </c>
      <c r="P82" s="319">
        <f t="shared" si="2"/>
        <v>0</v>
      </c>
      <c r="Q82" s="319">
        <f t="shared" si="3"/>
        <v>0</v>
      </c>
      <c r="R82" s="320" t="str">
        <f t="shared" si="7"/>
        <v/>
      </c>
    </row>
    <row r="83" spans="2:18" ht="18" customHeight="1" x14ac:dyDescent="0.3">
      <c r="B83" s="546"/>
      <c r="C83" s="271" t="str">
        <f>IF(항목!I5="","",항목!I5)</f>
        <v>패션잡화</v>
      </c>
      <c r="D83" s="200">
        <f>SUMIF('1월'!$M$34:$M$165,연간_세부항목별지출!$C83,'1월'!$T$34:$T$165)</f>
        <v>0</v>
      </c>
      <c r="E83" s="200">
        <f>SUMIF('2월'!$M$34:$M$145,연간_세부항목별지출!$C83,'2월'!$T$34:$T$145)</f>
        <v>0</v>
      </c>
      <c r="F83" s="200">
        <f>SUMIF('3월'!$M$34:$M$145,연간_세부항목별지출!$C83,'3월'!$R$34:$R$145)</f>
        <v>0</v>
      </c>
      <c r="G83" s="200">
        <f>SUMIF('4월'!$M$34:$M$145,연간_세부항목별지출!$C83,'4월'!$R$34:$R$145)</f>
        <v>0</v>
      </c>
      <c r="H83" s="200">
        <f>SUMIF('5월'!$M$34:$M$145,연간_세부항목별지출!$C83,'5월'!$R$34:$R$145)</f>
        <v>0</v>
      </c>
      <c r="I83" s="200">
        <f>SUMIF('6월'!$M$34:$M$145,연간_세부항목별지출!$C83,'6월'!$R$34:$R$145)</f>
        <v>0</v>
      </c>
      <c r="J83" s="200">
        <f>SUMIF('7월'!$M$34:$M$145,연간_세부항목별지출!$C83,'7월'!$R$34:$R$145)</f>
        <v>0</v>
      </c>
      <c r="K83" s="200">
        <f>SUMIF('8월'!$M$34:$M$145,연간_세부항목별지출!$C83,'8월'!$R$34:$R$145)</f>
        <v>0</v>
      </c>
      <c r="L83" s="200">
        <f>SUMIF('9월'!$M$34:$M$145,연간_세부항목별지출!$C83,'9월'!$R$34:$R$145)</f>
        <v>0</v>
      </c>
      <c r="M83" s="200">
        <f>SUMIF('10월'!$M$34:$M$145,연간_세부항목별지출!$C83,'10월'!$R$34:$R$145)</f>
        <v>0</v>
      </c>
      <c r="N83" s="200">
        <f>SUMIF('11월'!$M$34:$M$145,연간_세부항목별지출!$C83,'11월'!$R$34:$R$145)</f>
        <v>0</v>
      </c>
      <c r="O83" s="200">
        <f>SUMIF('12월'!$M$34:$M$145,연간_세부항목별지출!$C83,'12월'!$R$34:$R$145)</f>
        <v>0</v>
      </c>
      <c r="P83" s="264">
        <f t="shared" si="2"/>
        <v>0</v>
      </c>
      <c r="Q83" s="264">
        <f t="shared" si="3"/>
        <v>0</v>
      </c>
      <c r="R83" s="307" t="str">
        <f t="shared" si="7"/>
        <v/>
      </c>
    </row>
    <row r="84" spans="2:18" ht="18" customHeight="1" x14ac:dyDescent="0.3">
      <c r="B84" s="546"/>
      <c r="C84" s="271" t="str">
        <f>IF(항목!I6="","",항목!I6)</f>
        <v>세탁비</v>
      </c>
      <c r="D84" s="200">
        <f>SUMIF('1월'!$M$34:$M$165,연간_세부항목별지출!$C84,'1월'!$T$34:$T$165)</f>
        <v>0</v>
      </c>
      <c r="E84" s="200">
        <f>SUMIF('2월'!$M$34:$M$145,연간_세부항목별지출!$C84,'2월'!$T$34:$T$145)</f>
        <v>0</v>
      </c>
      <c r="F84" s="200">
        <f>SUMIF('3월'!$M$34:$M$145,연간_세부항목별지출!$C84,'3월'!$R$34:$R$145)</f>
        <v>0</v>
      </c>
      <c r="G84" s="200">
        <f>SUMIF('4월'!$M$34:$M$145,연간_세부항목별지출!$C84,'4월'!$R$34:$R$145)</f>
        <v>0</v>
      </c>
      <c r="H84" s="200">
        <f>SUMIF('5월'!$M$34:$M$145,연간_세부항목별지출!$C84,'5월'!$R$34:$R$145)</f>
        <v>0</v>
      </c>
      <c r="I84" s="200">
        <f>SUMIF('6월'!$M$34:$M$145,연간_세부항목별지출!$C84,'6월'!$R$34:$R$145)</f>
        <v>0</v>
      </c>
      <c r="J84" s="200">
        <f>SUMIF('7월'!$M$34:$M$145,연간_세부항목별지출!$C84,'7월'!$R$34:$R$145)</f>
        <v>0</v>
      </c>
      <c r="K84" s="200">
        <f>SUMIF('8월'!$M$34:$M$145,연간_세부항목별지출!$C84,'8월'!$R$34:$R$145)</f>
        <v>0</v>
      </c>
      <c r="L84" s="200">
        <f>SUMIF('9월'!$M$34:$M$145,연간_세부항목별지출!$C84,'9월'!$R$34:$R$145)</f>
        <v>0</v>
      </c>
      <c r="M84" s="200">
        <f>SUMIF('10월'!$M$34:$M$145,연간_세부항목별지출!$C84,'10월'!$R$34:$R$145)</f>
        <v>0</v>
      </c>
      <c r="N84" s="200">
        <f>SUMIF('11월'!$M$34:$M$145,연간_세부항목별지출!$C84,'11월'!$R$34:$R$145)</f>
        <v>0</v>
      </c>
      <c r="O84" s="200">
        <f>SUMIF('12월'!$M$34:$M$145,연간_세부항목별지출!$C84,'12월'!$R$34:$R$145)</f>
        <v>0</v>
      </c>
      <c r="P84" s="264">
        <f t="shared" si="2"/>
        <v>0</v>
      </c>
      <c r="Q84" s="264">
        <f t="shared" si="3"/>
        <v>0</v>
      </c>
      <c r="R84" s="307" t="str">
        <f t="shared" si="7"/>
        <v/>
      </c>
    </row>
    <row r="85" spans="2:18" ht="18" customHeight="1" x14ac:dyDescent="0.3">
      <c r="B85" s="546"/>
      <c r="C85" s="271" t="str">
        <f>IF(항목!I7="","",항목!I7)</f>
        <v>기타 의류</v>
      </c>
      <c r="D85" s="200">
        <f>SUMIF('1월'!$M$34:$M$165,연간_세부항목별지출!$C85,'1월'!$T$34:$T$165)</f>
        <v>0</v>
      </c>
      <c r="E85" s="200">
        <f>SUMIF('2월'!$M$34:$M$145,연간_세부항목별지출!$C85,'2월'!$T$34:$T$145)</f>
        <v>0</v>
      </c>
      <c r="F85" s="200">
        <f>SUMIF('3월'!$M$34:$M$145,연간_세부항목별지출!$C85,'3월'!$R$34:$R$145)</f>
        <v>0</v>
      </c>
      <c r="G85" s="200">
        <f>SUMIF('4월'!$M$34:$M$145,연간_세부항목별지출!$C85,'4월'!$R$34:$R$145)</f>
        <v>0</v>
      </c>
      <c r="H85" s="200">
        <f>SUMIF('5월'!$M$34:$M$145,연간_세부항목별지출!$C85,'5월'!$R$34:$R$145)</f>
        <v>0</v>
      </c>
      <c r="I85" s="200">
        <f>SUMIF('6월'!$M$34:$M$145,연간_세부항목별지출!$C85,'6월'!$R$34:$R$145)</f>
        <v>0</v>
      </c>
      <c r="J85" s="200">
        <f>SUMIF('7월'!$M$34:$M$145,연간_세부항목별지출!$C85,'7월'!$R$34:$R$145)</f>
        <v>0</v>
      </c>
      <c r="K85" s="200">
        <f>SUMIF('8월'!$M$34:$M$145,연간_세부항목별지출!$C85,'8월'!$R$34:$R$145)</f>
        <v>0</v>
      </c>
      <c r="L85" s="200">
        <f>SUMIF('9월'!$M$34:$M$145,연간_세부항목별지출!$C85,'9월'!$R$34:$R$145)</f>
        <v>0</v>
      </c>
      <c r="M85" s="200">
        <f>SUMIF('10월'!$M$34:$M$145,연간_세부항목별지출!$C85,'10월'!$R$34:$R$145)</f>
        <v>0</v>
      </c>
      <c r="N85" s="200">
        <f>SUMIF('11월'!$M$34:$M$145,연간_세부항목별지출!$C85,'11월'!$R$34:$R$145)</f>
        <v>0</v>
      </c>
      <c r="O85" s="200">
        <f>SUMIF('12월'!$M$34:$M$145,연간_세부항목별지출!$C85,'12월'!$R$34:$R$145)</f>
        <v>0</v>
      </c>
      <c r="P85" s="264">
        <f t="shared" si="2"/>
        <v>0</v>
      </c>
      <c r="Q85" s="264">
        <f t="shared" si="3"/>
        <v>0</v>
      </c>
      <c r="R85" s="307" t="str">
        <f t="shared" si="7"/>
        <v/>
      </c>
    </row>
    <row r="86" spans="2:18" ht="18" customHeight="1" x14ac:dyDescent="0.3">
      <c r="B86" s="546"/>
      <c r="C86" s="271" t="str">
        <f>IF(항목!I8="","",항목!I8)</f>
        <v>화장품</v>
      </c>
      <c r="D86" s="200">
        <f>SUMIF('1월'!$M$34:$M$165,연간_세부항목별지출!$C86,'1월'!$T$34:$T$165)</f>
        <v>0</v>
      </c>
      <c r="E86" s="200">
        <f>SUMIF('2월'!$M$34:$M$145,연간_세부항목별지출!$C86,'2월'!$T$34:$T$145)</f>
        <v>0</v>
      </c>
      <c r="F86" s="200">
        <f>SUMIF('3월'!$M$34:$M$145,연간_세부항목별지출!$C86,'3월'!$R$34:$R$145)</f>
        <v>0</v>
      </c>
      <c r="G86" s="200">
        <f>SUMIF('4월'!$M$34:$M$145,연간_세부항목별지출!$C86,'4월'!$R$34:$R$145)</f>
        <v>0</v>
      </c>
      <c r="H86" s="200">
        <f>SUMIF('5월'!$M$34:$M$145,연간_세부항목별지출!$C86,'5월'!$R$34:$R$145)</f>
        <v>0</v>
      </c>
      <c r="I86" s="200">
        <f>SUMIF('6월'!$M$34:$M$145,연간_세부항목별지출!$C86,'6월'!$R$34:$R$145)</f>
        <v>0</v>
      </c>
      <c r="J86" s="200">
        <f>SUMIF('7월'!$M$34:$M$145,연간_세부항목별지출!$C86,'7월'!$R$34:$R$145)</f>
        <v>0</v>
      </c>
      <c r="K86" s="200">
        <f>SUMIF('8월'!$M$34:$M$145,연간_세부항목별지출!$C86,'8월'!$R$34:$R$145)</f>
        <v>0</v>
      </c>
      <c r="L86" s="200">
        <f>SUMIF('9월'!$M$34:$M$145,연간_세부항목별지출!$C86,'9월'!$R$34:$R$145)</f>
        <v>0</v>
      </c>
      <c r="M86" s="200">
        <f>SUMIF('10월'!$M$34:$M$145,연간_세부항목별지출!$C86,'10월'!$R$34:$R$145)</f>
        <v>0</v>
      </c>
      <c r="N86" s="200">
        <f>SUMIF('11월'!$M$34:$M$145,연간_세부항목별지출!$C86,'11월'!$R$34:$R$145)</f>
        <v>0</v>
      </c>
      <c r="O86" s="200">
        <f>SUMIF('12월'!$M$34:$M$145,연간_세부항목별지출!$C86,'12월'!$R$34:$R$145)</f>
        <v>0</v>
      </c>
      <c r="P86" s="264">
        <f t="shared" si="2"/>
        <v>0</v>
      </c>
      <c r="Q86" s="264">
        <f t="shared" si="3"/>
        <v>0</v>
      </c>
      <c r="R86" s="307" t="str">
        <f t="shared" si="7"/>
        <v/>
      </c>
    </row>
    <row r="87" spans="2:18" ht="18" customHeight="1" x14ac:dyDescent="0.3">
      <c r="B87" s="546"/>
      <c r="C87" s="271" t="str">
        <f>IF(항목!I9="","",항목!I9)</f>
        <v>미용실</v>
      </c>
      <c r="D87" s="200">
        <f>SUMIF('1월'!$M$34:$M$165,연간_세부항목별지출!$C87,'1월'!$T$34:$T$165)</f>
        <v>0</v>
      </c>
      <c r="E87" s="200">
        <f>SUMIF('2월'!$M$34:$M$145,연간_세부항목별지출!$C87,'2월'!$T$34:$T$145)</f>
        <v>0</v>
      </c>
      <c r="F87" s="200">
        <f>SUMIF('3월'!$M$34:$M$145,연간_세부항목별지출!$C87,'3월'!$R$34:$R$145)</f>
        <v>0</v>
      </c>
      <c r="G87" s="200">
        <f>SUMIF('4월'!$M$34:$M$145,연간_세부항목별지출!$C87,'4월'!$R$34:$R$145)</f>
        <v>0</v>
      </c>
      <c r="H87" s="200">
        <f>SUMIF('5월'!$M$34:$M$145,연간_세부항목별지출!$C87,'5월'!$R$34:$R$145)</f>
        <v>0</v>
      </c>
      <c r="I87" s="200">
        <f>SUMIF('6월'!$M$34:$M$145,연간_세부항목별지출!$C87,'6월'!$R$34:$R$145)</f>
        <v>0</v>
      </c>
      <c r="J87" s="200">
        <f>SUMIF('7월'!$M$34:$M$145,연간_세부항목별지출!$C87,'7월'!$R$34:$R$145)</f>
        <v>0</v>
      </c>
      <c r="K87" s="200">
        <f>SUMIF('8월'!$M$34:$M$145,연간_세부항목별지출!$C87,'8월'!$R$34:$R$145)</f>
        <v>0</v>
      </c>
      <c r="L87" s="200">
        <f>SUMIF('9월'!$M$34:$M$145,연간_세부항목별지출!$C87,'9월'!$R$34:$R$145)</f>
        <v>0</v>
      </c>
      <c r="M87" s="200">
        <f>SUMIF('10월'!$M$34:$M$145,연간_세부항목별지출!$C87,'10월'!$R$34:$R$145)</f>
        <v>0</v>
      </c>
      <c r="N87" s="200">
        <f>SUMIF('11월'!$M$34:$M$145,연간_세부항목별지출!$C87,'11월'!$R$34:$R$145)</f>
        <v>0</v>
      </c>
      <c r="O87" s="200">
        <f>SUMIF('12월'!$M$34:$M$145,연간_세부항목별지출!$C87,'12월'!$R$34:$R$145)</f>
        <v>0</v>
      </c>
      <c r="P87" s="264">
        <f t="shared" si="2"/>
        <v>0</v>
      </c>
      <c r="Q87" s="264">
        <f t="shared" si="3"/>
        <v>0</v>
      </c>
      <c r="R87" s="307" t="str">
        <f t="shared" ref="R87:R150" si="8">IF(P87&gt;0,P87/$P$21,"")</f>
        <v/>
      </c>
    </row>
    <row r="88" spans="2:18" ht="18" customHeight="1" x14ac:dyDescent="0.3">
      <c r="B88" s="546"/>
      <c r="C88" s="271" t="str">
        <f>IF(항목!I10="","",항목!I10)</f>
        <v>기타 미용</v>
      </c>
      <c r="D88" s="200">
        <f>SUMIF('1월'!$M$34:$M$165,연간_세부항목별지출!$C88,'1월'!$T$34:$T$165)</f>
        <v>0</v>
      </c>
      <c r="E88" s="200">
        <f>SUMIF('2월'!$M$34:$M$145,연간_세부항목별지출!$C88,'2월'!$T$34:$T$145)</f>
        <v>0</v>
      </c>
      <c r="F88" s="200">
        <f>SUMIF('3월'!$M$34:$M$145,연간_세부항목별지출!$C88,'3월'!$R$34:$R$145)</f>
        <v>0</v>
      </c>
      <c r="G88" s="200">
        <f>SUMIF('4월'!$M$34:$M$145,연간_세부항목별지출!$C88,'4월'!$R$34:$R$145)</f>
        <v>0</v>
      </c>
      <c r="H88" s="200">
        <f>SUMIF('5월'!$M$34:$M$145,연간_세부항목별지출!$C88,'5월'!$R$34:$R$145)</f>
        <v>0</v>
      </c>
      <c r="I88" s="200">
        <f>SUMIF('6월'!$M$34:$M$145,연간_세부항목별지출!$C88,'6월'!$R$34:$R$145)</f>
        <v>0</v>
      </c>
      <c r="J88" s="200">
        <f>SUMIF('7월'!$M$34:$M$145,연간_세부항목별지출!$C88,'7월'!$R$34:$R$145)</f>
        <v>0</v>
      </c>
      <c r="K88" s="200">
        <f>SUMIF('8월'!$M$34:$M$145,연간_세부항목별지출!$C88,'8월'!$R$34:$R$145)</f>
        <v>0</v>
      </c>
      <c r="L88" s="200">
        <f>SUMIF('9월'!$M$34:$M$145,연간_세부항목별지출!$C88,'9월'!$R$34:$R$145)</f>
        <v>0</v>
      </c>
      <c r="M88" s="200">
        <f>SUMIF('10월'!$M$34:$M$145,연간_세부항목별지출!$C88,'10월'!$R$34:$R$145)</f>
        <v>0</v>
      </c>
      <c r="N88" s="200">
        <f>SUMIF('11월'!$M$34:$M$145,연간_세부항목별지출!$C88,'11월'!$R$34:$R$145)</f>
        <v>0</v>
      </c>
      <c r="O88" s="200">
        <f>SUMIF('12월'!$M$34:$M$145,연간_세부항목별지출!$C88,'12월'!$R$34:$R$145)</f>
        <v>0</v>
      </c>
      <c r="P88" s="264">
        <f t="shared" si="2"/>
        <v>0</v>
      </c>
      <c r="Q88" s="264">
        <f t="shared" si="3"/>
        <v>0</v>
      </c>
      <c r="R88" s="307" t="str">
        <f t="shared" si="8"/>
        <v/>
      </c>
    </row>
    <row r="89" spans="2:18" ht="18" customHeight="1" x14ac:dyDescent="0.3">
      <c r="B89" s="546"/>
      <c r="C89" s="271" t="str">
        <f>IF(항목!I11="","",항목!I11)</f>
        <v/>
      </c>
      <c r="D89" s="200">
        <f>SUMIF('1월'!$M$34:$M$165,연간_세부항목별지출!$C89,'1월'!$T$34:$T$165)</f>
        <v>0</v>
      </c>
      <c r="E89" s="200">
        <f>SUMIF('2월'!$M$34:$M$145,연간_세부항목별지출!$C89,'2월'!$T$34:$T$145)</f>
        <v>0</v>
      </c>
      <c r="F89" s="200">
        <f>SUMIF('3월'!$M$34:$M$145,연간_세부항목별지출!$C89,'3월'!$R$34:$R$145)</f>
        <v>0</v>
      </c>
      <c r="G89" s="200">
        <f>SUMIF('4월'!$M$34:$M$145,연간_세부항목별지출!$C89,'4월'!$R$34:$R$145)</f>
        <v>0</v>
      </c>
      <c r="H89" s="200">
        <f>SUMIF('5월'!$M$34:$M$145,연간_세부항목별지출!$C89,'5월'!$R$34:$R$145)</f>
        <v>0</v>
      </c>
      <c r="I89" s="200">
        <f>SUMIF('6월'!$M$34:$M$145,연간_세부항목별지출!$C89,'6월'!$R$34:$R$145)</f>
        <v>0</v>
      </c>
      <c r="J89" s="200">
        <f>SUMIF('7월'!$M$34:$M$145,연간_세부항목별지출!$C89,'7월'!$R$34:$R$145)</f>
        <v>0</v>
      </c>
      <c r="K89" s="200">
        <f>SUMIF('8월'!$M$34:$M$145,연간_세부항목별지출!$C89,'8월'!$R$34:$R$145)</f>
        <v>0</v>
      </c>
      <c r="L89" s="200">
        <f>SUMIF('9월'!$M$34:$M$145,연간_세부항목별지출!$C89,'9월'!$R$34:$R$145)</f>
        <v>0</v>
      </c>
      <c r="M89" s="200">
        <f>SUMIF('10월'!$M$34:$M$145,연간_세부항목별지출!$C89,'10월'!$R$34:$R$145)</f>
        <v>0</v>
      </c>
      <c r="N89" s="200">
        <f>SUMIF('11월'!$M$34:$M$145,연간_세부항목별지출!$C89,'11월'!$R$34:$R$145)</f>
        <v>0</v>
      </c>
      <c r="O89" s="200">
        <f>SUMIF('12월'!$M$34:$M$145,연간_세부항목별지출!$C89,'12월'!$R$34:$R$145)</f>
        <v>0</v>
      </c>
      <c r="P89" s="264">
        <f t="shared" si="2"/>
        <v>0</v>
      </c>
      <c r="Q89" s="264">
        <f t="shared" si="3"/>
        <v>0</v>
      </c>
      <c r="R89" s="307" t="str">
        <f t="shared" si="8"/>
        <v/>
      </c>
    </row>
    <row r="90" spans="2:18" ht="18" customHeight="1" x14ac:dyDescent="0.3">
      <c r="B90" s="546"/>
      <c r="C90" s="271" t="str">
        <f>IF(항목!I12="","",항목!I12)</f>
        <v/>
      </c>
      <c r="D90" s="200">
        <f>SUMIF('1월'!$M$34:$M$165,연간_세부항목별지출!$C90,'1월'!$T$34:$T$165)</f>
        <v>0</v>
      </c>
      <c r="E90" s="200">
        <f>SUMIF('2월'!$M$34:$M$145,연간_세부항목별지출!$C90,'2월'!$T$34:$T$145)</f>
        <v>0</v>
      </c>
      <c r="F90" s="200">
        <f>SUMIF('3월'!$M$34:$M$145,연간_세부항목별지출!$C90,'3월'!$R$34:$R$145)</f>
        <v>0</v>
      </c>
      <c r="G90" s="200">
        <f>SUMIF('4월'!$M$34:$M$145,연간_세부항목별지출!$C90,'4월'!$R$34:$R$145)</f>
        <v>0</v>
      </c>
      <c r="H90" s="200">
        <f>SUMIF('5월'!$M$34:$M$145,연간_세부항목별지출!$C90,'5월'!$R$34:$R$145)</f>
        <v>0</v>
      </c>
      <c r="I90" s="200">
        <f>SUMIF('6월'!$M$34:$M$145,연간_세부항목별지출!$C90,'6월'!$R$34:$R$145)</f>
        <v>0</v>
      </c>
      <c r="J90" s="200">
        <f>SUMIF('7월'!$M$34:$M$145,연간_세부항목별지출!$C90,'7월'!$R$34:$R$145)</f>
        <v>0</v>
      </c>
      <c r="K90" s="200">
        <f>SUMIF('8월'!$M$34:$M$145,연간_세부항목별지출!$C90,'8월'!$R$34:$R$145)</f>
        <v>0</v>
      </c>
      <c r="L90" s="200">
        <f>SUMIF('9월'!$M$34:$M$145,연간_세부항목별지출!$C90,'9월'!$R$34:$R$145)</f>
        <v>0</v>
      </c>
      <c r="M90" s="200">
        <f>SUMIF('10월'!$M$34:$M$145,연간_세부항목별지출!$C90,'10월'!$R$34:$R$145)</f>
        <v>0</v>
      </c>
      <c r="N90" s="200">
        <f>SUMIF('11월'!$M$34:$M$145,연간_세부항목별지출!$C90,'11월'!$R$34:$R$145)</f>
        <v>0</v>
      </c>
      <c r="O90" s="200">
        <f>SUMIF('12월'!$M$34:$M$145,연간_세부항목별지출!$C90,'12월'!$R$34:$R$145)</f>
        <v>0</v>
      </c>
      <c r="P90" s="264">
        <f t="shared" si="2"/>
        <v>0</v>
      </c>
      <c r="Q90" s="264">
        <f t="shared" si="3"/>
        <v>0</v>
      </c>
      <c r="R90" s="307" t="str">
        <f t="shared" si="8"/>
        <v/>
      </c>
    </row>
    <row r="91" spans="2:18" ht="18" customHeight="1" x14ac:dyDescent="0.3">
      <c r="B91" s="546"/>
      <c r="C91" s="271" t="str">
        <f>IF(항목!I13="","",항목!I13)</f>
        <v/>
      </c>
      <c r="D91" s="200">
        <f>SUMIF('1월'!$M$34:$M$165,연간_세부항목별지출!$C91,'1월'!$T$34:$T$165)</f>
        <v>0</v>
      </c>
      <c r="E91" s="200">
        <f>SUMIF('2월'!$M$34:$M$145,연간_세부항목별지출!$C91,'2월'!$T$34:$T$145)</f>
        <v>0</v>
      </c>
      <c r="F91" s="200">
        <f>SUMIF('3월'!$M$34:$M$145,연간_세부항목별지출!$C91,'3월'!$R$34:$R$145)</f>
        <v>0</v>
      </c>
      <c r="G91" s="200">
        <f>SUMIF('4월'!$M$34:$M$145,연간_세부항목별지출!$C91,'4월'!$R$34:$R$145)</f>
        <v>0</v>
      </c>
      <c r="H91" s="200">
        <f>SUMIF('5월'!$M$34:$M$145,연간_세부항목별지출!$C91,'5월'!$R$34:$R$145)</f>
        <v>0</v>
      </c>
      <c r="I91" s="200">
        <f>SUMIF('6월'!$M$34:$M$145,연간_세부항목별지출!$C91,'6월'!$R$34:$R$145)</f>
        <v>0</v>
      </c>
      <c r="J91" s="200">
        <f>SUMIF('7월'!$M$34:$M$145,연간_세부항목별지출!$C91,'7월'!$R$34:$R$145)</f>
        <v>0</v>
      </c>
      <c r="K91" s="200">
        <f>SUMIF('8월'!$M$34:$M$145,연간_세부항목별지출!$C91,'8월'!$R$34:$R$145)</f>
        <v>0</v>
      </c>
      <c r="L91" s="200">
        <f>SUMIF('9월'!$M$34:$M$145,연간_세부항목별지출!$C91,'9월'!$R$34:$R$145)</f>
        <v>0</v>
      </c>
      <c r="M91" s="200">
        <f>SUMIF('10월'!$M$34:$M$145,연간_세부항목별지출!$C91,'10월'!$R$34:$R$145)</f>
        <v>0</v>
      </c>
      <c r="N91" s="200">
        <f>SUMIF('11월'!$M$34:$M$145,연간_세부항목별지출!$C91,'11월'!$R$34:$R$145)</f>
        <v>0</v>
      </c>
      <c r="O91" s="200">
        <f>SUMIF('12월'!$M$34:$M$145,연간_세부항목별지출!$C91,'12월'!$R$34:$R$145)</f>
        <v>0</v>
      </c>
      <c r="P91" s="264">
        <f t="shared" si="2"/>
        <v>0</v>
      </c>
      <c r="Q91" s="264">
        <f t="shared" si="3"/>
        <v>0</v>
      </c>
      <c r="R91" s="307" t="str">
        <f t="shared" si="8"/>
        <v/>
      </c>
    </row>
    <row r="92" spans="2:18" ht="18" customHeight="1" x14ac:dyDescent="0.3">
      <c r="B92" s="546"/>
      <c r="C92" s="271" t="str">
        <f>IF(항목!I14="","",항목!I14)</f>
        <v/>
      </c>
      <c r="D92" s="200">
        <f>SUMIF('1월'!$M$34:$M$165,연간_세부항목별지출!$C92,'1월'!$T$34:$T$165)</f>
        <v>0</v>
      </c>
      <c r="E92" s="200">
        <f>SUMIF('2월'!$M$34:$M$145,연간_세부항목별지출!$C92,'2월'!$T$34:$T$145)</f>
        <v>0</v>
      </c>
      <c r="F92" s="200">
        <f>SUMIF('3월'!$M$34:$M$145,연간_세부항목별지출!$C92,'3월'!$R$34:$R$145)</f>
        <v>0</v>
      </c>
      <c r="G92" s="200">
        <f>SUMIF('4월'!$M$34:$M$145,연간_세부항목별지출!$C92,'4월'!$R$34:$R$145)</f>
        <v>0</v>
      </c>
      <c r="H92" s="200">
        <f>SUMIF('5월'!$M$34:$M$145,연간_세부항목별지출!$C92,'5월'!$R$34:$R$145)</f>
        <v>0</v>
      </c>
      <c r="I92" s="200">
        <f>SUMIF('6월'!$M$34:$M$145,연간_세부항목별지출!$C92,'6월'!$R$34:$R$145)</f>
        <v>0</v>
      </c>
      <c r="J92" s="200">
        <f>SUMIF('7월'!$M$34:$M$145,연간_세부항목별지출!$C92,'7월'!$R$34:$R$145)</f>
        <v>0</v>
      </c>
      <c r="K92" s="200">
        <f>SUMIF('8월'!$M$34:$M$145,연간_세부항목별지출!$C92,'8월'!$R$34:$R$145)</f>
        <v>0</v>
      </c>
      <c r="L92" s="200">
        <f>SUMIF('9월'!$M$34:$M$145,연간_세부항목별지출!$C92,'9월'!$R$34:$R$145)</f>
        <v>0</v>
      </c>
      <c r="M92" s="200">
        <f>SUMIF('10월'!$M$34:$M$145,연간_세부항목별지출!$C92,'10월'!$R$34:$R$145)</f>
        <v>0</v>
      </c>
      <c r="N92" s="200">
        <f>SUMIF('11월'!$M$34:$M$145,연간_세부항목별지출!$C92,'11월'!$R$34:$R$145)</f>
        <v>0</v>
      </c>
      <c r="O92" s="200">
        <f>SUMIF('12월'!$M$34:$M$145,연간_세부항목별지출!$C92,'12월'!$R$34:$R$145)</f>
        <v>0</v>
      </c>
      <c r="P92" s="264">
        <f t="shared" si="2"/>
        <v>0</v>
      </c>
      <c r="Q92" s="264">
        <f t="shared" si="3"/>
        <v>0</v>
      </c>
      <c r="R92" s="307" t="str">
        <f t="shared" si="8"/>
        <v/>
      </c>
    </row>
    <row r="93" spans="2:18" ht="18" customHeight="1" x14ac:dyDescent="0.3">
      <c r="B93" s="546"/>
      <c r="C93" s="271" t="str">
        <f>IF(항목!I15="","",항목!I15)</f>
        <v/>
      </c>
      <c r="D93" s="200">
        <f>SUMIF('1월'!$M$34:$M$165,연간_세부항목별지출!$C93,'1월'!$T$34:$T$165)</f>
        <v>0</v>
      </c>
      <c r="E93" s="200">
        <f>SUMIF('2월'!$M$34:$M$145,연간_세부항목별지출!$C93,'2월'!$T$34:$T$145)</f>
        <v>0</v>
      </c>
      <c r="F93" s="200">
        <f>SUMIF('3월'!$M$34:$M$145,연간_세부항목별지출!$C93,'3월'!$R$34:$R$145)</f>
        <v>0</v>
      </c>
      <c r="G93" s="200">
        <f>SUMIF('4월'!$M$34:$M$145,연간_세부항목별지출!$C93,'4월'!$R$34:$R$145)</f>
        <v>0</v>
      </c>
      <c r="H93" s="200">
        <f>SUMIF('5월'!$M$34:$M$145,연간_세부항목별지출!$C93,'5월'!$R$34:$R$145)</f>
        <v>0</v>
      </c>
      <c r="I93" s="200">
        <f>SUMIF('6월'!$M$34:$M$145,연간_세부항목별지출!$C93,'6월'!$R$34:$R$145)</f>
        <v>0</v>
      </c>
      <c r="J93" s="200">
        <f>SUMIF('7월'!$M$34:$M$145,연간_세부항목별지출!$C93,'7월'!$R$34:$R$145)</f>
        <v>0</v>
      </c>
      <c r="K93" s="200">
        <f>SUMIF('8월'!$M$34:$M$145,연간_세부항목별지출!$C93,'8월'!$R$34:$R$145)</f>
        <v>0</v>
      </c>
      <c r="L93" s="200">
        <f>SUMIF('9월'!$M$34:$M$145,연간_세부항목별지출!$C93,'9월'!$R$34:$R$145)</f>
        <v>0</v>
      </c>
      <c r="M93" s="200">
        <f>SUMIF('10월'!$M$34:$M$145,연간_세부항목별지출!$C93,'10월'!$R$34:$R$145)</f>
        <v>0</v>
      </c>
      <c r="N93" s="200">
        <f>SUMIF('11월'!$M$34:$M$145,연간_세부항목별지출!$C93,'11월'!$R$34:$R$145)</f>
        <v>0</v>
      </c>
      <c r="O93" s="200">
        <f>SUMIF('12월'!$M$34:$M$145,연간_세부항목별지출!$C93,'12월'!$R$34:$R$145)</f>
        <v>0</v>
      </c>
      <c r="P93" s="264">
        <f t="shared" si="2"/>
        <v>0</v>
      </c>
      <c r="Q93" s="264">
        <f t="shared" si="3"/>
        <v>0</v>
      </c>
      <c r="R93" s="307" t="str">
        <f t="shared" si="8"/>
        <v/>
      </c>
    </row>
    <row r="94" spans="2:18" ht="18" customHeight="1" x14ac:dyDescent="0.3">
      <c r="B94" s="546"/>
      <c r="C94" s="271" t="str">
        <f>IF(항목!I16="","",항목!I16)</f>
        <v/>
      </c>
      <c r="D94" s="200">
        <f>SUMIF('1월'!$M$34:$M$165,연간_세부항목별지출!$C94,'1월'!$T$34:$T$165)</f>
        <v>0</v>
      </c>
      <c r="E94" s="200">
        <f>SUMIF('2월'!$M$34:$M$145,연간_세부항목별지출!$C94,'2월'!$T$34:$T$145)</f>
        <v>0</v>
      </c>
      <c r="F94" s="200">
        <f>SUMIF('3월'!$M$34:$M$145,연간_세부항목별지출!$C94,'3월'!$R$34:$R$145)</f>
        <v>0</v>
      </c>
      <c r="G94" s="200">
        <f>SUMIF('4월'!$M$34:$M$145,연간_세부항목별지출!$C94,'4월'!$R$34:$R$145)</f>
        <v>0</v>
      </c>
      <c r="H94" s="200">
        <f>SUMIF('5월'!$M$34:$M$145,연간_세부항목별지출!$C94,'5월'!$R$34:$R$145)</f>
        <v>0</v>
      </c>
      <c r="I94" s="200">
        <f>SUMIF('6월'!$M$34:$M$145,연간_세부항목별지출!$C94,'6월'!$R$34:$R$145)</f>
        <v>0</v>
      </c>
      <c r="J94" s="200">
        <f>SUMIF('7월'!$M$34:$M$145,연간_세부항목별지출!$C94,'7월'!$R$34:$R$145)</f>
        <v>0</v>
      </c>
      <c r="K94" s="200">
        <f>SUMIF('8월'!$M$34:$M$145,연간_세부항목별지출!$C94,'8월'!$R$34:$R$145)</f>
        <v>0</v>
      </c>
      <c r="L94" s="200">
        <f>SUMIF('9월'!$M$34:$M$145,연간_세부항목별지출!$C94,'9월'!$R$34:$R$145)</f>
        <v>0</v>
      </c>
      <c r="M94" s="200">
        <f>SUMIF('10월'!$M$34:$M$145,연간_세부항목별지출!$C94,'10월'!$R$34:$R$145)</f>
        <v>0</v>
      </c>
      <c r="N94" s="200">
        <f>SUMIF('11월'!$M$34:$M$145,연간_세부항목별지출!$C94,'11월'!$R$34:$R$145)</f>
        <v>0</v>
      </c>
      <c r="O94" s="200">
        <f>SUMIF('12월'!$M$34:$M$145,연간_세부항목별지출!$C94,'12월'!$R$34:$R$145)</f>
        <v>0</v>
      </c>
      <c r="P94" s="264">
        <f t="shared" si="2"/>
        <v>0</v>
      </c>
      <c r="Q94" s="264">
        <f t="shared" si="3"/>
        <v>0</v>
      </c>
      <c r="R94" s="307" t="str">
        <f t="shared" si="8"/>
        <v/>
      </c>
    </row>
    <row r="95" spans="2:18" ht="18" customHeight="1" x14ac:dyDescent="0.3">
      <c r="B95" s="546"/>
      <c r="C95" s="271" t="str">
        <f>IF(항목!I17="","",항목!I17)</f>
        <v/>
      </c>
      <c r="D95" s="200">
        <f>SUMIF('1월'!$M$34:$M$165,연간_세부항목별지출!$C95,'1월'!$T$34:$T$165)</f>
        <v>0</v>
      </c>
      <c r="E95" s="200">
        <f>SUMIF('2월'!$M$34:$M$145,연간_세부항목별지출!$C95,'2월'!$T$34:$T$145)</f>
        <v>0</v>
      </c>
      <c r="F95" s="200">
        <f>SUMIF('3월'!$M$34:$M$145,연간_세부항목별지출!$C95,'3월'!$R$34:$R$145)</f>
        <v>0</v>
      </c>
      <c r="G95" s="200">
        <f>SUMIF('4월'!$M$34:$M$145,연간_세부항목별지출!$C95,'4월'!$R$34:$R$145)</f>
        <v>0</v>
      </c>
      <c r="H95" s="200">
        <f>SUMIF('5월'!$M$34:$M$145,연간_세부항목별지출!$C95,'5월'!$R$34:$R$145)</f>
        <v>0</v>
      </c>
      <c r="I95" s="200">
        <f>SUMIF('6월'!$M$34:$M$145,연간_세부항목별지출!$C95,'6월'!$R$34:$R$145)</f>
        <v>0</v>
      </c>
      <c r="J95" s="200">
        <f>SUMIF('7월'!$M$34:$M$145,연간_세부항목별지출!$C95,'7월'!$R$34:$R$145)</f>
        <v>0</v>
      </c>
      <c r="K95" s="200">
        <f>SUMIF('8월'!$M$34:$M$145,연간_세부항목별지출!$C95,'8월'!$R$34:$R$145)</f>
        <v>0</v>
      </c>
      <c r="L95" s="200">
        <f>SUMIF('9월'!$M$34:$M$145,연간_세부항목별지출!$C95,'9월'!$R$34:$R$145)</f>
        <v>0</v>
      </c>
      <c r="M95" s="200">
        <f>SUMIF('10월'!$M$34:$M$145,연간_세부항목별지출!$C95,'10월'!$R$34:$R$145)</f>
        <v>0</v>
      </c>
      <c r="N95" s="200">
        <f>SUMIF('11월'!$M$34:$M$145,연간_세부항목별지출!$C95,'11월'!$R$34:$R$145)</f>
        <v>0</v>
      </c>
      <c r="O95" s="200">
        <f>SUMIF('12월'!$M$34:$M$145,연간_세부항목별지출!$C95,'12월'!$R$34:$R$145)</f>
        <v>0</v>
      </c>
      <c r="P95" s="264">
        <f t="shared" si="2"/>
        <v>0</v>
      </c>
      <c r="Q95" s="264">
        <f t="shared" si="3"/>
        <v>0</v>
      </c>
      <c r="R95" s="307" t="str">
        <f t="shared" si="8"/>
        <v/>
      </c>
    </row>
    <row r="96" spans="2:18" ht="18" customHeight="1" thickBot="1" x14ac:dyDescent="0.35">
      <c r="B96" s="547"/>
      <c r="C96" s="272" t="str">
        <f>IF(항목!I18="","",항목!I18)</f>
        <v/>
      </c>
      <c r="D96" s="318">
        <f>SUMIF('1월'!$M$34:$M$165,연간_세부항목별지출!$C96,'1월'!$T$34:$T$165)</f>
        <v>0</v>
      </c>
      <c r="E96" s="318">
        <f>SUMIF('2월'!$M$34:$M$145,연간_세부항목별지출!$C96,'2월'!$T$34:$T$145)</f>
        <v>0</v>
      </c>
      <c r="F96" s="318">
        <f>SUMIF('3월'!$M$34:$M$145,연간_세부항목별지출!$C96,'3월'!$R$34:$R$145)</f>
        <v>0</v>
      </c>
      <c r="G96" s="318">
        <f>SUMIF('4월'!$M$34:$M$145,연간_세부항목별지출!$C96,'4월'!$R$34:$R$145)</f>
        <v>0</v>
      </c>
      <c r="H96" s="318">
        <f>SUMIF('5월'!$M$34:$M$145,연간_세부항목별지출!$C96,'5월'!$R$34:$R$145)</f>
        <v>0</v>
      </c>
      <c r="I96" s="318">
        <f>SUMIF('6월'!$M$34:$M$145,연간_세부항목별지출!$C96,'6월'!$R$34:$R$145)</f>
        <v>0</v>
      </c>
      <c r="J96" s="318">
        <f>SUMIF('7월'!$M$34:$M$145,연간_세부항목별지출!$C96,'7월'!$R$34:$R$145)</f>
        <v>0</v>
      </c>
      <c r="K96" s="318">
        <f>SUMIF('8월'!$M$34:$M$145,연간_세부항목별지출!$C96,'8월'!$R$34:$R$145)</f>
        <v>0</v>
      </c>
      <c r="L96" s="318">
        <f>SUMIF('9월'!$M$34:$M$145,연간_세부항목별지출!$C96,'9월'!$R$34:$R$145)</f>
        <v>0</v>
      </c>
      <c r="M96" s="318">
        <f>SUMIF('10월'!$M$34:$M$145,연간_세부항목별지출!$C96,'10월'!$R$34:$R$145)</f>
        <v>0</v>
      </c>
      <c r="N96" s="318">
        <f>SUMIF('11월'!$M$34:$M$145,연간_세부항목별지출!$C96,'11월'!$R$34:$R$145)</f>
        <v>0</v>
      </c>
      <c r="O96" s="318">
        <f>SUMIF('12월'!$M$34:$M$145,연간_세부항목별지출!$C96,'12월'!$R$34:$R$145)</f>
        <v>0</v>
      </c>
      <c r="P96" s="273">
        <f t="shared" si="2"/>
        <v>0</v>
      </c>
      <c r="Q96" s="273">
        <f t="shared" si="3"/>
        <v>0</v>
      </c>
      <c r="R96" s="310" t="str">
        <f t="shared" si="8"/>
        <v/>
      </c>
    </row>
    <row r="97" spans="2:18" ht="18" customHeight="1" x14ac:dyDescent="0.3">
      <c r="B97" s="545" t="str">
        <f>항목!J3</f>
        <v>교육비</v>
      </c>
      <c r="C97" s="316" t="str">
        <f>IF(항목!J4="","",항목!J4)</f>
        <v>학교</v>
      </c>
      <c r="D97" s="205">
        <f>SUMIF('1월'!$M$34:$M$165,연간_세부항목별지출!$C97,'1월'!$T$34:$T$165)</f>
        <v>0</v>
      </c>
      <c r="E97" s="205">
        <f>SUMIF('2월'!$M$34:$M$145,연간_세부항목별지출!$C97,'2월'!$T$34:$T$145)</f>
        <v>0</v>
      </c>
      <c r="F97" s="205">
        <f>SUMIF('3월'!$M$34:$M$145,연간_세부항목별지출!$C97,'3월'!$R$34:$R$145)</f>
        <v>0</v>
      </c>
      <c r="G97" s="205">
        <f>SUMIF('4월'!$M$34:$M$145,연간_세부항목별지출!$C97,'4월'!$R$34:$R$145)</f>
        <v>0</v>
      </c>
      <c r="H97" s="205">
        <f>SUMIF('5월'!$M$34:$M$145,연간_세부항목별지출!$C97,'5월'!$R$34:$R$145)</f>
        <v>0</v>
      </c>
      <c r="I97" s="205">
        <f>SUMIF('6월'!$M$34:$M$145,연간_세부항목별지출!$C97,'6월'!$R$34:$R$145)</f>
        <v>0</v>
      </c>
      <c r="J97" s="205">
        <f>SUMIF('7월'!$M$34:$M$145,연간_세부항목별지출!$C97,'7월'!$R$34:$R$145)</f>
        <v>0</v>
      </c>
      <c r="K97" s="205">
        <f>SUMIF('8월'!$M$34:$M$145,연간_세부항목별지출!$C97,'8월'!$R$34:$R$145)</f>
        <v>0</v>
      </c>
      <c r="L97" s="205">
        <f>SUMIF('9월'!$M$34:$M$145,연간_세부항목별지출!$C97,'9월'!$R$34:$R$145)</f>
        <v>0</v>
      </c>
      <c r="M97" s="205">
        <f>SUMIF('10월'!$M$34:$M$145,연간_세부항목별지출!$C97,'10월'!$R$34:$R$145)</f>
        <v>0</v>
      </c>
      <c r="N97" s="205">
        <f>SUMIF('11월'!$M$34:$M$145,연간_세부항목별지출!$C97,'11월'!$R$34:$R$145)</f>
        <v>0</v>
      </c>
      <c r="O97" s="205">
        <f>SUMIF('12월'!$M$34:$M$145,연간_세부항목별지출!$C97,'12월'!$R$34:$R$145)</f>
        <v>0</v>
      </c>
      <c r="P97" s="319">
        <f t="shared" si="2"/>
        <v>0</v>
      </c>
      <c r="Q97" s="319">
        <f t="shared" si="3"/>
        <v>0</v>
      </c>
      <c r="R97" s="320" t="str">
        <f t="shared" si="8"/>
        <v/>
      </c>
    </row>
    <row r="98" spans="2:18" ht="18" customHeight="1" x14ac:dyDescent="0.3">
      <c r="B98" s="546"/>
      <c r="C98" s="270" t="str">
        <f>IF(항목!J5="","",항목!J5)</f>
        <v>학원</v>
      </c>
      <c r="D98" s="200">
        <f>SUMIF('1월'!$M$34:$M$165,연간_세부항목별지출!$C98,'1월'!$T$34:$T$165)</f>
        <v>0</v>
      </c>
      <c r="E98" s="200">
        <f>SUMIF('2월'!$M$34:$M$145,연간_세부항목별지출!$C98,'2월'!$T$34:$T$145)</f>
        <v>0</v>
      </c>
      <c r="F98" s="200">
        <f>SUMIF('3월'!$M$34:$M$145,연간_세부항목별지출!$C98,'3월'!$R$34:$R$145)</f>
        <v>0</v>
      </c>
      <c r="G98" s="200">
        <f>SUMIF('4월'!$M$34:$M$145,연간_세부항목별지출!$C98,'4월'!$R$34:$R$145)</f>
        <v>0</v>
      </c>
      <c r="H98" s="200">
        <f>SUMIF('5월'!$M$34:$M$145,연간_세부항목별지출!$C98,'5월'!$R$34:$R$145)</f>
        <v>0</v>
      </c>
      <c r="I98" s="200">
        <f>SUMIF('6월'!$M$34:$M$145,연간_세부항목별지출!$C98,'6월'!$R$34:$R$145)</f>
        <v>0</v>
      </c>
      <c r="J98" s="200">
        <f>SUMIF('7월'!$M$34:$M$145,연간_세부항목별지출!$C98,'7월'!$R$34:$R$145)</f>
        <v>0</v>
      </c>
      <c r="K98" s="200">
        <f>SUMIF('8월'!$M$34:$M$145,연간_세부항목별지출!$C98,'8월'!$R$34:$R$145)</f>
        <v>0</v>
      </c>
      <c r="L98" s="200">
        <f>SUMIF('9월'!$M$34:$M$145,연간_세부항목별지출!$C98,'9월'!$R$34:$R$145)</f>
        <v>0</v>
      </c>
      <c r="M98" s="200">
        <f>SUMIF('10월'!$M$34:$M$145,연간_세부항목별지출!$C98,'10월'!$R$34:$R$145)</f>
        <v>0</v>
      </c>
      <c r="N98" s="200">
        <f>SUMIF('11월'!$M$34:$M$145,연간_세부항목별지출!$C98,'11월'!$R$34:$R$145)</f>
        <v>0</v>
      </c>
      <c r="O98" s="200">
        <f>SUMIF('12월'!$M$34:$M$145,연간_세부항목별지출!$C98,'12월'!$R$34:$R$145)</f>
        <v>0</v>
      </c>
      <c r="P98" s="264">
        <f t="shared" si="2"/>
        <v>0</v>
      </c>
      <c r="Q98" s="264">
        <f t="shared" si="3"/>
        <v>0</v>
      </c>
      <c r="R98" s="307" t="str">
        <f t="shared" si="8"/>
        <v/>
      </c>
    </row>
    <row r="99" spans="2:18" ht="18" customHeight="1" x14ac:dyDescent="0.3">
      <c r="B99" s="546"/>
      <c r="C99" s="270" t="str">
        <f>IF(항목!J6="","",항목!J6)</f>
        <v>도서</v>
      </c>
      <c r="D99" s="200">
        <f>SUMIF('1월'!$M$34:$M$165,연간_세부항목별지출!$C99,'1월'!$T$34:$T$165)</f>
        <v>0</v>
      </c>
      <c r="E99" s="200">
        <f>SUMIF('2월'!$M$34:$M$145,연간_세부항목별지출!$C99,'2월'!$T$34:$T$145)</f>
        <v>0</v>
      </c>
      <c r="F99" s="200">
        <f>SUMIF('3월'!$M$34:$M$145,연간_세부항목별지출!$C99,'3월'!$R$34:$R$145)</f>
        <v>0</v>
      </c>
      <c r="G99" s="200">
        <f>SUMIF('4월'!$M$34:$M$145,연간_세부항목별지출!$C99,'4월'!$R$34:$R$145)</f>
        <v>0</v>
      </c>
      <c r="H99" s="200">
        <f>SUMIF('5월'!$M$34:$M$145,연간_세부항목별지출!$C99,'5월'!$R$34:$R$145)</f>
        <v>0</v>
      </c>
      <c r="I99" s="200">
        <f>SUMIF('6월'!$M$34:$M$145,연간_세부항목별지출!$C99,'6월'!$R$34:$R$145)</f>
        <v>0</v>
      </c>
      <c r="J99" s="200">
        <f>SUMIF('7월'!$M$34:$M$145,연간_세부항목별지출!$C99,'7월'!$R$34:$R$145)</f>
        <v>0</v>
      </c>
      <c r="K99" s="200">
        <f>SUMIF('8월'!$M$34:$M$145,연간_세부항목별지출!$C99,'8월'!$R$34:$R$145)</f>
        <v>0</v>
      </c>
      <c r="L99" s="200">
        <f>SUMIF('9월'!$M$34:$M$145,연간_세부항목별지출!$C99,'9월'!$R$34:$R$145)</f>
        <v>0</v>
      </c>
      <c r="M99" s="200">
        <f>SUMIF('10월'!$M$34:$M$145,연간_세부항목별지출!$C99,'10월'!$R$34:$R$145)</f>
        <v>0</v>
      </c>
      <c r="N99" s="200">
        <f>SUMIF('11월'!$M$34:$M$145,연간_세부항목별지출!$C99,'11월'!$R$34:$R$145)</f>
        <v>0</v>
      </c>
      <c r="O99" s="200">
        <f>SUMIF('12월'!$M$34:$M$145,연간_세부항목별지출!$C99,'12월'!$R$34:$R$145)</f>
        <v>0</v>
      </c>
      <c r="P99" s="264">
        <f t="shared" si="2"/>
        <v>0</v>
      </c>
      <c r="Q99" s="264">
        <f t="shared" si="3"/>
        <v>0</v>
      </c>
      <c r="R99" s="307" t="str">
        <f t="shared" si="8"/>
        <v/>
      </c>
    </row>
    <row r="100" spans="2:18" ht="18" customHeight="1" x14ac:dyDescent="0.3">
      <c r="B100" s="546"/>
      <c r="C100" s="270" t="str">
        <f>IF(항목!J7="","",항목!J7)</f>
        <v>강의</v>
      </c>
      <c r="D100" s="200">
        <f>SUMIF('1월'!$M$34:$M$165,연간_세부항목별지출!$C100,'1월'!$T$34:$T$165)</f>
        <v>0</v>
      </c>
      <c r="E100" s="200">
        <f>SUMIF('2월'!$M$34:$M$145,연간_세부항목별지출!$C100,'2월'!$T$34:$T$145)</f>
        <v>0</v>
      </c>
      <c r="F100" s="200">
        <f>SUMIF('3월'!$M$34:$M$145,연간_세부항목별지출!$C100,'3월'!$R$34:$R$145)</f>
        <v>0</v>
      </c>
      <c r="G100" s="200">
        <f>SUMIF('4월'!$M$34:$M$145,연간_세부항목별지출!$C100,'4월'!$R$34:$R$145)</f>
        <v>0</v>
      </c>
      <c r="H100" s="200">
        <f>SUMIF('5월'!$M$34:$M$145,연간_세부항목별지출!$C100,'5월'!$R$34:$R$145)</f>
        <v>0</v>
      </c>
      <c r="I100" s="200">
        <f>SUMIF('6월'!$M$34:$M$145,연간_세부항목별지출!$C100,'6월'!$R$34:$R$145)</f>
        <v>0</v>
      </c>
      <c r="J100" s="200">
        <f>SUMIF('7월'!$M$34:$M$145,연간_세부항목별지출!$C100,'7월'!$R$34:$R$145)</f>
        <v>0</v>
      </c>
      <c r="K100" s="200">
        <f>SUMIF('8월'!$M$34:$M$145,연간_세부항목별지출!$C100,'8월'!$R$34:$R$145)</f>
        <v>0</v>
      </c>
      <c r="L100" s="200">
        <f>SUMIF('9월'!$M$34:$M$145,연간_세부항목별지출!$C100,'9월'!$R$34:$R$145)</f>
        <v>0</v>
      </c>
      <c r="M100" s="200">
        <f>SUMIF('10월'!$M$34:$M$145,연간_세부항목별지출!$C100,'10월'!$R$34:$R$145)</f>
        <v>0</v>
      </c>
      <c r="N100" s="200">
        <f>SUMIF('11월'!$M$34:$M$145,연간_세부항목별지출!$C100,'11월'!$R$34:$R$145)</f>
        <v>0</v>
      </c>
      <c r="O100" s="200">
        <f>SUMIF('12월'!$M$34:$M$145,연간_세부항목별지출!$C100,'12월'!$R$34:$R$145)</f>
        <v>0</v>
      </c>
      <c r="P100" s="264">
        <f t="shared" si="2"/>
        <v>0</v>
      </c>
      <c r="Q100" s="264">
        <f t="shared" si="3"/>
        <v>0</v>
      </c>
      <c r="R100" s="307" t="str">
        <f t="shared" si="8"/>
        <v/>
      </c>
    </row>
    <row r="101" spans="2:18" ht="18" customHeight="1" x14ac:dyDescent="0.3">
      <c r="B101" s="546"/>
      <c r="C101" s="270" t="str">
        <f>IF(항목!J8="","",항목!J8)</f>
        <v>기타 교육</v>
      </c>
      <c r="D101" s="200">
        <f>SUMIF('1월'!$M$34:$M$165,연간_세부항목별지출!$C101,'1월'!$T$34:$T$165)</f>
        <v>0</v>
      </c>
      <c r="E101" s="200">
        <f>SUMIF('2월'!$M$34:$M$145,연간_세부항목별지출!$C101,'2월'!$T$34:$T$145)</f>
        <v>0</v>
      </c>
      <c r="F101" s="200">
        <f>SUMIF('3월'!$M$34:$M$145,연간_세부항목별지출!$C101,'3월'!$R$34:$R$145)</f>
        <v>0</v>
      </c>
      <c r="G101" s="200">
        <f>SUMIF('4월'!$M$34:$M$145,연간_세부항목별지출!$C101,'4월'!$R$34:$R$145)</f>
        <v>0</v>
      </c>
      <c r="H101" s="200">
        <f>SUMIF('5월'!$M$34:$M$145,연간_세부항목별지출!$C101,'5월'!$R$34:$R$145)</f>
        <v>0</v>
      </c>
      <c r="I101" s="200">
        <f>SUMIF('6월'!$M$34:$M$145,연간_세부항목별지출!$C101,'6월'!$R$34:$R$145)</f>
        <v>0</v>
      </c>
      <c r="J101" s="200">
        <f>SUMIF('7월'!$M$34:$M$145,연간_세부항목별지출!$C101,'7월'!$R$34:$R$145)</f>
        <v>0</v>
      </c>
      <c r="K101" s="200">
        <f>SUMIF('8월'!$M$34:$M$145,연간_세부항목별지출!$C101,'8월'!$R$34:$R$145)</f>
        <v>0</v>
      </c>
      <c r="L101" s="200">
        <f>SUMIF('9월'!$M$34:$M$145,연간_세부항목별지출!$C101,'9월'!$R$34:$R$145)</f>
        <v>0</v>
      </c>
      <c r="M101" s="200">
        <f>SUMIF('10월'!$M$34:$M$145,연간_세부항목별지출!$C101,'10월'!$R$34:$R$145)</f>
        <v>0</v>
      </c>
      <c r="N101" s="200">
        <f>SUMIF('11월'!$M$34:$M$145,연간_세부항목별지출!$C101,'11월'!$R$34:$R$145)</f>
        <v>0</v>
      </c>
      <c r="O101" s="200">
        <f>SUMIF('12월'!$M$34:$M$145,연간_세부항목별지출!$C101,'12월'!$R$34:$R$145)</f>
        <v>0</v>
      </c>
      <c r="P101" s="264">
        <f t="shared" si="2"/>
        <v>0</v>
      </c>
      <c r="Q101" s="264">
        <f t="shared" si="3"/>
        <v>0</v>
      </c>
      <c r="R101" s="307" t="str">
        <f t="shared" si="8"/>
        <v/>
      </c>
    </row>
    <row r="102" spans="2:18" ht="18" customHeight="1" x14ac:dyDescent="0.3">
      <c r="B102" s="546"/>
      <c r="C102" s="270" t="str">
        <f>IF(항목!J9="","",항목!J9)</f>
        <v/>
      </c>
      <c r="D102" s="200">
        <f>SUMIF('1월'!$M$34:$M$165,연간_세부항목별지출!$C102,'1월'!$T$34:$T$165)</f>
        <v>0</v>
      </c>
      <c r="E102" s="200">
        <f>SUMIF('2월'!$M$34:$M$145,연간_세부항목별지출!$C102,'2월'!$T$34:$T$145)</f>
        <v>0</v>
      </c>
      <c r="F102" s="200">
        <f>SUMIF('3월'!$M$34:$M$145,연간_세부항목별지출!$C102,'3월'!$R$34:$R$145)</f>
        <v>0</v>
      </c>
      <c r="G102" s="200">
        <f>SUMIF('4월'!$M$34:$M$145,연간_세부항목별지출!$C102,'4월'!$R$34:$R$145)</f>
        <v>0</v>
      </c>
      <c r="H102" s="200">
        <f>SUMIF('5월'!$M$34:$M$145,연간_세부항목별지출!$C102,'5월'!$R$34:$R$145)</f>
        <v>0</v>
      </c>
      <c r="I102" s="200">
        <f>SUMIF('6월'!$M$34:$M$145,연간_세부항목별지출!$C102,'6월'!$R$34:$R$145)</f>
        <v>0</v>
      </c>
      <c r="J102" s="200">
        <f>SUMIF('7월'!$M$34:$M$145,연간_세부항목별지출!$C102,'7월'!$R$34:$R$145)</f>
        <v>0</v>
      </c>
      <c r="K102" s="200">
        <f>SUMIF('8월'!$M$34:$M$145,연간_세부항목별지출!$C102,'8월'!$R$34:$R$145)</f>
        <v>0</v>
      </c>
      <c r="L102" s="200">
        <f>SUMIF('9월'!$M$34:$M$145,연간_세부항목별지출!$C102,'9월'!$R$34:$R$145)</f>
        <v>0</v>
      </c>
      <c r="M102" s="200">
        <f>SUMIF('10월'!$M$34:$M$145,연간_세부항목별지출!$C102,'10월'!$R$34:$R$145)</f>
        <v>0</v>
      </c>
      <c r="N102" s="200">
        <f>SUMIF('11월'!$M$34:$M$145,연간_세부항목별지출!$C102,'11월'!$R$34:$R$145)</f>
        <v>0</v>
      </c>
      <c r="O102" s="200">
        <f>SUMIF('12월'!$M$34:$M$145,연간_세부항목별지출!$C102,'12월'!$R$34:$R$145)</f>
        <v>0</v>
      </c>
      <c r="P102" s="264">
        <f t="shared" si="2"/>
        <v>0</v>
      </c>
      <c r="Q102" s="264">
        <f t="shared" si="3"/>
        <v>0</v>
      </c>
      <c r="R102" s="307" t="str">
        <f t="shared" si="8"/>
        <v/>
      </c>
    </row>
    <row r="103" spans="2:18" ht="18" customHeight="1" x14ac:dyDescent="0.3">
      <c r="B103" s="546"/>
      <c r="C103" s="270" t="str">
        <f>IF(항목!J10="","",항목!J10)</f>
        <v/>
      </c>
      <c r="D103" s="200">
        <f>SUMIF('1월'!$M$34:$M$165,연간_세부항목별지출!$C103,'1월'!$T$34:$T$165)</f>
        <v>0</v>
      </c>
      <c r="E103" s="200">
        <f>SUMIF('2월'!$M$34:$M$145,연간_세부항목별지출!$C103,'2월'!$T$34:$T$145)</f>
        <v>0</v>
      </c>
      <c r="F103" s="200">
        <f>SUMIF('3월'!$M$34:$M$145,연간_세부항목별지출!$C103,'3월'!$R$34:$R$145)</f>
        <v>0</v>
      </c>
      <c r="G103" s="200">
        <f>SUMIF('4월'!$M$34:$M$145,연간_세부항목별지출!$C103,'4월'!$R$34:$R$145)</f>
        <v>0</v>
      </c>
      <c r="H103" s="200">
        <f>SUMIF('5월'!$M$34:$M$145,연간_세부항목별지출!$C103,'5월'!$R$34:$R$145)</f>
        <v>0</v>
      </c>
      <c r="I103" s="200">
        <f>SUMIF('6월'!$M$34:$M$145,연간_세부항목별지출!$C103,'6월'!$R$34:$R$145)</f>
        <v>0</v>
      </c>
      <c r="J103" s="200">
        <f>SUMIF('7월'!$M$34:$M$145,연간_세부항목별지출!$C103,'7월'!$R$34:$R$145)</f>
        <v>0</v>
      </c>
      <c r="K103" s="200">
        <f>SUMIF('8월'!$M$34:$M$145,연간_세부항목별지출!$C103,'8월'!$R$34:$R$145)</f>
        <v>0</v>
      </c>
      <c r="L103" s="200">
        <f>SUMIF('9월'!$M$34:$M$145,연간_세부항목별지출!$C103,'9월'!$R$34:$R$145)</f>
        <v>0</v>
      </c>
      <c r="M103" s="200">
        <f>SUMIF('10월'!$M$34:$M$145,연간_세부항목별지출!$C103,'10월'!$R$34:$R$145)</f>
        <v>0</v>
      </c>
      <c r="N103" s="200">
        <f>SUMIF('11월'!$M$34:$M$145,연간_세부항목별지출!$C103,'11월'!$R$34:$R$145)</f>
        <v>0</v>
      </c>
      <c r="O103" s="200">
        <f>SUMIF('12월'!$M$34:$M$145,연간_세부항목별지출!$C103,'12월'!$R$34:$R$145)</f>
        <v>0</v>
      </c>
      <c r="P103" s="264">
        <f t="shared" si="2"/>
        <v>0</v>
      </c>
      <c r="Q103" s="264">
        <f t="shared" si="3"/>
        <v>0</v>
      </c>
      <c r="R103" s="307" t="str">
        <f t="shared" si="8"/>
        <v/>
      </c>
    </row>
    <row r="104" spans="2:18" ht="18" customHeight="1" x14ac:dyDescent="0.3">
      <c r="B104" s="546"/>
      <c r="C104" s="270" t="str">
        <f>IF(항목!J11="","",항목!J11)</f>
        <v/>
      </c>
      <c r="D104" s="200">
        <f>SUMIF('1월'!$M$34:$M$165,연간_세부항목별지출!$C104,'1월'!$T$34:$T$165)</f>
        <v>0</v>
      </c>
      <c r="E104" s="200">
        <f>SUMIF('2월'!$M$34:$M$145,연간_세부항목별지출!$C104,'2월'!$T$34:$T$145)</f>
        <v>0</v>
      </c>
      <c r="F104" s="200">
        <f>SUMIF('3월'!$M$34:$M$145,연간_세부항목별지출!$C104,'3월'!$R$34:$R$145)</f>
        <v>0</v>
      </c>
      <c r="G104" s="200">
        <f>SUMIF('4월'!$M$34:$M$145,연간_세부항목별지출!$C104,'4월'!$R$34:$R$145)</f>
        <v>0</v>
      </c>
      <c r="H104" s="200">
        <f>SUMIF('5월'!$M$34:$M$145,연간_세부항목별지출!$C104,'5월'!$R$34:$R$145)</f>
        <v>0</v>
      </c>
      <c r="I104" s="200">
        <f>SUMIF('6월'!$M$34:$M$145,연간_세부항목별지출!$C104,'6월'!$R$34:$R$145)</f>
        <v>0</v>
      </c>
      <c r="J104" s="200">
        <f>SUMIF('7월'!$M$34:$M$145,연간_세부항목별지출!$C104,'7월'!$R$34:$R$145)</f>
        <v>0</v>
      </c>
      <c r="K104" s="200">
        <f>SUMIF('8월'!$M$34:$M$145,연간_세부항목별지출!$C104,'8월'!$R$34:$R$145)</f>
        <v>0</v>
      </c>
      <c r="L104" s="200">
        <f>SUMIF('9월'!$M$34:$M$145,연간_세부항목별지출!$C104,'9월'!$R$34:$R$145)</f>
        <v>0</v>
      </c>
      <c r="M104" s="200">
        <f>SUMIF('10월'!$M$34:$M$145,연간_세부항목별지출!$C104,'10월'!$R$34:$R$145)</f>
        <v>0</v>
      </c>
      <c r="N104" s="200">
        <f>SUMIF('11월'!$M$34:$M$145,연간_세부항목별지출!$C104,'11월'!$R$34:$R$145)</f>
        <v>0</v>
      </c>
      <c r="O104" s="200">
        <f>SUMIF('12월'!$M$34:$M$145,연간_세부항목별지출!$C104,'12월'!$R$34:$R$145)</f>
        <v>0</v>
      </c>
      <c r="P104" s="264">
        <f t="shared" si="2"/>
        <v>0</v>
      </c>
      <c r="Q104" s="264">
        <f t="shared" si="3"/>
        <v>0</v>
      </c>
      <c r="R104" s="307" t="str">
        <f t="shared" si="8"/>
        <v/>
      </c>
    </row>
    <row r="105" spans="2:18" ht="18" customHeight="1" x14ac:dyDescent="0.3">
      <c r="B105" s="546"/>
      <c r="C105" s="270" t="str">
        <f>IF(항목!J12="","",항목!J12)</f>
        <v/>
      </c>
      <c r="D105" s="200">
        <f>SUMIF('1월'!$M$34:$M$165,연간_세부항목별지출!$C105,'1월'!$T$34:$T$165)</f>
        <v>0</v>
      </c>
      <c r="E105" s="200">
        <f>SUMIF('2월'!$M$34:$M$145,연간_세부항목별지출!$C105,'2월'!$T$34:$T$145)</f>
        <v>0</v>
      </c>
      <c r="F105" s="200">
        <f>SUMIF('3월'!$M$34:$M$145,연간_세부항목별지출!$C105,'3월'!$R$34:$R$145)</f>
        <v>0</v>
      </c>
      <c r="G105" s="200">
        <f>SUMIF('4월'!$M$34:$M$145,연간_세부항목별지출!$C105,'4월'!$R$34:$R$145)</f>
        <v>0</v>
      </c>
      <c r="H105" s="200">
        <f>SUMIF('5월'!$M$34:$M$145,연간_세부항목별지출!$C105,'5월'!$R$34:$R$145)</f>
        <v>0</v>
      </c>
      <c r="I105" s="200">
        <f>SUMIF('6월'!$M$34:$M$145,연간_세부항목별지출!$C105,'6월'!$R$34:$R$145)</f>
        <v>0</v>
      </c>
      <c r="J105" s="200">
        <f>SUMIF('7월'!$M$34:$M$145,연간_세부항목별지출!$C105,'7월'!$R$34:$R$145)</f>
        <v>0</v>
      </c>
      <c r="K105" s="200">
        <f>SUMIF('8월'!$M$34:$M$145,연간_세부항목별지출!$C105,'8월'!$R$34:$R$145)</f>
        <v>0</v>
      </c>
      <c r="L105" s="200">
        <f>SUMIF('9월'!$M$34:$M$145,연간_세부항목별지출!$C105,'9월'!$R$34:$R$145)</f>
        <v>0</v>
      </c>
      <c r="M105" s="200">
        <f>SUMIF('10월'!$M$34:$M$145,연간_세부항목별지출!$C105,'10월'!$R$34:$R$145)</f>
        <v>0</v>
      </c>
      <c r="N105" s="200">
        <f>SUMIF('11월'!$M$34:$M$145,연간_세부항목별지출!$C105,'11월'!$R$34:$R$145)</f>
        <v>0</v>
      </c>
      <c r="O105" s="200">
        <f>SUMIF('12월'!$M$34:$M$145,연간_세부항목별지출!$C105,'12월'!$R$34:$R$145)</f>
        <v>0</v>
      </c>
      <c r="P105" s="264">
        <f t="shared" si="2"/>
        <v>0</v>
      </c>
      <c r="Q105" s="264">
        <f t="shared" si="3"/>
        <v>0</v>
      </c>
      <c r="R105" s="307" t="str">
        <f t="shared" si="8"/>
        <v/>
      </c>
    </row>
    <row r="106" spans="2:18" ht="18" customHeight="1" x14ac:dyDescent="0.3">
      <c r="B106" s="546"/>
      <c r="C106" s="270" t="str">
        <f>IF(항목!J13="","",항목!J13)</f>
        <v/>
      </c>
      <c r="D106" s="200">
        <f>SUMIF('1월'!$M$34:$M$165,연간_세부항목별지출!$C106,'1월'!$T$34:$T$165)</f>
        <v>0</v>
      </c>
      <c r="E106" s="200">
        <f>SUMIF('2월'!$M$34:$M$145,연간_세부항목별지출!$C106,'2월'!$T$34:$T$145)</f>
        <v>0</v>
      </c>
      <c r="F106" s="200">
        <f>SUMIF('3월'!$M$34:$M$145,연간_세부항목별지출!$C106,'3월'!$R$34:$R$145)</f>
        <v>0</v>
      </c>
      <c r="G106" s="200">
        <f>SUMIF('4월'!$M$34:$M$145,연간_세부항목별지출!$C106,'4월'!$R$34:$R$145)</f>
        <v>0</v>
      </c>
      <c r="H106" s="200">
        <f>SUMIF('5월'!$M$34:$M$145,연간_세부항목별지출!$C106,'5월'!$R$34:$R$145)</f>
        <v>0</v>
      </c>
      <c r="I106" s="200">
        <f>SUMIF('6월'!$M$34:$M$145,연간_세부항목별지출!$C106,'6월'!$R$34:$R$145)</f>
        <v>0</v>
      </c>
      <c r="J106" s="200">
        <f>SUMIF('7월'!$M$34:$M$145,연간_세부항목별지출!$C106,'7월'!$R$34:$R$145)</f>
        <v>0</v>
      </c>
      <c r="K106" s="200">
        <f>SUMIF('8월'!$M$34:$M$145,연간_세부항목별지출!$C106,'8월'!$R$34:$R$145)</f>
        <v>0</v>
      </c>
      <c r="L106" s="200">
        <f>SUMIF('9월'!$M$34:$M$145,연간_세부항목별지출!$C106,'9월'!$R$34:$R$145)</f>
        <v>0</v>
      </c>
      <c r="M106" s="200">
        <f>SUMIF('10월'!$M$34:$M$145,연간_세부항목별지출!$C106,'10월'!$R$34:$R$145)</f>
        <v>0</v>
      </c>
      <c r="N106" s="200">
        <f>SUMIF('11월'!$M$34:$M$145,연간_세부항목별지출!$C106,'11월'!$R$34:$R$145)</f>
        <v>0</v>
      </c>
      <c r="O106" s="200">
        <f>SUMIF('12월'!$M$34:$M$145,연간_세부항목별지출!$C106,'12월'!$R$34:$R$145)</f>
        <v>0</v>
      </c>
      <c r="P106" s="264">
        <f t="shared" si="2"/>
        <v>0</v>
      </c>
      <c r="Q106" s="264">
        <f t="shared" si="3"/>
        <v>0</v>
      </c>
      <c r="R106" s="307" t="str">
        <f t="shared" si="8"/>
        <v/>
      </c>
    </row>
    <row r="107" spans="2:18" ht="18" customHeight="1" x14ac:dyDescent="0.3">
      <c r="B107" s="546"/>
      <c r="C107" s="270" t="str">
        <f>IF(항목!J14="","",항목!J14)</f>
        <v/>
      </c>
      <c r="D107" s="200">
        <f>SUMIF('1월'!$M$34:$M$165,연간_세부항목별지출!$C107,'1월'!$T$34:$T$165)</f>
        <v>0</v>
      </c>
      <c r="E107" s="200">
        <f>SUMIF('2월'!$M$34:$M$145,연간_세부항목별지출!$C107,'2월'!$T$34:$T$145)</f>
        <v>0</v>
      </c>
      <c r="F107" s="200">
        <f>SUMIF('3월'!$M$34:$M$145,연간_세부항목별지출!$C107,'3월'!$R$34:$R$145)</f>
        <v>0</v>
      </c>
      <c r="G107" s="200">
        <f>SUMIF('4월'!$M$34:$M$145,연간_세부항목별지출!$C107,'4월'!$R$34:$R$145)</f>
        <v>0</v>
      </c>
      <c r="H107" s="200">
        <f>SUMIF('5월'!$M$34:$M$145,연간_세부항목별지출!$C107,'5월'!$R$34:$R$145)</f>
        <v>0</v>
      </c>
      <c r="I107" s="200">
        <f>SUMIF('6월'!$M$34:$M$145,연간_세부항목별지출!$C107,'6월'!$R$34:$R$145)</f>
        <v>0</v>
      </c>
      <c r="J107" s="200">
        <f>SUMIF('7월'!$M$34:$M$145,연간_세부항목별지출!$C107,'7월'!$R$34:$R$145)</f>
        <v>0</v>
      </c>
      <c r="K107" s="200">
        <f>SUMIF('8월'!$M$34:$M$145,연간_세부항목별지출!$C107,'8월'!$R$34:$R$145)</f>
        <v>0</v>
      </c>
      <c r="L107" s="200">
        <f>SUMIF('9월'!$M$34:$M$145,연간_세부항목별지출!$C107,'9월'!$R$34:$R$145)</f>
        <v>0</v>
      </c>
      <c r="M107" s="200">
        <f>SUMIF('10월'!$M$34:$M$145,연간_세부항목별지출!$C107,'10월'!$R$34:$R$145)</f>
        <v>0</v>
      </c>
      <c r="N107" s="200">
        <f>SUMIF('11월'!$M$34:$M$145,연간_세부항목별지출!$C107,'11월'!$R$34:$R$145)</f>
        <v>0</v>
      </c>
      <c r="O107" s="200">
        <f>SUMIF('12월'!$M$34:$M$145,연간_세부항목별지출!$C107,'12월'!$R$34:$R$145)</f>
        <v>0</v>
      </c>
      <c r="P107" s="264">
        <f t="shared" si="2"/>
        <v>0</v>
      </c>
      <c r="Q107" s="264">
        <f t="shared" si="3"/>
        <v>0</v>
      </c>
      <c r="R107" s="307" t="str">
        <f t="shared" si="8"/>
        <v/>
      </c>
    </row>
    <row r="108" spans="2:18" ht="18" customHeight="1" x14ac:dyDescent="0.3">
      <c r="B108" s="546"/>
      <c r="C108" s="270" t="str">
        <f>IF(항목!J15="","",항목!J15)</f>
        <v/>
      </c>
      <c r="D108" s="200">
        <f>SUMIF('1월'!$M$34:$M$165,연간_세부항목별지출!$C108,'1월'!$T$34:$T$165)</f>
        <v>0</v>
      </c>
      <c r="E108" s="200">
        <f>SUMIF('2월'!$M$34:$M$145,연간_세부항목별지출!$C108,'2월'!$T$34:$T$145)</f>
        <v>0</v>
      </c>
      <c r="F108" s="200">
        <f>SUMIF('3월'!$M$34:$M$145,연간_세부항목별지출!$C108,'3월'!$R$34:$R$145)</f>
        <v>0</v>
      </c>
      <c r="G108" s="200">
        <f>SUMIF('4월'!$M$34:$M$145,연간_세부항목별지출!$C108,'4월'!$R$34:$R$145)</f>
        <v>0</v>
      </c>
      <c r="H108" s="200">
        <f>SUMIF('5월'!$M$34:$M$145,연간_세부항목별지출!$C108,'5월'!$R$34:$R$145)</f>
        <v>0</v>
      </c>
      <c r="I108" s="200">
        <f>SUMIF('6월'!$M$34:$M$145,연간_세부항목별지출!$C108,'6월'!$R$34:$R$145)</f>
        <v>0</v>
      </c>
      <c r="J108" s="200">
        <f>SUMIF('7월'!$M$34:$M$145,연간_세부항목별지출!$C108,'7월'!$R$34:$R$145)</f>
        <v>0</v>
      </c>
      <c r="K108" s="200">
        <f>SUMIF('8월'!$M$34:$M$145,연간_세부항목별지출!$C108,'8월'!$R$34:$R$145)</f>
        <v>0</v>
      </c>
      <c r="L108" s="200">
        <f>SUMIF('9월'!$M$34:$M$145,연간_세부항목별지출!$C108,'9월'!$R$34:$R$145)</f>
        <v>0</v>
      </c>
      <c r="M108" s="200">
        <f>SUMIF('10월'!$M$34:$M$145,연간_세부항목별지출!$C108,'10월'!$R$34:$R$145)</f>
        <v>0</v>
      </c>
      <c r="N108" s="200">
        <f>SUMIF('11월'!$M$34:$M$145,연간_세부항목별지출!$C108,'11월'!$R$34:$R$145)</f>
        <v>0</v>
      </c>
      <c r="O108" s="200">
        <f>SUMIF('12월'!$M$34:$M$145,연간_세부항목별지출!$C108,'12월'!$R$34:$R$145)</f>
        <v>0</v>
      </c>
      <c r="P108" s="264">
        <f t="shared" si="2"/>
        <v>0</v>
      </c>
      <c r="Q108" s="264">
        <f t="shared" si="3"/>
        <v>0</v>
      </c>
      <c r="R108" s="307" t="str">
        <f t="shared" si="8"/>
        <v/>
      </c>
    </row>
    <row r="109" spans="2:18" ht="18" customHeight="1" x14ac:dyDescent="0.3">
      <c r="B109" s="546"/>
      <c r="C109" s="270" t="str">
        <f>IF(항목!J16="","",항목!J16)</f>
        <v/>
      </c>
      <c r="D109" s="200">
        <f>SUMIF('1월'!$M$34:$M$165,연간_세부항목별지출!$C109,'1월'!$T$34:$T$165)</f>
        <v>0</v>
      </c>
      <c r="E109" s="200">
        <f>SUMIF('2월'!$M$34:$M$145,연간_세부항목별지출!$C109,'2월'!$T$34:$T$145)</f>
        <v>0</v>
      </c>
      <c r="F109" s="200">
        <f>SUMIF('3월'!$M$34:$M$145,연간_세부항목별지출!$C109,'3월'!$R$34:$R$145)</f>
        <v>0</v>
      </c>
      <c r="G109" s="200">
        <f>SUMIF('4월'!$M$34:$M$145,연간_세부항목별지출!$C109,'4월'!$R$34:$R$145)</f>
        <v>0</v>
      </c>
      <c r="H109" s="200">
        <f>SUMIF('5월'!$M$34:$M$145,연간_세부항목별지출!$C109,'5월'!$R$34:$R$145)</f>
        <v>0</v>
      </c>
      <c r="I109" s="200">
        <f>SUMIF('6월'!$M$34:$M$145,연간_세부항목별지출!$C109,'6월'!$R$34:$R$145)</f>
        <v>0</v>
      </c>
      <c r="J109" s="200">
        <f>SUMIF('7월'!$M$34:$M$145,연간_세부항목별지출!$C109,'7월'!$R$34:$R$145)</f>
        <v>0</v>
      </c>
      <c r="K109" s="200">
        <f>SUMIF('8월'!$M$34:$M$145,연간_세부항목별지출!$C109,'8월'!$R$34:$R$145)</f>
        <v>0</v>
      </c>
      <c r="L109" s="200">
        <f>SUMIF('9월'!$M$34:$M$145,연간_세부항목별지출!$C109,'9월'!$R$34:$R$145)</f>
        <v>0</v>
      </c>
      <c r="M109" s="200">
        <f>SUMIF('10월'!$M$34:$M$145,연간_세부항목별지출!$C109,'10월'!$R$34:$R$145)</f>
        <v>0</v>
      </c>
      <c r="N109" s="200">
        <f>SUMIF('11월'!$M$34:$M$145,연간_세부항목별지출!$C109,'11월'!$R$34:$R$145)</f>
        <v>0</v>
      </c>
      <c r="O109" s="200">
        <f>SUMIF('12월'!$M$34:$M$145,연간_세부항목별지출!$C109,'12월'!$R$34:$R$145)</f>
        <v>0</v>
      </c>
      <c r="P109" s="264">
        <f t="shared" si="2"/>
        <v>0</v>
      </c>
      <c r="Q109" s="264">
        <f t="shared" si="3"/>
        <v>0</v>
      </c>
      <c r="R109" s="307" t="str">
        <f t="shared" si="8"/>
        <v/>
      </c>
    </row>
    <row r="110" spans="2:18" ht="18" customHeight="1" x14ac:dyDescent="0.3">
      <c r="B110" s="546"/>
      <c r="C110" s="270" t="str">
        <f>IF(항목!J17="","",항목!J17)</f>
        <v/>
      </c>
      <c r="D110" s="200">
        <f>SUMIF('1월'!$M$34:$M$165,연간_세부항목별지출!$C110,'1월'!$T$34:$T$165)</f>
        <v>0</v>
      </c>
      <c r="E110" s="200">
        <f>SUMIF('2월'!$M$34:$M$145,연간_세부항목별지출!$C110,'2월'!$T$34:$T$145)</f>
        <v>0</v>
      </c>
      <c r="F110" s="200">
        <f>SUMIF('3월'!$M$34:$M$145,연간_세부항목별지출!$C110,'3월'!$R$34:$R$145)</f>
        <v>0</v>
      </c>
      <c r="G110" s="200">
        <f>SUMIF('4월'!$M$34:$M$145,연간_세부항목별지출!$C110,'4월'!$R$34:$R$145)</f>
        <v>0</v>
      </c>
      <c r="H110" s="200">
        <f>SUMIF('5월'!$M$34:$M$145,연간_세부항목별지출!$C110,'5월'!$R$34:$R$145)</f>
        <v>0</v>
      </c>
      <c r="I110" s="200">
        <f>SUMIF('6월'!$M$34:$M$145,연간_세부항목별지출!$C110,'6월'!$R$34:$R$145)</f>
        <v>0</v>
      </c>
      <c r="J110" s="200">
        <f>SUMIF('7월'!$M$34:$M$145,연간_세부항목별지출!$C110,'7월'!$R$34:$R$145)</f>
        <v>0</v>
      </c>
      <c r="K110" s="200">
        <f>SUMIF('8월'!$M$34:$M$145,연간_세부항목별지출!$C110,'8월'!$R$34:$R$145)</f>
        <v>0</v>
      </c>
      <c r="L110" s="200">
        <f>SUMIF('9월'!$M$34:$M$145,연간_세부항목별지출!$C110,'9월'!$R$34:$R$145)</f>
        <v>0</v>
      </c>
      <c r="M110" s="200">
        <f>SUMIF('10월'!$M$34:$M$145,연간_세부항목별지출!$C110,'10월'!$R$34:$R$145)</f>
        <v>0</v>
      </c>
      <c r="N110" s="200">
        <f>SUMIF('11월'!$M$34:$M$145,연간_세부항목별지출!$C110,'11월'!$R$34:$R$145)</f>
        <v>0</v>
      </c>
      <c r="O110" s="200">
        <f>SUMIF('12월'!$M$34:$M$145,연간_세부항목별지출!$C110,'12월'!$R$34:$R$145)</f>
        <v>0</v>
      </c>
      <c r="P110" s="264">
        <f t="shared" si="2"/>
        <v>0</v>
      </c>
      <c r="Q110" s="264">
        <f t="shared" si="3"/>
        <v>0</v>
      </c>
      <c r="R110" s="307" t="str">
        <f t="shared" si="8"/>
        <v/>
      </c>
    </row>
    <row r="111" spans="2:18" ht="18" customHeight="1" thickBot="1" x14ac:dyDescent="0.35">
      <c r="B111" s="547"/>
      <c r="C111" s="317" t="str">
        <f>IF(항목!J18="","",항목!J18)</f>
        <v/>
      </c>
      <c r="D111" s="318">
        <f>SUMIF('1월'!$M$34:$M$165,연간_세부항목별지출!$C111,'1월'!$T$34:$T$165)</f>
        <v>0</v>
      </c>
      <c r="E111" s="318">
        <f>SUMIF('2월'!$M$34:$M$145,연간_세부항목별지출!$C111,'2월'!$T$34:$T$145)</f>
        <v>0</v>
      </c>
      <c r="F111" s="318">
        <f>SUMIF('3월'!$M$34:$M$145,연간_세부항목별지출!$C111,'3월'!$R$34:$R$145)</f>
        <v>0</v>
      </c>
      <c r="G111" s="318">
        <f>SUMIF('4월'!$M$34:$M$145,연간_세부항목별지출!$C111,'4월'!$R$34:$R$145)</f>
        <v>0</v>
      </c>
      <c r="H111" s="318">
        <f>SUMIF('5월'!$M$34:$M$145,연간_세부항목별지출!$C111,'5월'!$R$34:$R$145)</f>
        <v>0</v>
      </c>
      <c r="I111" s="318">
        <f>SUMIF('6월'!$M$34:$M$145,연간_세부항목별지출!$C111,'6월'!$R$34:$R$145)</f>
        <v>0</v>
      </c>
      <c r="J111" s="318">
        <f>SUMIF('7월'!$M$34:$M$145,연간_세부항목별지출!$C111,'7월'!$R$34:$R$145)</f>
        <v>0</v>
      </c>
      <c r="K111" s="318">
        <f>SUMIF('8월'!$M$34:$M$145,연간_세부항목별지출!$C111,'8월'!$R$34:$R$145)</f>
        <v>0</v>
      </c>
      <c r="L111" s="318">
        <f>SUMIF('9월'!$M$34:$M$145,연간_세부항목별지출!$C111,'9월'!$R$34:$R$145)</f>
        <v>0</v>
      </c>
      <c r="M111" s="318">
        <f>SUMIF('10월'!$M$34:$M$145,연간_세부항목별지출!$C111,'10월'!$R$34:$R$145)</f>
        <v>0</v>
      </c>
      <c r="N111" s="318">
        <f>SUMIF('11월'!$M$34:$M$145,연간_세부항목별지출!$C111,'11월'!$R$34:$R$145)</f>
        <v>0</v>
      </c>
      <c r="O111" s="318">
        <f>SUMIF('12월'!$M$34:$M$145,연간_세부항목별지출!$C111,'12월'!$R$34:$R$145)</f>
        <v>0</v>
      </c>
      <c r="P111" s="273">
        <f t="shared" si="2"/>
        <v>0</v>
      </c>
      <c r="Q111" s="273">
        <f t="shared" si="3"/>
        <v>0</v>
      </c>
      <c r="R111" s="310" t="str">
        <f t="shared" si="8"/>
        <v/>
      </c>
    </row>
    <row r="112" spans="2:18" ht="18" customHeight="1" x14ac:dyDescent="0.3">
      <c r="B112" s="545" t="str">
        <f>항목!K3</f>
        <v>문화생활비</v>
      </c>
      <c r="C112" s="316" t="str">
        <f>IF(항목!K4="","",항목!K4)</f>
        <v>영화</v>
      </c>
      <c r="D112" s="205">
        <f>SUMIF('1월'!$M$34:$M$165,연간_세부항목별지출!$C112,'1월'!$T$34:$T$165)</f>
        <v>0</v>
      </c>
      <c r="E112" s="205">
        <f>SUMIF('2월'!$M$34:$M$145,연간_세부항목별지출!$C112,'2월'!$T$34:$T$145)</f>
        <v>0</v>
      </c>
      <c r="F112" s="205">
        <f>SUMIF('3월'!$M$34:$M$145,연간_세부항목별지출!$C112,'3월'!$R$34:$R$145)</f>
        <v>0</v>
      </c>
      <c r="G112" s="205">
        <f>SUMIF('4월'!$M$34:$M$145,연간_세부항목별지출!$C112,'4월'!$R$34:$R$145)</f>
        <v>0</v>
      </c>
      <c r="H112" s="205">
        <f>SUMIF('5월'!$M$34:$M$145,연간_세부항목별지출!$C112,'5월'!$R$34:$R$145)</f>
        <v>0</v>
      </c>
      <c r="I112" s="205">
        <f>SUMIF('6월'!$M$34:$M$145,연간_세부항목별지출!$C112,'6월'!$R$34:$R$145)</f>
        <v>0</v>
      </c>
      <c r="J112" s="205">
        <f>SUMIF('7월'!$M$34:$M$145,연간_세부항목별지출!$C112,'7월'!$R$34:$R$145)</f>
        <v>0</v>
      </c>
      <c r="K112" s="205">
        <f>SUMIF('8월'!$M$34:$M$145,연간_세부항목별지출!$C112,'8월'!$R$34:$R$145)</f>
        <v>0</v>
      </c>
      <c r="L112" s="205">
        <f>SUMIF('9월'!$M$34:$M$145,연간_세부항목별지출!$C112,'9월'!$R$34:$R$145)</f>
        <v>0</v>
      </c>
      <c r="M112" s="205">
        <f>SUMIF('10월'!$M$34:$M$145,연간_세부항목별지출!$C112,'10월'!$R$34:$R$145)</f>
        <v>0</v>
      </c>
      <c r="N112" s="205">
        <f>SUMIF('11월'!$M$34:$M$145,연간_세부항목별지출!$C112,'11월'!$R$34:$R$145)</f>
        <v>0</v>
      </c>
      <c r="O112" s="205">
        <f>SUMIF('12월'!$M$34:$M$145,연간_세부항목별지출!$C112,'12월'!$R$34:$R$145)</f>
        <v>0</v>
      </c>
      <c r="P112" s="319">
        <f t="shared" si="2"/>
        <v>0</v>
      </c>
      <c r="Q112" s="319">
        <f t="shared" si="3"/>
        <v>0</v>
      </c>
      <c r="R112" s="320" t="str">
        <f t="shared" si="8"/>
        <v/>
      </c>
    </row>
    <row r="113" spans="2:18" ht="18" customHeight="1" x14ac:dyDescent="0.3">
      <c r="B113" s="546"/>
      <c r="C113" s="271" t="str">
        <f>IF(항목!K5="","",항목!K5)</f>
        <v>여가</v>
      </c>
      <c r="D113" s="200">
        <f>SUMIF('1월'!$M$34:$M$165,연간_세부항목별지출!$C113,'1월'!$T$34:$T$165)</f>
        <v>0</v>
      </c>
      <c r="E113" s="200">
        <f>SUMIF('2월'!$M$34:$M$145,연간_세부항목별지출!$C113,'2월'!$T$34:$T$145)</f>
        <v>0</v>
      </c>
      <c r="F113" s="200">
        <f>SUMIF('3월'!$M$34:$M$145,연간_세부항목별지출!$C113,'3월'!$R$34:$R$145)</f>
        <v>0</v>
      </c>
      <c r="G113" s="200">
        <f>SUMIF('4월'!$M$34:$M$145,연간_세부항목별지출!$C113,'4월'!$R$34:$R$145)</f>
        <v>0</v>
      </c>
      <c r="H113" s="200">
        <f>SUMIF('5월'!$M$34:$M$145,연간_세부항목별지출!$C113,'5월'!$R$34:$R$145)</f>
        <v>0</v>
      </c>
      <c r="I113" s="200">
        <f>SUMIF('6월'!$M$34:$M$145,연간_세부항목별지출!$C113,'6월'!$R$34:$R$145)</f>
        <v>0</v>
      </c>
      <c r="J113" s="200">
        <f>SUMIF('7월'!$M$34:$M$145,연간_세부항목별지출!$C113,'7월'!$R$34:$R$145)</f>
        <v>0</v>
      </c>
      <c r="K113" s="200">
        <f>SUMIF('8월'!$M$34:$M$145,연간_세부항목별지출!$C113,'8월'!$R$34:$R$145)</f>
        <v>0</v>
      </c>
      <c r="L113" s="200">
        <f>SUMIF('9월'!$M$34:$M$145,연간_세부항목별지출!$C113,'9월'!$R$34:$R$145)</f>
        <v>0</v>
      </c>
      <c r="M113" s="200">
        <f>SUMIF('10월'!$M$34:$M$145,연간_세부항목별지출!$C113,'10월'!$R$34:$R$145)</f>
        <v>0</v>
      </c>
      <c r="N113" s="200">
        <f>SUMIF('11월'!$M$34:$M$145,연간_세부항목별지출!$C113,'11월'!$R$34:$R$145)</f>
        <v>0</v>
      </c>
      <c r="O113" s="200">
        <f>SUMIF('12월'!$M$34:$M$145,연간_세부항목별지출!$C113,'12월'!$R$34:$R$145)</f>
        <v>0</v>
      </c>
      <c r="P113" s="264">
        <f t="shared" si="2"/>
        <v>0</v>
      </c>
      <c r="Q113" s="264">
        <f t="shared" si="3"/>
        <v>0</v>
      </c>
      <c r="R113" s="307" t="str">
        <f t="shared" si="8"/>
        <v/>
      </c>
    </row>
    <row r="114" spans="2:18" ht="18" customHeight="1" x14ac:dyDescent="0.3">
      <c r="B114" s="546"/>
      <c r="C114" s="271" t="str">
        <f>IF(항목!K6="","",항목!K6)</f>
        <v>여행</v>
      </c>
      <c r="D114" s="200">
        <f>SUMIF('1월'!$M$34:$M$165,연간_세부항목별지출!$C114,'1월'!$T$34:$T$165)</f>
        <v>0</v>
      </c>
      <c r="E114" s="200">
        <f>SUMIF('2월'!$M$34:$M$145,연간_세부항목별지출!$C114,'2월'!$T$34:$T$145)</f>
        <v>0</v>
      </c>
      <c r="F114" s="200">
        <f>SUMIF('3월'!$M$34:$M$145,연간_세부항목별지출!$C114,'3월'!$R$34:$R$145)</f>
        <v>0</v>
      </c>
      <c r="G114" s="200">
        <f>SUMIF('4월'!$M$34:$M$145,연간_세부항목별지출!$C114,'4월'!$R$34:$R$145)</f>
        <v>0</v>
      </c>
      <c r="H114" s="200">
        <f>SUMIF('5월'!$M$34:$M$145,연간_세부항목별지출!$C114,'5월'!$R$34:$R$145)</f>
        <v>0</v>
      </c>
      <c r="I114" s="200">
        <f>SUMIF('6월'!$M$34:$M$145,연간_세부항목별지출!$C114,'6월'!$R$34:$R$145)</f>
        <v>0</v>
      </c>
      <c r="J114" s="200">
        <f>SUMIF('7월'!$M$34:$M$145,연간_세부항목별지출!$C114,'7월'!$R$34:$R$145)</f>
        <v>0</v>
      </c>
      <c r="K114" s="200">
        <f>SUMIF('8월'!$M$34:$M$145,연간_세부항목별지출!$C114,'8월'!$R$34:$R$145)</f>
        <v>0</v>
      </c>
      <c r="L114" s="200">
        <f>SUMIF('9월'!$M$34:$M$145,연간_세부항목별지출!$C114,'9월'!$R$34:$R$145)</f>
        <v>0</v>
      </c>
      <c r="M114" s="200">
        <f>SUMIF('10월'!$M$34:$M$145,연간_세부항목별지출!$C114,'10월'!$R$34:$R$145)</f>
        <v>0</v>
      </c>
      <c r="N114" s="200">
        <f>SUMIF('11월'!$M$34:$M$145,연간_세부항목별지출!$C114,'11월'!$R$34:$R$145)</f>
        <v>0</v>
      </c>
      <c r="O114" s="200">
        <f>SUMIF('12월'!$M$34:$M$145,연간_세부항목별지출!$C114,'12월'!$R$34:$R$145)</f>
        <v>0</v>
      </c>
      <c r="P114" s="264">
        <f t="shared" si="2"/>
        <v>0</v>
      </c>
      <c r="Q114" s="264">
        <f t="shared" si="3"/>
        <v>0</v>
      </c>
      <c r="R114" s="307" t="str">
        <f t="shared" si="8"/>
        <v/>
      </c>
    </row>
    <row r="115" spans="2:18" ht="18" customHeight="1" x14ac:dyDescent="0.3">
      <c r="B115" s="546"/>
      <c r="C115" s="271" t="str">
        <f>IF(항목!K7="","",항목!K7)</f>
        <v>OTT</v>
      </c>
      <c r="D115" s="200">
        <f>SUMIF('1월'!$M$34:$M$165,연간_세부항목별지출!$C115,'1월'!$T$34:$T$165)</f>
        <v>0</v>
      </c>
      <c r="E115" s="200">
        <f>SUMIF('2월'!$M$34:$M$145,연간_세부항목별지출!$C115,'2월'!$T$34:$T$145)</f>
        <v>0</v>
      </c>
      <c r="F115" s="200">
        <f>SUMIF('3월'!$M$34:$M$145,연간_세부항목별지출!$C115,'3월'!$R$34:$R$145)</f>
        <v>0</v>
      </c>
      <c r="G115" s="200">
        <f>SUMIF('4월'!$M$34:$M$145,연간_세부항목별지출!$C115,'4월'!$R$34:$R$145)</f>
        <v>0</v>
      </c>
      <c r="H115" s="200">
        <f>SUMIF('5월'!$M$34:$M$145,연간_세부항목별지출!$C115,'5월'!$R$34:$R$145)</f>
        <v>0</v>
      </c>
      <c r="I115" s="200">
        <f>SUMIF('6월'!$M$34:$M$145,연간_세부항목별지출!$C115,'6월'!$R$34:$R$145)</f>
        <v>0</v>
      </c>
      <c r="J115" s="200">
        <f>SUMIF('7월'!$M$34:$M$145,연간_세부항목별지출!$C115,'7월'!$R$34:$R$145)</f>
        <v>0</v>
      </c>
      <c r="K115" s="200">
        <f>SUMIF('8월'!$M$34:$M$145,연간_세부항목별지출!$C115,'8월'!$R$34:$R$145)</f>
        <v>0</v>
      </c>
      <c r="L115" s="200">
        <f>SUMIF('9월'!$M$34:$M$145,연간_세부항목별지출!$C115,'9월'!$R$34:$R$145)</f>
        <v>0</v>
      </c>
      <c r="M115" s="200">
        <f>SUMIF('10월'!$M$34:$M$145,연간_세부항목별지출!$C115,'10월'!$R$34:$R$145)</f>
        <v>0</v>
      </c>
      <c r="N115" s="200">
        <f>SUMIF('11월'!$M$34:$M$145,연간_세부항목별지출!$C115,'11월'!$R$34:$R$145)</f>
        <v>0</v>
      </c>
      <c r="O115" s="200">
        <f>SUMIF('12월'!$M$34:$M$145,연간_세부항목별지출!$C115,'12월'!$R$34:$R$145)</f>
        <v>0</v>
      </c>
      <c r="P115" s="264">
        <f t="shared" si="2"/>
        <v>0</v>
      </c>
      <c r="Q115" s="264">
        <f t="shared" si="3"/>
        <v>0</v>
      </c>
      <c r="R115" s="307" t="str">
        <f t="shared" si="8"/>
        <v/>
      </c>
    </row>
    <row r="116" spans="2:18" ht="18" customHeight="1" x14ac:dyDescent="0.3">
      <c r="B116" s="546"/>
      <c r="C116" s="271" t="str">
        <f>IF(항목!K8="","",항목!K8)</f>
        <v>기타 문화생활</v>
      </c>
      <c r="D116" s="200">
        <f>SUMIF('1월'!$M$34:$M$165,연간_세부항목별지출!$C116,'1월'!$T$34:$T$165)</f>
        <v>0</v>
      </c>
      <c r="E116" s="200">
        <f>SUMIF('2월'!$M$34:$M$145,연간_세부항목별지출!$C116,'2월'!$T$34:$T$145)</f>
        <v>0</v>
      </c>
      <c r="F116" s="200">
        <f>SUMIF('3월'!$M$34:$M$145,연간_세부항목별지출!$C116,'3월'!$R$34:$R$145)</f>
        <v>0</v>
      </c>
      <c r="G116" s="200">
        <f>SUMIF('4월'!$M$34:$M$145,연간_세부항목별지출!$C116,'4월'!$R$34:$R$145)</f>
        <v>0</v>
      </c>
      <c r="H116" s="200">
        <f>SUMIF('5월'!$M$34:$M$145,연간_세부항목별지출!$C116,'5월'!$R$34:$R$145)</f>
        <v>0</v>
      </c>
      <c r="I116" s="200">
        <f>SUMIF('6월'!$M$34:$M$145,연간_세부항목별지출!$C116,'6월'!$R$34:$R$145)</f>
        <v>0</v>
      </c>
      <c r="J116" s="200">
        <f>SUMIF('7월'!$M$34:$M$145,연간_세부항목별지출!$C116,'7월'!$R$34:$R$145)</f>
        <v>0</v>
      </c>
      <c r="K116" s="200">
        <f>SUMIF('8월'!$M$34:$M$145,연간_세부항목별지출!$C116,'8월'!$R$34:$R$145)</f>
        <v>0</v>
      </c>
      <c r="L116" s="200">
        <f>SUMIF('9월'!$M$34:$M$145,연간_세부항목별지출!$C116,'9월'!$R$34:$R$145)</f>
        <v>0</v>
      </c>
      <c r="M116" s="200">
        <f>SUMIF('10월'!$M$34:$M$145,연간_세부항목별지출!$C116,'10월'!$R$34:$R$145)</f>
        <v>0</v>
      </c>
      <c r="N116" s="200">
        <f>SUMIF('11월'!$M$34:$M$145,연간_세부항목별지출!$C116,'11월'!$R$34:$R$145)</f>
        <v>0</v>
      </c>
      <c r="O116" s="200">
        <f>SUMIF('12월'!$M$34:$M$145,연간_세부항목별지출!$C116,'12월'!$R$34:$R$145)</f>
        <v>0</v>
      </c>
      <c r="P116" s="264">
        <f t="shared" si="2"/>
        <v>0</v>
      </c>
      <c r="Q116" s="264">
        <f t="shared" si="3"/>
        <v>0</v>
      </c>
      <c r="R116" s="307" t="str">
        <f t="shared" si="8"/>
        <v/>
      </c>
    </row>
    <row r="117" spans="2:18" ht="18" customHeight="1" x14ac:dyDescent="0.3">
      <c r="B117" s="546"/>
      <c r="C117" s="271" t="str">
        <f>IF(항목!K9="","",항목!K9)</f>
        <v/>
      </c>
      <c r="D117" s="200">
        <f>SUMIF('1월'!$M$34:$M$165,연간_세부항목별지출!$C117,'1월'!$T$34:$T$165)</f>
        <v>0</v>
      </c>
      <c r="E117" s="200">
        <f>SUMIF('2월'!$M$34:$M$145,연간_세부항목별지출!$C117,'2월'!$T$34:$T$145)</f>
        <v>0</v>
      </c>
      <c r="F117" s="200">
        <f>SUMIF('3월'!$M$34:$M$145,연간_세부항목별지출!$C117,'3월'!$R$34:$R$145)</f>
        <v>0</v>
      </c>
      <c r="G117" s="200">
        <f>SUMIF('4월'!$M$34:$M$145,연간_세부항목별지출!$C117,'4월'!$R$34:$R$145)</f>
        <v>0</v>
      </c>
      <c r="H117" s="200">
        <f>SUMIF('5월'!$M$34:$M$145,연간_세부항목별지출!$C117,'5월'!$R$34:$R$145)</f>
        <v>0</v>
      </c>
      <c r="I117" s="200">
        <f>SUMIF('6월'!$M$34:$M$145,연간_세부항목별지출!$C117,'6월'!$R$34:$R$145)</f>
        <v>0</v>
      </c>
      <c r="J117" s="200">
        <f>SUMIF('7월'!$M$34:$M$145,연간_세부항목별지출!$C117,'7월'!$R$34:$R$145)</f>
        <v>0</v>
      </c>
      <c r="K117" s="200">
        <f>SUMIF('8월'!$M$34:$M$145,연간_세부항목별지출!$C117,'8월'!$R$34:$R$145)</f>
        <v>0</v>
      </c>
      <c r="L117" s="200">
        <f>SUMIF('9월'!$M$34:$M$145,연간_세부항목별지출!$C117,'9월'!$R$34:$R$145)</f>
        <v>0</v>
      </c>
      <c r="M117" s="200">
        <f>SUMIF('10월'!$M$34:$M$145,연간_세부항목별지출!$C117,'10월'!$R$34:$R$145)</f>
        <v>0</v>
      </c>
      <c r="N117" s="200">
        <f>SUMIF('11월'!$M$34:$M$145,연간_세부항목별지출!$C117,'11월'!$R$34:$R$145)</f>
        <v>0</v>
      </c>
      <c r="O117" s="200">
        <f>SUMIF('12월'!$M$34:$M$145,연간_세부항목별지출!$C117,'12월'!$R$34:$R$145)</f>
        <v>0</v>
      </c>
      <c r="P117" s="264">
        <f t="shared" si="2"/>
        <v>0</v>
      </c>
      <c r="Q117" s="264">
        <f t="shared" si="3"/>
        <v>0</v>
      </c>
      <c r="R117" s="307" t="str">
        <f t="shared" si="8"/>
        <v/>
      </c>
    </row>
    <row r="118" spans="2:18" ht="18" customHeight="1" x14ac:dyDescent="0.3">
      <c r="B118" s="546"/>
      <c r="C118" s="271" t="str">
        <f>IF(항목!K10="","",항목!K10)</f>
        <v/>
      </c>
      <c r="D118" s="200">
        <f>SUMIF('1월'!$M$34:$M$165,연간_세부항목별지출!$C118,'1월'!$T$34:$T$165)</f>
        <v>0</v>
      </c>
      <c r="E118" s="200">
        <f>SUMIF('2월'!$M$34:$M$145,연간_세부항목별지출!$C118,'2월'!$T$34:$T$145)</f>
        <v>0</v>
      </c>
      <c r="F118" s="200">
        <f>SUMIF('3월'!$M$34:$M$145,연간_세부항목별지출!$C118,'3월'!$R$34:$R$145)</f>
        <v>0</v>
      </c>
      <c r="G118" s="200">
        <f>SUMIF('4월'!$M$34:$M$145,연간_세부항목별지출!$C118,'4월'!$R$34:$R$145)</f>
        <v>0</v>
      </c>
      <c r="H118" s="200">
        <f>SUMIF('5월'!$M$34:$M$145,연간_세부항목별지출!$C118,'5월'!$R$34:$R$145)</f>
        <v>0</v>
      </c>
      <c r="I118" s="200">
        <f>SUMIF('6월'!$M$34:$M$145,연간_세부항목별지출!$C118,'6월'!$R$34:$R$145)</f>
        <v>0</v>
      </c>
      <c r="J118" s="200">
        <f>SUMIF('7월'!$M$34:$M$145,연간_세부항목별지출!$C118,'7월'!$R$34:$R$145)</f>
        <v>0</v>
      </c>
      <c r="K118" s="200">
        <f>SUMIF('8월'!$M$34:$M$145,연간_세부항목별지출!$C118,'8월'!$R$34:$R$145)</f>
        <v>0</v>
      </c>
      <c r="L118" s="200">
        <f>SUMIF('9월'!$M$34:$M$145,연간_세부항목별지출!$C118,'9월'!$R$34:$R$145)</f>
        <v>0</v>
      </c>
      <c r="M118" s="200">
        <f>SUMIF('10월'!$M$34:$M$145,연간_세부항목별지출!$C118,'10월'!$R$34:$R$145)</f>
        <v>0</v>
      </c>
      <c r="N118" s="200">
        <f>SUMIF('11월'!$M$34:$M$145,연간_세부항목별지출!$C118,'11월'!$R$34:$R$145)</f>
        <v>0</v>
      </c>
      <c r="O118" s="200">
        <f>SUMIF('12월'!$M$34:$M$145,연간_세부항목별지출!$C118,'12월'!$R$34:$R$145)</f>
        <v>0</v>
      </c>
      <c r="P118" s="264">
        <f t="shared" si="2"/>
        <v>0</v>
      </c>
      <c r="Q118" s="264">
        <f t="shared" si="3"/>
        <v>0</v>
      </c>
      <c r="R118" s="307" t="str">
        <f t="shared" si="8"/>
        <v/>
      </c>
    </row>
    <row r="119" spans="2:18" ht="18" customHeight="1" x14ac:dyDescent="0.3">
      <c r="B119" s="546"/>
      <c r="C119" s="271" t="str">
        <f>IF(항목!K11="","",항목!K11)</f>
        <v/>
      </c>
      <c r="D119" s="200">
        <f>SUMIF('1월'!$M$34:$M$165,연간_세부항목별지출!$C119,'1월'!$T$34:$T$165)</f>
        <v>0</v>
      </c>
      <c r="E119" s="200">
        <f>SUMIF('2월'!$M$34:$M$145,연간_세부항목별지출!$C119,'2월'!$T$34:$T$145)</f>
        <v>0</v>
      </c>
      <c r="F119" s="200">
        <f>SUMIF('3월'!$M$34:$M$145,연간_세부항목별지출!$C119,'3월'!$R$34:$R$145)</f>
        <v>0</v>
      </c>
      <c r="G119" s="200">
        <f>SUMIF('4월'!$M$34:$M$145,연간_세부항목별지출!$C119,'4월'!$R$34:$R$145)</f>
        <v>0</v>
      </c>
      <c r="H119" s="200">
        <f>SUMIF('5월'!$M$34:$M$145,연간_세부항목별지출!$C119,'5월'!$R$34:$R$145)</f>
        <v>0</v>
      </c>
      <c r="I119" s="200">
        <f>SUMIF('6월'!$M$34:$M$145,연간_세부항목별지출!$C119,'6월'!$R$34:$R$145)</f>
        <v>0</v>
      </c>
      <c r="J119" s="200">
        <f>SUMIF('7월'!$M$34:$M$145,연간_세부항목별지출!$C119,'7월'!$R$34:$R$145)</f>
        <v>0</v>
      </c>
      <c r="K119" s="200">
        <f>SUMIF('8월'!$M$34:$M$145,연간_세부항목별지출!$C119,'8월'!$R$34:$R$145)</f>
        <v>0</v>
      </c>
      <c r="L119" s="200">
        <f>SUMIF('9월'!$M$34:$M$145,연간_세부항목별지출!$C119,'9월'!$R$34:$R$145)</f>
        <v>0</v>
      </c>
      <c r="M119" s="200">
        <f>SUMIF('10월'!$M$34:$M$145,연간_세부항목별지출!$C119,'10월'!$R$34:$R$145)</f>
        <v>0</v>
      </c>
      <c r="N119" s="200">
        <f>SUMIF('11월'!$M$34:$M$145,연간_세부항목별지출!$C119,'11월'!$R$34:$R$145)</f>
        <v>0</v>
      </c>
      <c r="O119" s="200">
        <f>SUMIF('12월'!$M$34:$M$145,연간_세부항목별지출!$C119,'12월'!$R$34:$R$145)</f>
        <v>0</v>
      </c>
      <c r="P119" s="264">
        <f t="shared" si="2"/>
        <v>0</v>
      </c>
      <c r="Q119" s="264">
        <f t="shared" si="3"/>
        <v>0</v>
      </c>
      <c r="R119" s="307" t="str">
        <f t="shared" si="8"/>
        <v/>
      </c>
    </row>
    <row r="120" spans="2:18" ht="18" customHeight="1" x14ac:dyDescent="0.3">
      <c r="B120" s="546"/>
      <c r="C120" s="271" t="str">
        <f>IF(항목!K12="","",항목!K12)</f>
        <v/>
      </c>
      <c r="D120" s="200">
        <f>SUMIF('1월'!$M$34:$M$165,연간_세부항목별지출!$C120,'1월'!$T$34:$T$165)</f>
        <v>0</v>
      </c>
      <c r="E120" s="200">
        <f>SUMIF('2월'!$M$34:$M$145,연간_세부항목별지출!$C120,'2월'!$T$34:$T$145)</f>
        <v>0</v>
      </c>
      <c r="F120" s="200">
        <f>SUMIF('3월'!$M$34:$M$145,연간_세부항목별지출!$C120,'3월'!$R$34:$R$145)</f>
        <v>0</v>
      </c>
      <c r="G120" s="200">
        <f>SUMIF('4월'!$M$34:$M$145,연간_세부항목별지출!$C120,'4월'!$R$34:$R$145)</f>
        <v>0</v>
      </c>
      <c r="H120" s="200">
        <f>SUMIF('5월'!$M$34:$M$145,연간_세부항목별지출!$C120,'5월'!$R$34:$R$145)</f>
        <v>0</v>
      </c>
      <c r="I120" s="200">
        <f>SUMIF('6월'!$M$34:$M$145,연간_세부항목별지출!$C120,'6월'!$R$34:$R$145)</f>
        <v>0</v>
      </c>
      <c r="J120" s="200">
        <f>SUMIF('7월'!$M$34:$M$145,연간_세부항목별지출!$C120,'7월'!$R$34:$R$145)</f>
        <v>0</v>
      </c>
      <c r="K120" s="200">
        <f>SUMIF('8월'!$M$34:$M$145,연간_세부항목별지출!$C120,'8월'!$R$34:$R$145)</f>
        <v>0</v>
      </c>
      <c r="L120" s="200">
        <f>SUMIF('9월'!$M$34:$M$145,연간_세부항목별지출!$C120,'9월'!$R$34:$R$145)</f>
        <v>0</v>
      </c>
      <c r="M120" s="200">
        <f>SUMIF('10월'!$M$34:$M$145,연간_세부항목별지출!$C120,'10월'!$R$34:$R$145)</f>
        <v>0</v>
      </c>
      <c r="N120" s="200">
        <f>SUMIF('11월'!$M$34:$M$145,연간_세부항목별지출!$C120,'11월'!$R$34:$R$145)</f>
        <v>0</v>
      </c>
      <c r="O120" s="200">
        <f>SUMIF('12월'!$M$34:$M$145,연간_세부항목별지출!$C120,'12월'!$R$34:$R$145)</f>
        <v>0</v>
      </c>
      <c r="P120" s="264">
        <f t="shared" si="2"/>
        <v>0</v>
      </c>
      <c r="Q120" s="264">
        <f t="shared" si="3"/>
        <v>0</v>
      </c>
      <c r="R120" s="307" t="str">
        <f t="shared" si="8"/>
        <v/>
      </c>
    </row>
    <row r="121" spans="2:18" ht="18" customHeight="1" x14ac:dyDescent="0.3">
      <c r="B121" s="546"/>
      <c r="C121" s="271" t="str">
        <f>IF(항목!K13="","",항목!K13)</f>
        <v/>
      </c>
      <c r="D121" s="200">
        <f>SUMIF('1월'!$M$34:$M$165,연간_세부항목별지출!$C121,'1월'!$T$34:$T$165)</f>
        <v>0</v>
      </c>
      <c r="E121" s="200">
        <f>SUMIF('2월'!$M$34:$M$145,연간_세부항목별지출!$C121,'2월'!$T$34:$T$145)</f>
        <v>0</v>
      </c>
      <c r="F121" s="200">
        <f>SUMIF('3월'!$M$34:$M$145,연간_세부항목별지출!$C121,'3월'!$R$34:$R$145)</f>
        <v>0</v>
      </c>
      <c r="G121" s="200">
        <f>SUMIF('4월'!$M$34:$M$145,연간_세부항목별지출!$C121,'4월'!$R$34:$R$145)</f>
        <v>0</v>
      </c>
      <c r="H121" s="200">
        <f>SUMIF('5월'!$M$34:$M$145,연간_세부항목별지출!$C121,'5월'!$R$34:$R$145)</f>
        <v>0</v>
      </c>
      <c r="I121" s="200">
        <f>SUMIF('6월'!$M$34:$M$145,연간_세부항목별지출!$C121,'6월'!$R$34:$R$145)</f>
        <v>0</v>
      </c>
      <c r="J121" s="200">
        <f>SUMIF('7월'!$M$34:$M$145,연간_세부항목별지출!$C121,'7월'!$R$34:$R$145)</f>
        <v>0</v>
      </c>
      <c r="K121" s="200">
        <f>SUMIF('8월'!$M$34:$M$145,연간_세부항목별지출!$C121,'8월'!$R$34:$R$145)</f>
        <v>0</v>
      </c>
      <c r="L121" s="200">
        <f>SUMIF('9월'!$M$34:$M$145,연간_세부항목별지출!$C121,'9월'!$R$34:$R$145)</f>
        <v>0</v>
      </c>
      <c r="M121" s="200">
        <f>SUMIF('10월'!$M$34:$M$145,연간_세부항목별지출!$C121,'10월'!$R$34:$R$145)</f>
        <v>0</v>
      </c>
      <c r="N121" s="200">
        <f>SUMIF('11월'!$M$34:$M$145,연간_세부항목별지출!$C121,'11월'!$R$34:$R$145)</f>
        <v>0</v>
      </c>
      <c r="O121" s="200">
        <f>SUMIF('12월'!$M$34:$M$145,연간_세부항목별지출!$C121,'12월'!$R$34:$R$145)</f>
        <v>0</v>
      </c>
      <c r="P121" s="264">
        <f t="shared" si="2"/>
        <v>0</v>
      </c>
      <c r="Q121" s="264">
        <f t="shared" si="3"/>
        <v>0</v>
      </c>
      <c r="R121" s="307" t="str">
        <f t="shared" si="8"/>
        <v/>
      </c>
    </row>
    <row r="122" spans="2:18" ht="18" customHeight="1" x14ac:dyDescent="0.3">
      <c r="B122" s="546"/>
      <c r="C122" s="271" t="str">
        <f>IF(항목!K14="","",항목!K14)</f>
        <v/>
      </c>
      <c r="D122" s="200">
        <f>SUMIF('1월'!$M$34:$M$165,연간_세부항목별지출!$C122,'1월'!$T$34:$T$165)</f>
        <v>0</v>
      </c>
      <c r="E122" s="200">
        <f>SUMIF('2월'!$M$34:$M$145,연간_세부항목별지출!$C122,'2월'!$T$34:$T$145)</f>
        <v>0</v>
      </c>
      <c r="F122" s="200">
        <f>SUMIF('3월'!$M$34:$M$145,연간_세부항목별지출!$C122,'3월'!$R$34:$R$145)</f>
        <v>0</v>
      </c>
      <c r="G122" s="200">
        <f>SUMIF('4월'!$M$34:$M$145,연간_세부항목별지출!$C122,'4월'!$R$34:$R$145)</f>
        <v>0</v>
      </c>
      <c r="H122" s="200">
        <f>SUMIF('5월'!$M$34:$M$145,연간_세부항목별지출!$C122,'5월'!$R$34:$R$145)</f>
        <v>0</v>
      </c>
      <c r="I122" s="200">
        <f>SUMIF('6월'!$M$34:$M$145,연간_세부항목별지출!$C122,'6월'!$R$34:$R$145)</f>
        <v>0</v>
      </c>
      <c r="J122" s="200">
        <f>SUMIF('7월'!$M$34:$M$145,연간_세부항목별지출!$C122,'7월'!$R$34:$R$145)</f>
        <v>0</v>
      </c>
      <c r="K122" s="200">
        <f>SUMIF('8월'!$M$34:$M$145,연간_세부항목별지출!$C122,'8월'!$R$34:$R$145)</f>
        <v>0</v>
      </c>
      <c r="L122" s="200">
        <f>SUMIF('9월'!$M$34:$M$145,연간_세부항목별지출!$C122,'9월'!$R$34:$R$145)</f>
        <v>0</v>
      </c>
      <c r="M122" s="200">
        <f>SUMIF('10월'!$M$34:$M$145,연간_세부항목별지출!$C122,'10월'!$R$34:$R$145)</f>
        <v>0</v>
      </c>
      <c r="N122" s="200">
        <f>SUMIF('11월'!$M$34:$M$145,연간_세부항목별지출!$C122,'11월'!$R$34:$R$145)</f>
        <v>0</v>
      </c>
      <c r="O122" s="200">
        <f>SUMIF('12월'!$M$34:$M$145,연간_세부항목별지출!$C122,'12월'!$R$34:$R$145)</f>
        <v>0</v>
      </c>
      <c r="P122" s="264">
        <f t="shared" si="2"/>
        <v>0</v>
      </c>
      <c r="Q122" s="264">
        <f t="shared" si="3"/>
        <v>0</v>
      </c>
      <c r="R122" s="307" t="str">
        <f t="shared" si="8"/>
        <v/>
      </c>
    </row>
    <row r="123" spans="2:18" ht="18" customHeight="1" x14ac:dyDescent="0.3">
      <c r="B123" s="546"/>
      <c r="C123" s="271" t="str">
        <f>IF(항목!K15="","",항목!K15)</f>
        <v/>
      </c>
      <c r="D123" s="200">
        <f>SUMIF('1월'!$M$34:$M$165,연간_세부항목별지출!$C123,'1월'!$T$34:$T$165)</f>
        <v>0</v>
      </c>
      <c r="E123" s="200">
        <f>SUMIF('2월'!$M$34:$M$145,연간_세부항목별지출!$C123,'2월'!$T$34:$T$145)</f>
        <v>0</v>
      </c>
      <c r="F123" s="200">
        <f>SUMIF('3월'!$M$34:$M$145,연간_세부항목별지출!$C123,'3월'!$R$34:$R$145)</f>
        <v>0</v>
      </c>
      <c r="G123" s="200">
        <f>SUMIF('4월'!$M$34:$M$145,연간_세부항목별지출!$C123,'4월'!$R$34:$R$145)</f>
        <v>0</v>
      </c>
      <c r="H123" s="200">
        <f>SUMIF('5월'!$M$34:$M$145,연간_세부항목별지출!$C123,'5월'!$R$34:$R$145)</f>
        <v>0</v>
      </c>
      <c r="I123" s="200">
        <f>SUMIF('6월'!$M$34:$M$145,연간_세부항목별지출!$C123,'6월'!$R$34:$R$145)</f>
        <v>0</v>
      </c>
      <c r="J123" s="200">
        <f>SUMIF('7월'!$M$34:$M$145,연간_세부항목별지출!$C123,'7월'!$R$34:$R$145)</f>
        <v>0</v>
      </c>
      <c r="K123" s="200">
        <f>SUMIF('8월'!$M$34:$M$145,연간_세부항목별지출!$C123,'8월'!$R$34:$R$145)</f>
        <v>0</v>
      </c>
      <c r="L123" s="200">
        <f>SUMIF('9월'!$M$34:$M$145,연간_세부항목별지출!$C123,'9월'!$R$34:$R$145)</f>
        <v>0</v>
      </c>
      <c r="M123" s="200">
        <f>SUMIF('10월'!$M$34:$M$145,연간_세부항목별지출!$C123,'10월'!$R$34:$R$145)</f>
        <v>0</v>
      </c>
      <c r="N123" s="200">
        <f>SUMIF('11월'!$M$34:$M$145,연간_세부항목별지출!$C123,'11월'!$R$34:$R$145)</f>
        <v>0</v>
      </c>
      <c r="O123" s="200">
        <f>SUMIF('12월'!$M$34:$M$145,연간_세부항목별지출!$C123,'12월'!$R$34:$R$145)</f>
        <v>0</v>
      </c>
      <c r="P123" s="264">
        <f t="shared" si="2"/>
        <v>0</v>
      </c>
      <c r="Q123" s="264">
        <f t="shared" si="3"/>
        <v>0</v>
      </c>
      <c r="R123" s="307" t="str">
        <f t="shared" si="8"/>
        <v/>
      </c>
    </row>
    <row r="124" spans="2:18" ht="18" customHeight="1" x14ac:dyDescent="0.3">
      <c r="B124" s="546"/>
      <c r="C124" s="271" t="str">
        <f>IF(항목!K16="","",항목!K16)</f>
        <v/>
      </c>
      <c r="D124" s="200">
        <f>SUMIF('1월'!$M$34:$M$165,연간_세부항목별지출!$C124,'1월'!$T$34:$T$165)</f>
        <v>0</v>
      </c>
      <c r="E124" s="200">
        <f>SUMIF('2월'!$M$34:$M$145,연간_세부항목별지출!$C124,'2월'!$T$34:$T$145)</f>
        <v>0</v>
      </c>
      <c r="F124" s="200">
        <f>SUMIF('3월'!$M$34:$M$145,연간_세부항목별지출!$C124,'3월'!$R$34:$R$145)</f>
        <v>0</v>
      </c>
      <c r="G124" s="200">
        <f>SUMIF('4월'!$M$34:$M$145,연간_세부항목별지출!$C124,'4월'!$R$34:$R$145)</f>
        <v>0</v>
      </c>
      <c r="H124" s="200">
        <f>SUMIF('5월'!$M$34:$M$145,연간_세부항목별지출!$C124,'5월'!$R$34:$R$145)</f>
        <v>0</v>
      </c>
      <c r="I124" s="200">
        <f>SUMIF('6월'!$M$34:$M$145,연간_세부항목별지출!$C124,'6월'!$R$34:$R$145)</f>
        <v>0</v>
      </c>
      <c r="J124" s="200">
        <f>SUMIF('7월'!$M$34:$M$145,연간_세부항목별지출!$C124,'7월'!$R$34:$R$145)</f>
        <v>0</v>
      </c>
      <c r="K124" s="200">
        <f>SUMIF('8월'!$M$34:$M$145,연간_세부항목별지출!$C124,'8월'!$R$34:$R$145)</f>
        <v>0</v>
      </c>
      <c r="L124" s="200">
        <f>SUMIF('9월'!$M$34:$M$145,연간_세부항목별지출!$C124,'9월'!$R$34:$R$145)</f>
        <v>0</v>
      </c>
      <c r="M124" s="200">
        <f>SUMIF('10월'!$M$34:$M$145,연간_세부항목별지출!$C124,'10월'!$R$34:$R$145)</f>
        <v>0</v>
      </c>
      <c r="N124" s="200">
        <f>SUMIF('11월'!$M$34:$M$145,연간_세부항목별지출!$C124,'11월'!$R$34:$R$145)</f>
        <v>0</v>
      </c>
      <c r="O124" s="200">
        <f>SUMIF('12월'!$M$34:$M$145,연간_세부항목별지출!$C124,'12월'!$R$34:$R$145)</f>
        <v>0</v>
      </c>
      <c r="P124" s="264">
        <f t="shared" si="2"/>
        <v>0</v>
      </c>
      <c r="Q124" s="264">
        <f t="shared" si="3"/>
        <v>0</v>
      </c>
      <c r="R124" s="307" t="str">
        <f t="shared" si="8"/>
        <v/>
      </c>
    </row>
    <row r="125" spans="2:18" ht="18" customHeight="1" x14ac:dyDescent="0.3">
      <c r="B125" s="546"/>
      <c r="C125" s="271" t="str">
        <f>IF(항목!K17="","",항목!K17)</f>
        <v/>
      </c>
      <c r="D125" s="200">
        <f>SUMIF('1월'!$M$34:$M$165,연간_세부항목별지출!$C125,'1월'!$T$34:$T$165)</f>
        <v>0</v>
      </c>
      <c r="E125" s="200">
        <f>SUMIF('2월'!$M$34:$M$145,연간_세부항목별지출!$C125,'2월'!$T$34:$T$145)</f>
        <v>0</v>
      </c>
      <c r="F125" s="200">
        <f>SUMIF('3월'!$M$34:$M$145,연간_세부항목별지출!$C125,'3월'!$R$34:$R$145)</f>
        <v>0</v>
      </c>
      <c r="G125" s="200">
        <f>SUMIF('4월'!$M$34:$M$145,연간_세부항목별지출!$C125,'4월'!$R$34:$R$145)</f>
        <v>0</v>
      </c>
      <c r="H125" s="200">
        <f>SUMIF('5월'!$M$34:$M$145,연간_세부항목별지출!$C125,'5월'!$R$34:$R$145)</f>
        <v>0</v>
      </c>
      <c r="I125" s="200">
        <f>SUMIF('6월'!$M$34:$M$145,연간_세부항목별지출!$C125,'6월'!$R$34:$R$145)</f>
        <v>0</v>
      </c>
      <c r="J125" s="200">
        <f>SUMIF('7월'!$M$34:$M$145,연간_세부항목별지출!$C125,'7월'!$R$34:$R$145)</f>
        <v>0</v>
      </c>
      <c r="K125" s="200">
        <f>SUMIF('8월'!$M$34:$M$145,연간_세부항목별지출!$C125,'8월'!$R$34:$R$145)</f>
        <v>0</v>
      </c>
      <c r="L125" s="200">
        <f>SUMIF('9월'!$M$34:$M$145,연간_세부항목별지출!$C125,'9월'!$R$34:$R$145)</f>
        <v>0</v>
      </c>
      <c r="M125" s="200">
        <f>SUMIF('10월'!$M$34:$M$145,연간_세부항목별지출!$C125,'10월'!$R$34:$R$145)</f>
        <v>0</v>
      </c>
      <c r="N125" s="200">
        <f>SUMIF('11월'!$M$34:$M$145,연간_세부항목별지출!$C125,'11월'!$R$34:$R$145)</f>
        <v>0</v>
      </c>
      <c r="O125" s="200">
        <f>SUMIF('12월'!$M$34:$M$145,연간_세부항목별지출!$C125,'12월'!$R$34:$R$145)</f>
        <v>0</v>
      </c>
      <c r="P125" s="264">
        <f t="shared" si="2"/>
        <v>0</v>
      </c>
      <c r="Q125" s="264">
        <f t="shared" si="3"/>
        <v>0</v>
      </c>
      <c r="R125" s="307" t="str">
        <f t="shared" si="8"/>
        <v/>
      </c>
    </row>
    <row r="126" spans="2:18" ht="18" customHeight="1" thickBot="1" x14ac:dyDescent="0.35">
      <c r="B126" s="547"/>
      <c r="C126" s="272" t="str">
        <f>IF(항목!K18="","",항목!K18)</f>
        <v/>
      </c>
      <c r="D126" s="318">
        <f>SUMIF('1월'!$M$34:$M$165,연간_세부항목별지출!$C126,'1월'!$T$34:$T$165)</f>
        <v>0</v>
      </c>
      <c r="E126" s="318">
        <f>SUMIF('2월'!$M$34:$M$145,연간_세부항목별지출!$C126,'2월'!$T$34:$T$145)</f>
        <v>0</v>
      </c>
      <c r="F126" s="318">
        <f>SUMIF('3월'!$M$34:$M$145,연간_세부항목별지출!$C126,'3월'!$R$34:$R$145)</f>
        <v>0</v>
      </c>
      <c r="G126" s="318">
        <f>SUMIF('4월'!$M$34:$M$145,연간_세부항목별지출!$C126,'4월'!$R$34:$R$145)</f>
        <v>0</v>
      </c>
      <c r="H126" s="318">
        <f>SUMIF('5월'!$M$34:$M$145,연간_세부항목별지출!$C126,'5월'!$R$34:$R$145)</f>
        <v>0</v>
      </c>
      <c r="I126" s="318">
        <f>SUMIF('6월'!$M$34:$M$145,연간_세부항목별지출!$C126,'6월'!$R$34:$R$145)</f>
        <v>0</v>
      </c>
      <c r="J126" s="318">
        <f>SUMIF('7월'!$M$34:$M$145,연간_세부항목별지출!$C126,'7월'!$R$34:$R$145)</f>
        <v>0</v>
      </c>
      <c r="K126" s="318">
        <f>SUMIF('8월'!$M$34:$M$145,연간_세부항목별지출!$C126,'8월'!$R$34:$R$145)</f>
        <v>0</v>
      </c>
      <c r="L126" s="318">
        <f>SUMIF('9월'!$M$34:$M$145,연간_세부항목별지출!$C126,'9월'!$R$34:$R$145)</f>
        <v>0</v>
      </c>
      <c r="M126" s="318">
        <f>SUMIF('10월'!$M$34:$M$145,연간_세부항목별지출!$C126,'10월'!$R$34:$R$145)</f>
        <v>0</v>
      </c>
      <c r="N126" s="318">
        <f>SUMIF('11월'!$M$34:$M$145,연간_세부항목별지출!$C126,'11월'!$R$34:$R$145)</f>
        <v>0</v>
      </c>
      <c r="O126" s="318">
        <f>SUMIF('12월'!$M$34:$M$145,연간_세부항목별지출!$C126,'12월'!$R$34:$R$145)</f>
        <v>0</v>
      </c>
      <c r="P126" s="273">
        <f t="shared" si="2"/>
        <v>0</v>
      </c>
      <c r="Q126" s="273">
        <f t="shared" si="3"/>
        <v>0</v>
      </c>
      <c r="R126" s="310" t="str">
        <f t="shared" si="8"/>
        <v/>
      </c>
    </row>
    <row r="127" spans="2:18" ht="18" customHeight="1" x14ac:dyDescent="0.3">
      <c r="B127" s="545" t="str">
        <f>항목!L3</f>
        <v>의료비</v>
      </c>
      <c r="C127" s="316" t="str">
        <f>IF(항목!L4="","",항목!L4)</f>
        <v>병원</v>
      </c>
      <c r="D127" s="205">
        <f>SUMIF('1월'!$M$34:$M$165,연간_세부항목별지출!$C127,'1월'!$T$34:$T$165)</f>
        <v>0</v>
      </c>
      <c r="E127" s="205">
        <f>SUMIF('2월'!$M$34:$M$145,연간_세부항목별지출!$C127,'2월'!$T$34:$T$145)</f>
        <v>0</v>
      </c>
      <c r="F127" s="205">
        <f>SUMIF('3월'!$M$34:$M$145,연간_세부항목별지출!$C127,'3월'!$R$34:$R$145)</f>
        <v>0</v>
      </c>
      <c r="G127" s="205">
        <f>SUMIF('4월'!$M$34:$M$145,연간_세부항목별지출!$C127,'4월'!$R$34:$R$145)</f>
        <v>0</v>
      </c>
      <c r="H127" s="205">
        <f>SUMIF('5월'!$M$34:$M$145,연간_세부항목별지출!$C127,'5월'!$R$34:$R$145)</f>
        <v>0</v>
      </c>
      <c r="I127" s="205">
        <f>SUMIF('6월'!$M$34:$M$145,연간_세부항목별지출!$C127,'6월'!$R$34:$R$145)</f>
        <v>0</v>
      </c>
      <c r="J127" s="205">
        <f>SUMIF('7월'!$M$34:$M$145,연간_세부항목별지출!$C127,'7월'!$R$34:$R$145)</f>
        <v>0</v>
      </c>
      <c r="K127" s="205">
        <f>SUMIF('8월'!$M$34:$M$145,연간_세부항목별지출!$C127,'8월'!$R$34:$R$145)</f>
        <v>0</v>
      </c>
      <c r="L127" s="205">
        <f>SUMIF('9월'!$M$34:$M$145,연간_세부항목별지출!$C127,'9월'!$R$34:$R$145)</f>
        <v>0</v>
      </c>
      <c r="M127" s="205">
        <f>SUMIF('10월'!$M$34:$M$145,연간_세부항목별지출!$C127,'10월'!$R$34:$R$145)</f>
        <v>0</v>
      </c>
      <c r="N127" s="205">
        <f>SUMIF('11월'!$M$34:$M$145,연간_세부항목별지출!$C127,'11월'!$R$34:$R$145)</f>
        <v>0</v>
      </c>
      <c r="O127" s="205">
        <f>SUMIF('12월'!$M$34:$M$145,연간_세부항목별지출!$C127,'12월'!$R$34:$R$145)</f>
        <v>0</v>
      </c>
      <c r="P127" s="319">
        <f t="shared" si="2"/>
        <v>0</v>
      </c>
      <c r="Q127" s="319">
        <f t="shared" si="3"/>
        <v>0</v>
      </c>
      <c r="R127" s="320" t="str">
        <f t="shared" si="8"/>
        <v/>
      </c>
    </row>
    <row r="128" spans="2:18" ht="18" customHeight="1" x14ac:dyDescent="0.3">
      <c r="B128" s="546"/>
      <c r="C128" s="270" t="str">
        <f>IF(항목!L5="","",항목!L5)</f>
        <v>의약품</v>
      </c>
      <c r="D128" s="200">
        <f>SUMIF('1월'!$M$34:$M$165,연간_세부항목별지출!$C128,'1월'!$T$34:$T$165)</f>
        <v>0</v>
      </c>
      <c r="E128" s="200">
        <f>SUMIF('2월'!$M$34:$M$145,연간_세부항목별지출!$C128,'2월'!$T$34:$T$145)</f>
        <v>0</v>
      </c>
      <c r="F128" s="200">
        <f>SUMIF('3월'!$M$34:$M$145,연간_세부항목별지출!$C128,'3월'!$R$34:$R$145)</f>
        <v>0</v>
      </c>
      <c r="G128" s="200">
        <f>SUMIF('4월'!$M$34:$M$145,연간_세부항목별지출!$C128,'4월'!$R$34:$R$145)</f>
        <v>0</v>
      </c>
      <c r="H128" s="200">
        <f>SUMIF('5월'!$M$34:$M$145,연간_세부항목별지출!$C128,'5월'!$R$34:$R$145)</f>
        <v>0</v>
      </c>
      <c r="I128" s="200">
        <f>SUMIF('6월'!$M$34:$M$145,연간_세부항목별지출!$C128,'6월'!$R$34:$R$145)</f>
        <v>0</v>
      </c>
      <c r="J128" s="200">
        <f>SUMIF('7월'!$M$34:$M$145,연간_세부항목별지출!$C128,'7월'!$R$34:$R$145)</f>
        <v>0</v>
      </c>
      <c r="K128" s="200">
        <f>SUMIF('8월'!$M$34:$M$145,연간_세부항목별지출!$C128,'8월'!$R$34:$R$145)</f>
        <v>0</v>
      </c>
      <c r="L128" s="200">
        <f>SUMIF('9월'!$M$34:$M$145,연간_세부항목별지출!$C128,'9월'!$R$34:$R$145)</f>
        <v>0</v>
      </c>
      <c r="M128" s="200">
        <f>SUMIF('10월'!$M$34:$M$145,연간_세부항목별지출!$C128,'10월'!$R$34:$R$145)</f>
        <v>0</v>
      </c>
      <c r="N128" s="200">
        <f>SUMIF('11월'!$M$34:$M$145,연간_세부항목별지출!$C128,'11월'!$R$34:$R$145)</f>
        <v>0</v>
      </c>
      <c r="O128" s="200">
        <f>SUMIF('12월'!$M$34:$M$145,연간_세부항목별지출!$C128,'12월'!$R$34:$R$145)</f>
        <v>0</v>
      </c>
      <c r="P128" s="264">
        <f t="shared" si="2"/>
        <v>0</v>
      </c>
      <c r="Q128" s="264">
        <f t="shared" si="3"/>
        <v>0</v>
      </c>
      <c r="R128" s="307" t="str">
        <f t="shared" si="8"/>
        <v/>
      </c>
    </row>
    <row r="129" spans="2:18" ht="18" customHeight="1" x14ac:dyDescent="0.3">
      <c r="B129" s="546"/>
      <c r="C129" s="270" t="str">
        <f>IF(항목!L6="","",항목!L6)</f>
        <v>영양제</v>
      </c>
      <c r="D129" s="200">
        <f>SUMIF('1월'!$M$34:$M$165,연간_세부항목별지출!$C129,'1월'!$T$34:$T$165)</f>
        <v>0</v>
      </c>
      <c r="E129" s="200">
        <f>SUMIF('2월'!$M$34:$M$145,연간_세부항목별지출!$C129,'2월'!$T$34:$T$145)</f>
        <v>0</v>
      </c>
      <c r="F129" s="200">
        <f>SUMIF('3월'!$M$34:$M$145,연간_세부항목별지출!$C129,'3월'!$R$34:$R$145)</f>
        <v>0</v>
      </c>
      <c r="G129" s="200">
        <f>SUMIF('4월'!$M$34:$M$145,연간_세부항목별지출!$C129,'4월'!$R$34:$R$145)</f>
        <v>0</v>
      </c>
      <c r="H129" s="200">
        <f>SUMIF('5월'!$M$34:$M$145,연간_세부항목별지출!$C129,'5월'!$R$34:$R$145)</f>
        <v>0</v>
      </c>
      <c r="I129" s="200">
        <f>SUMIF('6월'!$M$34:$M$145,연간_세부항목별지출!$C129,'6월'!$R$34:$R$145)</f>
        <v>0</v>
      </c>
      <c r="J129" s="200">
        <f>SUMIF('7월'!$M$34:$M$145,연간_세부항목별지출!$C129,'7월'!$R$34:$R$145)</f>
        <v>0</v>
      </c>
      <c r="K129" s="200">
        <f>SUMIF('8월'!$M$34:$M$145,연간_세부항목별지출!$C129,'8월'!$R$34:$R$145)</f>
        <v>0</v>
      </c>
      <c r="L129" s="200">
        <f>SUMIF('9월'!$M$34:$M$145,연간_세부항목별지출!$C129,'9월'!$R$34:$R$145)</f>
        <v>0</v>
      </c>
      <c r="M129" s="200">
        <f>SUMIF('10월'!$M$34:$M$145,연간_세부항목별지출!$C129,'10월'!$R$34:$R$145)</f>
        <v>0</v>
      </c>
      <c r="N129" s="200">
        <f>SUMIF('11월'!$M$34:$M$145,연간_세부항목별지출!$C129,'11월'!$R$34:$R$145)</f>
        <v>0</v>
      </c>
      <c r="O129" s="200">
        <f>SUMIF('12월'!$M$34:$M$145,연간_세부항목별지출!$C129,'12월'!$R$34:$R$145)</f>
        <v>0</v>
      </c>
      <c r="P129" s="264">
        <f t="shared" si="2"/>
        <v>0</v>
      </c>
      <c r="Q129" s="264">
        <f t="shared" si="3"/>
        <v>0</v>
      </c>
      <c r="R129" s="307" t="str">
        <f t="shared" si="8"/>
        <v/>
      </c>
    </row>
    <row r="130" spans="2:18" ht="18" customHeight="1" x14ac:dyDescent="0.3">
      <c r="B130" s="546"/>
      <c r="C130" s="270" t="str">
        <f>IF(항목!L7="","",항목!L7)</f>
        <v>보험료</v>
      </c>
      <c r="D130" s="200">
        <f>SUMIF('1월'!$M$34:$M$165,연간_세부항목별지출!$C130,'1월'!$T$34:$T$165)</f>
        <v>0</v>
      </c>
      <c r="E130" s="200">
        <f>SUMIF('2월'!$M$34:$M$145,연간_세부항목별지출!$C130,'2월'!$T$34:$T$145)</f>
        <v>0</v>
      </c>
      <c r="F130" s="200">
        <f>SUMIF('3월'!$M$34:$M$145,연간_세부항목별지출!$C130,'3월'!$R$34:$R$145)</f>
        <v>0</v>
      </c>
      <c r="G130" s="200">
        <f>SUMIF('4월'!$M$34:$M$145,연간_세부항목별지출!$C130,'4월'!$R$34:$R$145)</f>
        <v>0</v>
      </c>
      <c r="H130" s="200">
        <f>SUMIF('5월'!$M$34:$M$145,연간_세부항목별지출!$C130,'5월'!$R$34:$R$145)</f>
        <v>0</v>
      </c>
      <c r="I130" s="200">
        <f>SUMIF('6월'!$M$34:$M$145,연간_세부항목별지출!$C130,'6월'!$R$34:$R$145)</f>
        <v>0</v>
      </c>
      <c r="J130" s="200">
        <f>SUMIF('7월'!$M$34:$M$145,연간_세부항목별지출!$C130,'7월'!$R$34:$R$145)</f>
        <v>0</v>
      </c>
      <c r="K130" s="200">
        <f>SUMIF('8월'!$M$34:$M$145,연간_세부항목별지출!$C130,'8월'!$R$34:$R$145)</f>
        <v>0</v>
      </c>
      <c r="L130" s="200">
        <f>SUMIF('9월'!$M$34:$M$145,연간_세부항목별지출!$C130,'9월'!$R$34:$R$145)</f>
        <v>0</v>
      </c>
      <c r="M130" s="200">
        <f>SUMIF('10월'!$M$34:$M$145,연간_세부항목별지출!$C130,'10월'!$R$34:$R$145)</f>
        <v>0</v>
      </c>
      <c r="N130" s="200">
        <f>SUMIF('11월'!$M$34:$M$145,연간_세부항목별지출!$C130,'11월'!$R$34:$R$145)</f>
        <v>0</v>
      </c>
      <c r="O130" s="200">
        <f>SUMIF('12월'!$M$34:$M$145,연간_세부항목별지출!$C130,'12월'!$R$34:$R$145)</f>
        <v>0</v>
      </c>
      <c r="P130" s="264">
        <f t="shared" si="2"/>
        <v>0</v>
      </c>
      <c r="Q130" s="264">
        <f t="shared" si="3"/>
        <v>0</v>
      </c>
      <c r="R130" s="307" t="str">
        <f t="shared" si="8"/>
        <v/>
      </c>
    </row>
    <row r="131" spans="2:18" ht="18" customHeight="1" x14ac:dyDescent="0.3">
      <c r="B131" s="546"/>
      <c r="C131" s="270" t="str">
        <f>IF(항목!L8="","",항목!L8)</f>
        <v>기타 의료비</v>
      </c>
      <c r="D131" s="200">
        <f>SUMIF('1월'!$M$34:$M$165,연간_세부항목별지출!$C131,'1월'!$T$34:$T$165)</f>
        <v>0</v>
      </c>
      <c r="E131" s="200">
        <f>SUMIF('2월'!$M$34:$M$145,연간_세부항목별지출!$C131,'2월'!$T$34:$T$145)</f>
        <v>0</v>
      </c>
      <c r="F131" s="200">
        <f>SUMIF('3월'!$M$34:$M$145,연간_세부항목별지출!$C131,'3월'!$R$34:$R$145)</f>
        <v>0</v>
      </c>
      <c r="G131" s="200">
        <f>SUMIF('4월'!$M$34:$M$145,연간_세부항목별지출!$C131,'4월'!$R$34:$R$145)</f>
        <v>0</v>
      </c>
      <c r="H131" s="200">
        <f>SUMIF('5월'!$M$34:$M$145,연간_세부항목별지출!$C131,'5월'!$R$34:$R$145)</f>
        <v>0</v>
      </c>
      <c r="I131" s="200">
        <f>SUMIF('6월'!$M$34:$M$145,연간_세부항목별지출!$C131,'6월'!$R$34:$R$145)</f>
        <v>0</v>
      </c>
      <c r="J131" s="200">
        <f>SUMIF('7월'!$M$34:$M$145,연간_세부항목별지출!$C131,'7월'!$R$34:$R$145)</f>
        <v>0</v>
      </c>
      <c r="K131" s="200">
        <f>SUMIF('8월'!$M$34:$M$145,연간_세부항목별지출!$C131,'8월'!$R$34:$R$145)</f>
        <v>0</v>
      </c>
      <c r="L131" s="200">
        <f>SUMIF('9월'!$M$34:$M$145,연간_세부항목별지출!$C131,'9월'!$R$34:$R$145)</f>
        <v>0</v>
      </c>
      <c r="M131" s="200">
        <f>SUMIF('10월'!$M$34:$M$145,연간_세부항목별지출!$C131,'10월'!$R$34:$R$145)</f>
        <v>0</v>
      </c>
      <c r="N131" s="200">
        <f>SUMIF('11월'!$M$34:$M$145,연간_세부항목별지출!$C131,'11월'!$R$34:$R$145)</f>
        <v>0</v>
      </c>
      <c r="O131" s="200">
        <f>SUMIF('12월'!$M$34:$M$145,연간_세부항목별지출!$C131,'12월'!$R$34:$R$145)</f>
        <v>0</v>
      </c>
      <c r="P131" s="264">
        <f t="shared" si="2"/>
        <v>0</v>
      </c>
      <c r="Q131" s="264">
        <f t="shared" si="3"/>
        <v>0</v>
      </c>
      <c r="R131" s="307" t="str">
        <f t="shared" si="8"/>
        <v/>
      </c>
    </row>
    <row r="132" spans="2:18" ht="18" customHeight="1" x14ac:dyDescent="0.3">
      <c r="B132" s="546"/>
      <c r="C132" s="270" t="str">
        <f>IF(항목!L9="","",항목!L9)</f>
        <v/>
      </c>
      <c r="D132" s="200">
        <f>SUMIF('1월'!$M$34:$M$165,연간_세부항목별지출!$C132,'1월'!$T$34:$T$165)</f>
        <v>0</v>
      </c>
      <c r="E132" s="200">
        <f>SUMIF('2월'!$M$34:$M$145,연간_세부항목별지출!$C132,'2월'!$T$34:$T$145)</f>
        <v>0</v>
      </c>
      <c r="F132" s="200">
        <f>SUMIF('3월'!$M$34:$M$145,연간_세부항목별지출!$C132,'3월'!$R$34:$R$145)</f>
        <v>0</v>
      </c>
      <c r="G132" s="200">
        <f>SUMIF('4월'!$M$34:$M$145,연간_세부항목별지출!$C132,'4월'!$R$34:$R$145)</f>
        <v>0</v>
      </c>
      <c r="H132" s="200">
        <f>SUMIF('5월'!$M$34:$M$145,연간_세부항목별지출!$C132,'5월'!$R$34:$R$145)</f>
        <v>0</v>
      </c>
      <c r="I132" s="200">
        <f>SUMIF('6월'!$M$34:$M$145,연간_세부항목별지출!$C132,'6월'!$R$34:$R$145)</f>
        <v>0</v>
      </c>
      <c r="J132" s="200">
        <f>SUMIF('7월'!$M$34:$M$145,연간_세부항목별지출!$C132,'7월'!$R$34:$R$145)</f>
        <v>0</v>
      </c>
      <c r="K132" s="200">
        <f>SUMIF('8월'!$M$34:$M$145,연간_세부항목별지출!$C132,'8월'!$R$34:$R$145)</f>
        <v>0</v>
      </c>
      <c r="L132" s="200">
        <f>SUMIF('9월'!$M$34:$M$145,연간_세부항목별지출!$C132,'9월'!$R$34:$R$145)</f>
        <v>0</v>
      </c>
      <c r="M132" s="200">
        <f>SUMIF('10월'!$M$34:$M$145,연간_세부항목별지출!$C132,'10월'!$R$34:$R$145)</f>
        <v>0</v>
      </c>
      <c r="N132" s="200">
        <f>SUMIF('11월'!$M$34:$M$145,연간_세부항목별지출!$C132,'11월'!$R$34:$R$145)</f>
        <v>0</v>
      </c>
      <c r="O132" s="200">
        <f>SUMIF('12월'!$M$34:$M$145,연간_세부항목별지출!$C132,'12월'!$R$34:$R$145)</f>
        <v>0</v>
      </c>
      <c r="P132" s="264">
        <f t="shared" si="2"/>
        <v>0</v>
      </c>
      <c r="Q132" s="264">
        <f t="shared" si="3"/>
        <v>0</v>
      </c>
      <c r="R132" s="307" t="str">
        <f t="shared" si="8"/>
        <v/>
      </c>
    </row>
    <row r="133" spans="2:18" ht="18" customHeight="1" x14ac:dyDescent="0.3">
      <c r="B133" s="546"/>
      <c r="C133" s="270" t="str">
        <f>IF(항목!L10="","",항목!L10)</f>
        <v/>
      </c>
      <c r="D133" s="200">
        <f>SUMIF('1월'!$M$34:$M$165,연간_세부항목별지출!$C133,'1월'!$T$34:$T$165)</f>
        <v>0</v>
      </c>
      <c r="E133" s="200">
        <f>SUMIF('2월'!$M$34:$M$145,연간_세부항목별지출!$C133,'2월'!$T$34:$T$145)</f>
        <v>0</v>
      </c>
      <c r="F133" s="200">
        <f>SUMIF('3월'!$M$34:$M$145,연간_세부항목별지출!$C133,'3월'!$R$34:$R$145)</f>
        <v>0</v>
      </c>
      <c r="G133" s="200">
        <f>SUMIF('4월'!$M$34:$M$145,연간_세부항목별지출!$C133,'4월'!$R$34:$R$145)</f>
        <v>0</v>
      </c>
      <c r="H133" s="200">
        <f>SUMIF('5월'!$M$34:$M$145,연간_세부항목별지출!$C133,'5월'!$R$34:$R$145)</f>
        <v>0</v>
      </c>
      <c r="I133" s="200">
        <f>SUMIF('6월'!$M$34:$M$145,연간_세부항목별지출!$C133,'6월'!$R$34:$R$145)</f>
        <v>0</v>
      </c>
      <c r="J133" s="200">
        <f>SUMIF('7월'!$M$34:$M$145,연간_세부항목별지출!$C133,'7월'!$R$34:$R$145)</f>
        <v>0</v>
      </c>
      <c r="K133" s="200">
        <f>SUMIF('8월'!$M$34:$M$145,연간_세부항목별지출!$C133,'8월'!$R$34:$R$145)</f>
        <v>0</v>
      </c>
      <c r="L133" s="200">
        <f>SUMIF('9월'!$M$34:$M$145,연간_세부항목별지출!$C133,'9월'!$R$34:$R$145)</f>
        <v>0</v>
      </c>
      <c r="M133" s="200">
        <f>SUMIF('10월'!$M$34:$M$145,연간_세부항목별지출!$C133,'10월'!$R$34:$R$145)</f>
        <v>0</v>
      </c>
      <c r="N133" s="200">
        <f>SUMIF('11월'!$M$34:$M$145,연간_세부항목별지출!$C133,'11월'!$R$34:$R$145)</f>
        <v>0</v>
      </c>
      <c r="O133" s="200">
        <f>SUMIF('12월'!$M$34:$M$145,연간_세부항목별지출!$C133,'12월'!$R$34:$R$145)</f>
        <v>0</v>
      </c>
      <c r="P133" s="264">
        <f t="shared" si="2"/>
        <v>0</v>
      </c>
      <c r="Q133" s="264">
        <f t="shared" si="3"/>
        <v>0</v>
      </c>
      <c r="R133" s="307" t="str">
        <f t="shared" si="8"/>
        <v/>
      </c>
    </row>
    <row r="134" spans="2:18" ht="18" customHeight="1" x14ac:dyDescent="0.3">
      <c r="B134" s="546"/>
      <c r="C134" s="270" t="str">
        <f>IF(항목!L11="","",항목!L11)</f>
        <v/>
      </c>
      <c r="D134" s="200">
        <f>SUMIF('1월'!$M$34:$M$165,연간_세부항목별지출!$C134,'1월'!$T$34:$T$165)</f>
        <v>0</v>
      </c>
      <c r="E134" s="200">
        <f>SUMIF('2월'!$M$34:$M$145,연간_세부항목별지출!$C134,'2월'!$T$34:$T$145)</f>
        <v>0</v>
      </c>
      <c r="F134" s="200">
        <f>SUMIF('3월'!$M$34:$M$145,연간_세부항목별지출!$C134,'3월'!$R$34:$R$145)</f>
        <v>0</v>
      </c>
      <c r="G134" s="200">
        <f>SUMIF('4월'!$M$34:$M$145,연간_세부항목별지출!$C134,'4월'!$R$34:$R$145)</f>
        <v>0</v>
      </c>
      <c r="H134" s="200">
        <f>SUMIF('5월'!$M$34:$M$145,연간_세부항목별지출!$C134,'5월'!$R$34:$R$145)</f>
        <v>0</v>
      </c>
      <c r="I134" s="200">
        <f>SUMIF('6월'!$M$34:$M$145,연간_세부항목별지출!$C134,'6월'!$R$34:$R$145)</f>
        <v>0</v>
      </c>
      <c r="J134" s="200">
        <f>SUMIF('7월'!$M$34:$M$145,연간_세부항목별지출!$C134,'7월'!$R$34:$R$145)</f>
        <v>0</v>
      </c>
      <c r="K134" s="200">
        <f>SUMIF('8월'!$M$34:$M$145,연간_세부항목별지출!$C134,'8월'!$R$34:$R$145)</f>
        <v>0</v>
      </c>
      <c r="L134" s="200">
        <f>SUMIF('9월'!$M$34:$M$145,연간_세부항목별지출!$C134,'9월'!$R$34:$R$145)</f>
        <v>0</v>
      </c>
      <c r="M134" s="200">
        <f>SUMIF('10월'!$M$34:$M$145,연간_세부항목별지출!$C134,'10월'!$R$34:$R$145)</f>
        <v>0</v>
      </c>
      <c r="N134" s="200">
        <f>SUMIF('11월'!$M$34:$M$145,연간_세부항목별지출!$C134,'11월'!$R$34:$R$145)</f>
        <v>0</v>
      </c>
      <c r="O134" s="200">
        <f>SUMIF('12월'!$M$34:$M$145,연간_세부항목별지출!$C134,'12월'!$R$34:$R$145)</f>
        <v>0</v>
      </c>
      <c r="P134" s="264">
        <f t="shared" si="2"/>
        <v>0</v>
      </c>
      <c r="Q134" s="264">
        <f t="shared" si="3"/>
        <v>0</v>
      </c>
      <c r="R134" s="307" t="str">
        <f t="shared" si="8"/>
        <v/>
      </c>
    </row>
    <row r="135" spans="2:18" ht="18" customHeight="1" x14ac:dyDescent="0.3">
      <c r="B135" s="546"/>
      <c r="C135" s="270" t="str">
        <f>IF(항목!L12="","",항목!L12)</f>
        <v/>
      </c>
      <c r="D135" s="200">
        <f>SUMIF('1월'!$M$34:$M$165,연간_세부항목별지출!$C135,'1월'!$T$34:$T$165)</f>
        <v>0</v>
      </c>
      <c r="E135" s="200">
        <f>SUMIF('2월'!$M$34:$M$145,연간_세부항목별지출!$C135,'2월'!$T$34:$T$145)</f>
        <v>0</v>
      </c>
      <c r="F135" s="200">
        <f>SUMIF('3월'!$M$34:$M$145,연간_세부항목별지출!$C135,'3월'!$R$34:$R$145)</f>
        <v>0</v>
      </c>
      <c r="G135" s="200">
        <f>SUMIF('4월'!$M$34:$M$145,연간_세부항목별지출!$C135,'4월'!$R$34:$R$145)</f>
        <v>0</v>
      </c>
      <c r="H135" s="200">
        <f>SUMIF('5월'!$M$34:$M$145,연간_세부항목별지출!$C135,'5월'!$R$34:$R$145)</f>
        <v>0</v>
      </c>
      <c r="I135" s="200">
        <f>SUMIF('6월'!$M$34:$M$145,연간_세부항목별지출!$C135,'6월'!$R$34:$R$145)</f>
        <v>0</v>
      </c>
      <c r="J135" s="200">
        <f>SUMIF('7월'!$M$34:$M$145,연간_세부항목별지출!$C135,'7월'!$R$34:$R$145)</f>
        <v>0</v>
      </c>
      <c r="K135" s="200">
        <f>SUMIF('8월'!$M$34:$M$145,연간_세부항목별지출!$C135,'8월'!$R$34:$R$145)</f>
        <v>0</v>
      </c>
      <c r="L135" s="200">
        <f>SUMIF('9월'!$M$34:$M$145,연간_세부항목별지출!$C135,'9월'!$R$34:$R$145)</f>
        <v>0</v>
      </c>
      <c r="M135" s="200">
        <f>SUMIF('10월'!$M$34:$M$145,연간_세부항목별지출!$C135,'10월'!$R$34:$R$145)</f>
        <v>0</v>
      </c>
      <c r="N135" s="200">
        <f>SUMIF('11월'!$M$34:$M$145,연간_세부항목별지출!$C135,'11월'!$R$34:$R$145)</f>
        <v>0</v>
      </c>
      <c r="O135" s="200">
        <f>SUMIF('12월'!$M$34:$M$145,연간_세부항목별지출!$C135,'12월'!$R$34:$R$145)</f>
        <v>0</v>
      </c>
      <c r="P135" s="264">
        <f t="shared" si="2"/>
        <v>0</v>
      </c>
      <c r="Q135" s="264">
        <f t="shared" si="3"/>
        <v>0</v>
      </c>
      <c r="R135" s="307" t="str">
        <f t="shared" si="8"/>
        <v/>
      </c>
    </row>
    <row r="136" spans="2:18" ht="18" customHeight="1" x14ac:dyDescent="0.3">
      <c r="B136" s="546"/>
      <c r="C136" s="270" t="str">
        <f>IF(항목!L13="","",항목!L13)</f>
        <v/>
      </c>
      <c r="D136" s="200">
        <f>SUMIF('1월'!$M$34:$M$165,연간_세부항목별지출!$C136,'1월'!$T$34:$T$165)</f>
        <v>0</v>
      </c>
      <c r="E136" s="200">
        <f>SUMIF('2월'!$M$34:$M$145,연간_세부항목별지출!$C136,'2월'!$T$34:$T$145)</f>
        <v>0</v>
      </c>
      <c r="F136" s="200">
        <f>SUMIF('3월'!$M$34:$M$145,연간_세부항목별지출!$C136,'3월'!$R$34:$R$145)</f>
        <v>0</v>
      </c>
      <c r="G136" s="200">
        <f>SUMIF('4월'!$M$34:$M$145,연간_세부항목별지출!$C136,'4월'!$R$34:$R$145)</f>
        <v>0</v>
      </c>
      <c r="H136" s="200">
        <f>SUMIF('5월'!$M$34:$M$145,연간_세부항목별지출!$C136,'5월'!$R$34:$R$145)</f>
        <v>0</v>
      </c>
      <c r="I136" s="200">
        <f>SUMIF('6월'!$M$34:$M$145,연간_세부항목별지출!$C136,'6월'!$R$34:$R$145)</f>
        <v>0</v>
      </c>
      <c r="J136" s="200">
        <f>SUMIF('7월'!$M$34:$M$145,연간_세부항목별지출!$C136,'7월'!$R$34:$R$145)</f>
        <v>0</v>
      </c>
      <c r="K136" s="200">
        <f>SUMIF('8월'!$M$34:$M$145,연간_세부항목별지출!$C136,'8월'!$R$34:$R$145)</f>
        <v>0</v>
      </c>
      <c r="L136" s="200">
        <f>SUMIF('9월'!$M$34:$M$145,연간_세부항목별지출!$C136,'9월'!$R$34:$R$145)</f>
        <v>0</v>
      </c>
      <c r="M136" s="200">
        <f>SUMIF('10월'!$M$34:$M$145,연간_세부항목별지출!$C136,'10월'!$R$34:$R$145)</f>
        <v>0</v>
      </c>
      <c r="N136" s="200">
        <f>SUMIF('11월'!$M$34:$M$145,연간_세부항목별지출!$C136,'11월'!$R$34:$R$145)</f>
        <v>0</v>
      </c>
      <c r="O136" s="200">
        <f>SUMIF('12월'!$M$34:$M$145,연간_세부항목별지출!$C136,'12월'!$R$34:$R$145)</f>
        <v>0</v>
      </c>
      <c r="P136" s="264">
        <f t="shared" si="2"/>
        <v>0</v>
      </c>
      <c r="Q136" s="264">
        <f t="shared" si="3"/>
        <v>0</v>
      </c>
      <c r="R136" s="307" t="str">
        <f t="shared" si="8"/>
        <v/>
      </c>
    </row>
    <row r="137" spans="2:18" ht="18" customHeight="1" x14ac:dyDescent="0.3">
      <c r="B137" s="546"/>
      <c r="C137" s="270" t="str">
        <f>IF(항목!L14="","",항목!L14)</f>
        <v/>
      </c>
      <c r="D137" s="200">
        <f>SUMIF('1월'!$M$34:$M$165,연간_세부항목별지출!$C137,'1월'!$T$34:$T$165)</f>
        <v>0</v>
      </c>
      <c r="E137" s="200">
        <f>SUMIF('2월'!$M$34:$M$145,연간_세부항목별지출!$C137,'2월'!$T$34:$T$145)</f>
        <v>0</v>
      </c>
      <c r="F137" s="200">
        <f>SUMIF('3월'!$M$34:$M$145,연간_세부항목별지출!$C137,'3월'!$R$34:$R$145)</f>
        <v>0</v>
      </c>
      <c r="G137" s="200">
        <f>SUMIF('4월'!$M$34:$M$145,연간_세부항목별지출!$C137,'4월'!$R$34:$R$145)</f>
        <v>0</v>
      </c>
      <c r="H137" s="200">
        <f>SUMIF('5월'!$M$34:$M$145,연간_세부항목별지출!$C137,'5월'!$R$34:$R$145)</f>
        <v>0</v>
      </c>
      <c r="I137" s="200">
        <f>SUMIF('6월'!$M$34:$M$145,연간_세부항목별지출!$C137,'6월'!$R$34:$R$145)</f>
        <v>0</v>
      </c>
      <c r="J137" s="200">
        <f>SUMIF('7월'!$M$34:$M$145,연간_세부항목별지출!$C137,'7월'!$R$34:$R$145)</f>
        <v>0</v>
      </c>
      <c r="K137" s="200">
        <f>SUMIF('8월'!$M$34:$M$145,연간_세부항목별지출!$C137,'8월'!$R$34:$R$145)</f>
        <v>0</v>
      </c>
      <c r="L137" s="200">
        <f>SUMIF('9월'!$M$34:$M$145,연간_세부항목별지출!$C137,'9월'!$R$34:$R$145)</f>
        <v>0</v>
      </c>
      <c r="M137" s="200">
        <f>SUMIF('10월'!$M$34:$M$145,연간_세부항목별지출!$C137,'10월'!$R$34:$R$145)</f>
        <v>0</v>
      </c>
      <c r="N137" s="200">
        <f>SUMIF('11월'!$M$34:$M$145,연간_세부항목별지출!$C137,'11월'!$R$34:$R$145)</f>
        <v>0</v>
      </c>
      <c r="O137" s="200">
        <f>SUMIF('12월'!$M$34:$M$145,연간_세부항목별지출!$C137,'12월'!$R$34:$R$145)</f>
        <v>0</v>
      </c>
      <c r="P137" s="264">
        <f t="shared" si="2"/>
        <v>0</v>
      </c>
      <c r="Q137" s="264">
        <f t="shared" si="3"/>
        <v>0</v>
      </c>
      <c r="R137" s="307" t="str">
        <f t="shared" si="8"/>
        <v/>
      </c>
    </row>
    <row r="138" spans="2:18" ht="18" customHeight="1" x14ac:dyDescent="0.3">
      <c r="B138" s="546"/>
      <c r="C138" s="270" t="str">
        <f>IF(항목!L15="","",항목!L15)</f>
        <v/>
      </c>
      <c r="D138" s="200">
        <f>SUMIF('1월'!$M$34:$M$165,연간_세부항목별지출!$C138,'1월'!$T$34:$T$165)</f>
        <v>0</v>
      </c>
      <c r="E138" s="200">
        <f>SUMIF('2월'!$M$34:$M$145,연간_세부항목별지출!$C138,'2월'!$T$34:$T$145)</f>
        <v>0</v>
      </c>
      <c r="F138" s="200">
        <f>SUMIF('3월'!$M$34:$M$145,연간_세부항목별지출!$C138,'3월'!$R$34:$R$145)</f>
        <v>0</v>
      </c>
      <c r="G138" s="200">
        <f>SUMIF('4월'!$M$34:$M$145,연간_세부항목별지출!$C138,'4월'!$R$34:$R$145)</f>
        <v>0</v>
      </c>
      <c r="H138" s="200">
        <f>SUMIF('5월'!$M$34:$M$145,연간_세부항목별지출!$C138,'5월'!$R$34:$R$145)</f>
        <v>0</v>
      </c>
      <c r="I138" s="200">
        <f>SUMIF('6월'!$M$34:$M$145,연간_세부항목별지출!$C138,'6월'!$R$34:$R$145)</f>
        <v>0</v>
      </c>
      <c r="J138" s="200">
        <f>SUMIF('7월'!$M$34:$M$145,연간_세부항목별지출!$C138,'7월'!$R$34:$R$145)</f>
        <v>0</v>
      </c>
      <c r="K138" s="200">
        <f>SUMIF('8월'!$M$34:$M$145,연간_세부항목별지출!$C138,'8월'!$R$34:$R$145)</f>
        <v>0</v>
      </c>
      <c r="L138" s="200">
        <f>SUMIF('9월'!$M$34:$M$145,연간_세부항목별지출!$C138,'9월'!$R$34:$R$145)</f>
        <v>0</v>
      </c>
      <c r="M138" s="200">
        <f>SUMIF('10월'!$M$34:$M$145,연간_세부항목별지출!$C138,'10월'!$R$34:$R$145)</f>
        <v>0</v>
      </c>
      <c r="N138" s="200">
        <f>SUMIF('11월'!$M$34:$M$145,연간_세부항목별지출!$C138,'11월'!$R$34:$R$145)</f>
        <v>0</v>
      </c>
      <c r="O138" s="200">
        <f>SUMIF('12월'!$M$34:$M$145,연간_세부항목별지출!$C138,'12월'!$R$34:$R$145)</f>
        <v>0</v>
      </c>
      <c r="P138" s="264">
        <f t="shared" si="2"/>
        <v>0</v>
      </c>
      <c r="Q138" s="264">
        <f t="shared" si="3"/>
        <v>0</v>
      </c>
      <c r="R138" s="307" t="str">
        <f t="shared" si="8"/>
        <v/>
      </c>
    </row>
    <row r="139" spans="2:18" ht="18" customHeight="1" x14ac:dyDescent="0.3">
      <c r="B139" s="546"/>
      <c r="C139" s="270" t="str">
        <f>IF(항목!L16="","",항목!L16)</f>
        <v/>
      </c>
      <c r="D139" s="200">
        <f>SUMIF('1월'!$M$34:$M$165,연간_세부항목별지출!$C139,'1월'!$T$34:$T$165)</f>
        <v>0</v>
      </c>
      <c r="E139" s="200">
        <f>SUMIF('2월'!$M$34:$M$145,연간_세부항목별지출!$C139,'2월'!$T$34:$T$145)</f>
        <v>0</v>
      </c>
      <c r="F139" s="200">
        <f>SUMIF('3월'!$M$34:$M$145,연간_세부항목별지출!$C139,'3월'!$R$34:$R$145)</f>
        <v>0</v>
      </c>
      <c r="G139" s="200">
        <f>SUMIF('4월'!$M$34:$M$145,연간_세부항목별지출!$C139,'4월'!$R$34:$R$145)</f>
        <v>0</v>
      </c>
      <c r="H139" s="200">
        <f>SUMIF('5월'!$M$34:$M$145,연간_세부항목별지출!$C139,'5월'!$R$34:$R$145)</f>
        <v>0</v>
      </c>
      <c r="I139" s="200">
        <f>SUMIF('6월'!$M$34:$M$145,연간_세부항목별지출!$C139,'6월'!$R$34:$R$145)</f>
        <v>0</v>
      </c>
      <c r="J139" s="200">
        <f>SUMIF('7월'!$M$34:$M$145,연간_세부항목별지출!$C139,'7월'!$R$34:$R$145)</f>
        <v>0</v>
      </c>
      <c r="K139" s="200">
        <f>SUMIF('8월'!$M$34:$M$145,연간_세부항목별지출!$C139,'8월'!$R$34:$R$145)</f>
        <v>0</v>
      </c>
      <c r="L139" s="200">
        <f>SUMIF('9월'!$M$34:$M$145,연간_세부항목별지출!$C139,'9월'!$R$34:$R$145)</f>
        <v>0</v>
      </c>
      <c r="M139" s="200">
        <f>SUMIF('10월'!$M$34:$M$145,연간_세부항목별지출!$C139,'10월'!$R$34:$R$145)</f>
        <v>0</v>
      </c>
      <c r="N139" s="200">
        <f>SUMIF('11월'!$M$34:$M$145,연간_세부항목별지출!$C139,'11월'!$R$34:$R$145)</f>
        <v>0</v>
      </c>
      <c r="O139" s="200">
        <f>SUMIF('12월'!$M$34:$M$145,연간_세부항목별지출!$C139,'12월'!$R$34:$R$145)</f>
        <v>0</v>
      </c>
      <c r="P139" s="264">
        <f t="shared" si="2"/>
        <v>0</v>
      </c>
      <c r="Q139" s="264">
        <f t="shared" si="3"/>
        <v>0</v>
      </c>
      <c r="R139" s="307" t="str">
        <f t="shared" si="8"/>
        <v/>
      </c>
    </row>
    <row r="140" spans="2:18" ht="18" customHeight="1" x14ac:dyDescent="0.3">
      <c r="B140" s="546"/>
      <c r="C140" s="270" t="str">
        <f>IF(항목!L17="","",항목!L17)</f>
        <v/>
      </c>
      <c r="D140" s="200">
        <f>SUMIF('1월'!$M$34:$M$165,연간_세부항목별지출!$C140,'1월'!$T$34:$T$165)</f>
        <v>0</v>
      </c>
      <c r="E140" s="200">
        <f>SUMIF('2월'!$M$34:$M$145,연간_세부항목별지출!$C140,'2월'!$T$34:$T$145)</f>
        <v>0</v>
      </c>
      <c r="F140" s="200">
        <f>SUMIF('3월'!$M$34:$M$145,연간_세부항목별지출!$C140,'3월'!$R$34:$R$145)</f>
        <v>0</v>
      </c>
      <c r="G140" s="200">
        <f>SUMIF('4월'!$M$34:$M$145,연간_세부항목별지출!$C140,'4월'!$R$34:$R$145)</f>
        <v>0</v>
      </c>
      <c r="H140" s="200">
        <f>SUMIF('5월'!$M$34:$M$145,연간_세부항목별지출!$C140,'5월'!$R$34:$R$145)</f>
        <v>0</v>
      </c>
      <c r="I140" s="200">
        <f>SUMIF('6월'!$M$34:$M$145,연간_세부항목별지출!$C140,'6월'!$R$34:$R$145)</f>
        <v>0</v>
      </c>
      <c r="J140" s="200">
        <f>SUMIF('7월'!$M$34:$M$145,연간_세부항목별지출!$C140,'7월'!$R$34:$R$145)</f>
        <v>0</v>
      </c>
      <c r="K140" s="200">
        <f>SUMIF('8월'!$M$34:$M$145,연간_세부항목별지출!$C140,'8월'!$R$34:$R$145)</f>
        <v>0</v>
      </c>
      <c r="L140" s="200">
        <f>SUMIF('9월'!$M$34:$M$145,연간_세부항목별지출!$C140,'9월'!$R$34:$R$145)</f>
        <v>0</v>
      </c>
      <c r="M140" s="200">
        <f>SUMIF('10월'!$M$34:$M$145,연간_세부항목별지출!$C140,'10월'!$R$34:$R$145)</f>
        <v>0</v>
      </c>
      <c r="N140" s="200">
        <f>SUMIF('11월'!$M$34:$M$145,연간_세부항목별지출!$C140,'11월'!$R$34:$R$145)</f>
        <v>0</v>
      </c>
      <c r="O140" s="200">
        <f>SUMIF('12월'!$M$34:$M$145,연간_세부항목별지출!$C140,'12월'!$R$34:$R$145)</f>
        <v>0</v>
      </c>
      <c r="P140" s="264">
        <f t="shared" si="2"/>
        <v>0</v>
      </c>
      <c r="Q140" s="264">
        <f t="shared" si="3"/>
        <v>0</v>
      </c>
      <c r="R140" s="307" t="str">
        <f t="shared" si="8"/>
        <v/>
      </c>
    </row>
    <row r="141" spans="2:18" ht="18" customHeight="1" thickBot="1" x14ac:dyDescent="0.35">
      <c r="B141" s="547"/>
      <c r="C141" s="317" t="str">
        <f>IF(항목!L18="","",항목!L18)</f>
        <v/>
      </c>
      <c r="D141" s="318">
        <f>SUMIF('1월'!$M$34:$M$165,연간_세부항목별지출!$C141,'1월'!$T$34:$T$165)</f>
        <v>0</v>
      </c>
      <c r="E141" s="318">
        <f>SUMIF('2월'!$M$34:$M$145,연간_세부항목별지출!$C141,'2월'!$T$34:$T$145)</f>
        <v>0</v>
      </c>
      <c r="F141" s="318">
        <f>SUMIF('3월'!$M$34:$M$145,연간_세부항목별지출!$C141,'3월'!$R$34:$R$145)</f>
        <v>0</v>
      </c>
      <c r="G141" s="318">
        <f>SUMIF('4월'!$M$34:$M$145,연간_세부항목별지출!$C141,'4월'!$R$34:$R$145)</f>
        <v>0</v>
      </c>
      <c r="H141" s="318">
        <f>SUMIF('5월'!$M$34:$M$145,연간_세부항목별지출!$C141,'5월'!$R$34:$R$145)</f>
        <v>0</v>
      </c>
      <c r="I141" s="318">
        <f>SUMIF('6월'!$M$34:$M$145,연간_세부항목별지출!$C141,'6월'!$R$34:$R$145)</f>
        <v>0</v>
      </c>
      <c r="J141" s="318">
        <f>SUMIF('7월'!$M$34:$M$145,연간_세부항목별지출!$C141,'7월'!$R$34:$R$145)</f>
        <v>0</v>
      </c>
      <c r="K141" s="318">
        <f>SUMIF('8월'!$M$34:$M$145,연간_세부항목별지출!$C141,'8월'!$R$34:$R$145)</f>
        <v>0</v>
      </c>
      <c r="L141" s="318">
        <f>SUMIF('9월'!$M$34:$M$145,연간_세부항목별지출!$C141,'9월'!$R$34:$R$145)</f>
        <v>0</v>
      </c>
      <c r="M141" s="318">
        <f>SUMIF('10월'!$M$34:$M$145,연간_세부항목별지출!$C141,'10월'!$R$34:$R$145)</f>
        <v>0</v>
      </c>
      <c r="N141" s="318">
        <f>SUMIF('11월'!$M$34:$M$145,연간_세부항목별지출!$C141,'11월'!$R$34:$R$145)</f>
        <v>0</v>
      </c>
      <c r="O141" s="318">
        <f>SUMIF('12월'!$M$34:$M$145,연간_세부항목별지출!$C141,'12월'!$R$34:$R$145)</f>
        <v>0</v>
      </c>
      <c r="P141" s="273">
        <f t="shared" si="2"/>
        <v>0</v>
      </c>
      <c r="Q141" s="273">
        <f t="shared" si="3"/>
        <v>0</v>
      </c>
      <c r="R141" s="310" t="str">
        <f t="shared" si="8"/>
        <v/>
      </c>
    </row>
    <row r="142" spans="2:18" ht="18" customHeight="1" x14ac:dyDescent="0.3">
      <c r="B142" s="545" t="str">
        <f>항목!M3</f>
        <v>유류교통비</v>
      </c>
      <c r="C142" s="316" t="str">
        <f>IF(항목!M4="","",항목!M4)</f>
        <v>자동차보험</v>
      </c>
      <c r="D142" s="205">
        <f>SUMIF('1월'!$M$34:$M$165,연간_세부항목별지출!$C142,'1월'!$T$34:$T$165)</f>
        <v>0</v>
      </c>
      <c r="E142" s="205">
        <f>SUMIF('2월'!$M$34:$M$145,연간_세부항목별지출!$C142,'2월'!$T$34:$T$145)</f>
        <v>0</v>
      </c>
      <c r="F142" s="205">
        <f>SUMIF('3월'!$M$34:$M$145,연간_세부항목별지출!$C142,'3월'!$R$34:$R$145)</f>
        <v>0</v>
      </c>
      <c r="G142" s="205">
        <f>SUMIF('4월'!$M$34:$M$145,연간_세부항목별지출!$C142,'4월'!$R$34:$R$145)</f>
        <v>0</v>
      </c>
      <c r="H142" s="205">
        <f>SUMIF('5월'!$M$34:$M$145,연간_세부항목별지출!$C142,'5월'!$R$34:$R$145)</f>
        <v>0</v>
      </c>
      <c r="I142" s="205">
        <f>SUMIF('6월'!$M$34:$M$145,연간_세부항목별지출!$C142,'6월'!$R$34:$R$145)</f>
        <v>0</v>
      </c>
      <c r="J142" s="205">
        <f>SUMIF('7월'!$M$34:$M$145,연간_세부항목별지출!$C142,'7월'!$R$34:$R$145)</f>
        <v>0</v>
      </c>
      <c r="K142" s="205">
        <f>SUMIF('8월'!$M$34:$M$145,연간_세부항목별지출!$C142,'8월'!$R$34:$R$145)</f>
        <v>0</v>
      </c>
      <c r="L142" s="205">
        <f>SUMIF('9월'!$M$34:$M$145,연간_세부항목별지출!$C142,'9월'!$R$34:$R$145)</f>
        <v>0</v>
      </c>
      <c r="M142" s="205">
        <f>SUMIF('10월'!$M$34:$M$145,연간_세부항목별지출!$C142,'10월'!$R$34:$R$145)</f>
        <v>0</v>
      </c>
      <c r="N142" s="205">
        <f>SUMIF('11월'!$M$34:$M$145,연간_세부항목별지출!$C142,'11월'!$R$34:$R$145)</f>
        <v>0</v>
      </c>
      <c r="O142" s="205">
        <f>SUMIF('12월'!$M$34:$M$145,연간_세부항목별지출!$C142,'12월'!$R$34:$R$145)</f>
        <v>0</v>
      </c>
      <c r="P142" s="319">
        <f t="shared" si="2"/>
        <v>0</v>
      </c>
      <c r="Q142" s="319">
        <f t="shared" si="3"/>
        <v>0</v>
      </c>
      <c r="R142" s="320" t="str">
        <f t="shared" si="8"/>
        <v/>
      </c>
    </row>
    <row r="143" spans="2:18" ht="18" customHeight="1" x14ac:dyDescent="0.3">
      <c r="B143" s="546"/>
      <c r="C143" s="271" t="str">
        <f>IF(항목!M5="","",항목!M5)</f>
        <v>자동차할부</v>
      </c>
      <c r="D143" s="200">
        <f>SUMIF('1월'!$M$34:$M$165,연간_세부항목별지출!$C143,'1월'!$T$34:$T$165)</f>
        <v>0</v>
      </c>
      <c r="E143" s="200">
        <f>SUMIF('2월'!$M$34:$M$145,연간_세부항목별지출!$C143,'2월'!$T$34:$T$145)</f>
        <v>0</v>
      </c>
      <c r="F143" s="200">
        <f>SUMIF('3월'!$M$34:$M$145,연간_세부항목별지출!$C143,'3월'!$R$34:$R$145)</f>
        <v>0</v>
      </c>
      <c r="G143" s="200">
        <f>SUMIF('4월'!$M$34:$M$145,연간_세부항목별지출!$C143,'4월'!$R$34:$R$145)</f>
        <v>0</v>
      </c>
      <c r="H143" s="200">
        <f>SUMIF('5월'!$M$34:$M$145,연간_세부항목별지출!$C143,'5월'!$R$34:$R$145)</f>
        <v>0</v>
      </c>
      <c r="I143" s="200">
        <f>SUMIF('6월'!$M$34:$M$145,연간_세부항목별지출!$C143,'6월'!$R$34:$R$145)</f>
        <v>0</v>
      </c>
      <c r="J143" s="200">
        <f>SUMIF('7월'!$M$34:$M$145,연간_세부항목별지출!$C143,'7월'!$R$34:$R$145)</f>
        <v>0</v>
      </c>
      <c r="K143" s="200">
        <f>SUMIF('8월'!$M$34:$M$145,연간_세부항목별지출!$C143,'8월'!$R$34:$R$145)</f>
        <v>0</v>
      </c>
      <c r="L143" s="200">
        <f>SUMIF('9월'!$M$34:$M$145,연간_세부항목별지출!$C143,'9월'!$R$34:$R$145)</f>
        <v>0</v>
      </c>
      <c r="M143" s="200">
        <f>SUMIF('10월'!$M$34:$M$145,연간_세부항목별지출!$C143,'10월'!$R$34:$R$145)</f>
        <v>0</v>
      </c>
      <c r="N143" s="200">
        <f>SUMIF('11월'!$M$34:$M$145,연간_세부항목별지출!$C143,'11월'!$R$34:$R$145)</f>
        <v>0</v>
      </c>
      <c r="O143" s="200">
        <f>SUMIF('12월'!$M$34:$M$145,연간_세부항목별지출!$C143,'12월'!$R$34:$R$145)</f>
        <v>0</v>
      </c>
      <c r="P143" s="264">
        <f t="shared" si="2"/>
        <v>0</v>
      </c>
      <c r="Q143" s="264">
        <f t="shared" si="3"/>
        <v>0</v>
      </c>
      <c r="R143" s="307" t="str">
        <f t="shared" si="8"/>
        <v/>
      </c>
    </row>
    <row r="144" spans="2:18" ht="18" customHeight="1" x14ac:dyDescent="0.3">
      <c r="B144" s="546"/>
      <c r="C144" s="271" t="str">
        <f>IF(항목!M6="","",항목!M6)</f>
        <v>자동차세</v>
      </c>
      <c r="D144" s="200">
        <f>SUMIF('1월'!$M$34:$M$165,연간_세부항목별지출!$C144,'1월'!$T$34:$T$165)</f>
        <v>0</v>
      </c>
      <c r="E144" s="200">
        <f>SUMIF('2월'!$M$34:$M$145,연간_세부항목별지출!$C144,'2월'!$T$34:$T$145)</f>
        <v>0</v>
      </c>
      <c r="F144" s="200">
        <f>SUMIF('3월'!$M$34:$M$145,연간_세부항목별지출!$C144,'3월'!$R$34:$R$145)</f>
        <v>0</v>
      </c>
      <c r="G144" s="200">
        <f>SUMIF('4월'!$M$34:$M$145,연간_세부항목별지출!$C144,'4월'!$R$34:$R$145)</f>
        <v>0</v>
      </c>
      <c r="H144" s="200">
        <f>SUMIF('5월'!$M$34:$M$145,연간_세부항목별지출!$C144,'5월'!$R$34:$R$145)</f>
        <v>0</v>
      </c>
      <c r="I144" s="200">
        <f>SUMIF('6월'!$M$34:$M$145,연간_세부항목별지출!$C144,'6월'!$R$34:$R$145)</f>
        <v>0</v>
      </c>
      <c r="J144" s="200">
        <f>SUMIF('7월'!$M$34:$M$145,연간_세부항목별지출!$C144,'7월'!$R$34:$R$145)</f>
        <v>0</v>
      </c>
      <c r="K144" s="200">
        <f>SUMIF('8월'!$M$34:$M$145,연간_세부항목별지출!$C144,'8월'!$R$34:$R$145)</f>
        <v>0</v>
      </c>
      <c r="L144" s="200">
        <f>SUMIF('9월'!$M$34:$M$145,연간_세부항목별지출!$C144,'9월'!$R$34:$R$145)</f>
        <v>0</v>
      </c>
      <c r="M144" s="200">
        <f>SUMIF('10월'!$M$34:$M$145,연간_세부항목별지출!$C144,'10월'!$R$34:$R$145)</f>
        <v>0</v>
      </c>
      <c r="N144" s="200">
        <f>SUMIF('11월'!$M$34:$M$145,연간_세부항목별지출!$C144,'11월'!$R$34:$R$145)</f>
        <v>0</v>
      </c>
      <c r="O144" s="200">
        <f>SUMIF('12월'!$M$34:$M$145,연간_세부항목별지출!$C144,'12월'!$R$34:$R$145)</f>
        <v>0</v>
      </c>
      <c r="P144" s="264">
        <f t="shared" si="2"/>
        <v>0</v>
      </c>
      <c r="Q144" s="264">
        <f t="shared" si="3"/>
        <v>0</v>
      </c>
      <c r="R144" s="307" t="str">
        <f t="shared" si="8"/>
        <v/>
      </c>
    </row>
    <row r="145" spans="2:18" ht="18" customHeight="1" x14ac:dyDescent="0.3">
      <c r="B145" s="546"/>
      <c r="C145" s="271" t="str">
        <f>IF(항목!M7="","",항목!M7)</f>
        <v>유류비/충전비</v>
      </c>
      <c r="D145" s="200">
        <f>SUMIF('1월'!$M$34:$M$165,연간_세부항목별지출!$C145,'1월'!$T$34:$T$165)</f>
        <v>0</v>
      </c>
      <c r="E145" s="200">
        <f>SUMIF('2월'!$M$34:$M$145,연간_세부항목별지출!$C145,'2월'!$T$34:$T$145)</f>
        <v>0</v>
      </c>
      <c r="F145" s="200">
        <f>SUMIF('3월'!$M$34:$M$145,연간_세부항목별지출!$C145,'3월'!$R$34:$R$145)</f>
        <v>0</v>
      </c>
      <c r="G145" s="200">
        <f>SUMIF('4월'!$M$34:$M$145,연간_세부항목별지출!$C145,'4월'!$R$34:$R$145)</f>
        <v>0</v>
      </c>
      <c r="H145" s="200">
        <f>SUMIF('5월'!$M$34:$M$145,연간_세부항목별지출!$C145,'5월'!$R$34:$R$145)</f>
        <v>0</v>
      </c>
      <c r="I145" s="200">
        <f>SUMIF('6월'!$M$34:$M$145,연간_세부항목별지출!$C145,'6월'!$R$34:$R$145)</f>
        <v>0</v>
      </c>
      <c r="J145" s="200">
        <f>SUMIF('7월'!$M$34:$M$145,연간_세부항목별지출!$C145,'7월'!$R$34:$R$145)</f>
        <v>0</v>
      </c>
      <c r="K145" s="200">
        <f>SUMIF('8월'!$M$34:$M$145,연간_세부항목별지출!$C145,'8월'!$R$34:$R$145)</f>
        <v>0</v>
      </c>
      <c r="L145" s="200">
        <f>SUMIF('9월'!$M$34:$M$145,연간_세부항목별지출!$C145,'9월'!$R$34:$R$145)</f>
        <v>0</v>
      </c>
      <c r="M145" s="200">
        <f>SUMIF('10월'!$M$34:$M$145,연간_세부항목별지출!$C145,'10월'!$R$34:$R$145)</f>
        <v>0</v>
      </c>
      <c r="N145" s="200">
        <f>SUMIF('11월'!$M$34:$M$145,연간_세부항목별지출!$C145,'11월'!$R$34:$R$145)</f>
        <v>0</v>
      </c>
      <c r="O145" s="200">
        <f>SUMIF('12월'!$M$34:$M$145,연간_세부항목별지출!$C145,'12월'!$R$34:$R$145)</f>
        <v>0</v>
      </c>
      <c r="P145" s="264">
        <f t="shared" si="2"/>
        <v>0</v>
      </c>
      <c r="Q145" s="264">
        <f t="shared" si="3"/>
        <v>0</v>
      </c>
      <c r="R145" s="307" t="str">
        <f t="shared" si="8"/>
        <v/>
      </c>
    </row>
    <row r="146" spans="2:18" ht="18" customHeight="1" x14ac:dyDescent="0.3">
      <c r="B146" s="546"/>
      <c r="C146" s="271" t="str">
        <f>IF(항목!M8="","",항목!M8)</f>
        <v>수리비</v>
      </c>
      <c r="D146" s="200">
        <f>SUMIF('1월'!$M$34:$M$165,연간_세부항목별지출!$C146,'1월'!$T$34:$T$165)</f>
        <v>0</v>
      </c>
      <c r="E146" s="200">
        <f>SUMIF('2월'!$M$34:$M$145,연간_세부항목별지출!$C146,'2월'!$T$34:$T$145)</f>
        <v>0</v>
      </c>
      <c r="F146" s="200">
        <f>SUMIF('3월'!$M$34:$M$145,연간_세부항목별지출!$C146,'3월'!$R$34:$R$145)</f>
        <v>0</v>
      </c>
      <c r="G146" s="200">
        <f>SUMIF('4월'!$M$34:$M$145,연간_세부항목별지출!$C146,'4월'!$R$34:$R$145)</f>
        <v>0</v>
      </c>
      <c r="H146" s="200">
        <f>SUMIF('5월'!$M$34:$M$145,연간_세부항목별지출!$C146,'5월'!$R$34:$R$145)</f>
        <v>0</v>
      </c>
      <c r="I146" s="200">
        <f>SUMIF('6월'!$M$34:$M$145,연간_세부항목별지출!$C146,'6월'!$R$34:$R$145)</f>
        <v>0</v>
      </c>
      <c r="J146" s="200">
        <f>SUMIF('7월'!$M$34:$M$145,연간_세부항목별지출!$C146,'7월'!$R$34:$R$145)</f>
        <v>0</v>
      </c>
      <c r="K146" s="200">
        <f>SUMIF('8월'!$M$34:$M$145,연간_세부항목별지출!$C146,'8월'!$R$34:$R$145)</f>
        <v>0</v>
      </c>
      <c r="L146" s="200">
        <f>SUMIF('9월'!$M$34:$M$145,연간_세부항목별지출!$C146,'9월'!$R$34:$R$145)</f>
        <v>0</v>
      </c>
      <c r="M146" s="200">
        <f>SUMIF('10월'!$M$34:$M$145,연간_세부항목별지출!$C146,'10월'!$R$34:$R$145)</f>
        <v>0</v>
      </c>
      <c r="N146" s="200">
        <f>SUMIF('11월'!$M$34:$M$145,연간_세부항목별지출!$C146,'11월'!$R$34:$R$145)</f>
        <v>0</v>
      </c>
      <c r="O146" s="200">
        <f>SUMIF('12월'!$M$34:$M$145,연간_세부항목별지출!$C146,'12월'!$R$34:$R$145)</f>
        <v>0</v>
      </c>
      <c r="P146" s="264">
        <f t="shared" si="2"/>
        <v>0</v>
      </c>
      <c r="Q146" s="264">
        <f t="shared" si="3"/>
        <v>0</v>
      </c>
      <c r="R146" s="307" t="str">
        <f t="shared" si="8"/>
        <v/>
      </c>
    </row>
    <row r="147" spans="2:18" ht="18" customHeight="1" x14ac:dyDescent="0.3">
      <c r="B147" s="546"/>
      <c r="C147" s="271" t="str">
        <f>IF(항목!M9="","",항목!M9)</f>
        <v>톨비/하이패스</v>
      </c>
      <c r="D147" s="200">
        <f>SUMIF('1월'!$M$34:$M$165,연간_세부항목별지출!$C147,'1월'!$T$34:$T$165)</f>
        <v>0</v>
      </c>
      <c r="E147" s="200">
        <f>SUMIF('2월'!$M$34:$M$145,연간_세부항목별지출!$C147,'2월'!$T$34:$T$145)</f>
        <v>0</v>
      </c>
      <c r="F147" s="200">
        <f>SUMIF('3월'!$M$34:$M$145,연간_세부항목별지출!$C147,'3월'!$R$34:$R$145)</f>
        <v>0</v>
      </c>
      <c r="G147" s="200">
        <f>SUMIF('4월'!$M$34:$M$145,연간_세부항목별지출!$C147,'4월'!$R$34:$R$145)</f>
        <v>0</v>
      </c>
      <c r="H147" s="200">
        <f>SUMIF('5월'!$M$34:$M$145,연간_세부항목별지출!$C147,'5월'!$R$34:$R$145)</f>
        <v>0</v>
      </c>
      <c r="I147" s="200">
        <f>SUMIF('6월'!$M$34:$M$145,연간_세부항목별지출!$C147,'6월'!$R$34:$R$145)</f>
        <v>0</v>
      </c>
      <c r="J147" s="200">
        <f>SUMIF('7월'!$M$34:$M$145,연간_세부항목별지출!$C147,'7월'!$R$34:$R$145)</f>
        <v>0</v>
      </c>
      <c r="K147" s="200">
        <f>SUMIF('8월'!$M$34:$M$145,연간_세부항목별지출!$C147,'8월'!$R$34:$R$145)</f>
        <v>0</v>
      </c>
      <c r="L147" s="200">
        <f>SUMIF('9월'!$M$34:$M$145,연간_세부항목별지출!$C147,'9월'!$R$34:$R$145)</f>
        <v>0</v>
      </c>
      <c r="M147" s="200">
        <f>SUMIF('10월'!$M$34:$M$145,연간_세부항목별지출!$C147,'10월'!$R$34:$R$145)</f>
        <v>0</v>
      </c>
      <c r="N147" s="200">
        <f>SUMIF('11월'!$M$34:$M$145,연간_세부항목별지출!$C147,'11월'!$R$34:$R$145)</f>
        <v>0</v>
      </c>
      <c r="O147" s="200">
        <f>SUMIF('12월'!$M$34:$M$145,연간_세부항목별지출!$C147,'12월'!$R$34:$R$145)</f>
        <v>0</v>
      </c>
      <c r="P147" s="264">
        <f t="shared" si="2"/>
        <v>0</v>
      </c>
      <c r="Q147" s="264">
        <f t="shared" si="3"/>
        <v>0</v>
      </c>
      <c r="R147" s="307" t="str">
        <f t="shared" si="8"/>
        <v/>
      </c>
    </row>
    <row r="148" spans="2:18" ht="18" customHeight="1" x14ac:dyDescent="0.3">
      <c r="B148" s="546"/>
      <c r="C148" s="271" t="str">
        <f>IF(항목!M10="","",항목!M10)</f>
        <v>주차비</v>
      </c>
      <c r="D148" s="200">
        <f>SUMIF('1월'!$M$34:$M$165,연간_세부항목별지출!$C148,'1월'!$T$34:$T$165)</f>
        <v>0</v>
      </c>
      <c r="E148" s="200">
        <f>SUMIF('2월'!$M$34:$M$145,연간_세부항목별지출!$C148,'2월'!$T$34:$T$145)</f>
        <v>0</v>
      </c>
      <c r="F148" s="200">
        <f>SUMIF('3월'!$M$34:$M$145,연간_세부항목별지출!$C148,'3월'!$R$34:$R$145)</f>
        <v>0</v>
      </c>
      <c r="G148" s="200">
        <f>SUMIF('4월'!$M$34:$M$145,연간_세부항목별지출!$C148,'4월'!$R$34:$R$145)</f>
        <v>0</v>
      </c>
      <c r="H148" s="200">
        <f>SUMIF('5월'!$M$34:$M$145,연간_세부항목별지출!$C148,'5월'!$R$34:$R$145)</f>
        <v>0</v>
      </c>
      <c r="I148" s="200">
        <f>SUMIF('6월'!$M$34:$M$145,연간_세부항목별지출!$C148,'6월'!$R$34:$R$145)</f>
        <v>0</v>
      </c>
      <c r="J148" s="200">
        <f>SUMIF('7월'!$M$34:$M$145,연간_세부항목별지출!$C148,'7월'!$R$34:$R$145)</f>
        <v>0</v>
      </c>
      <c r="K148" s="200">
        <f>SUMIF('8월'!$M$34:$M$145,연간_세부항목별지출!$C148,'8월'!$R$34:$R$145)</f>
        <v>0</v>
      </c>
      <c r="L148" s="200">
        <f>SUMIF('9월'!$M$34:$M$145,연간_세부항목별지출!$C148,'9월'!$R$34:$R$145)</f>
        <v>0</v>
      </c>
      <c r="M148" s="200">
        <f>SUMIF('10월'!$M$34:$M$145,연간_세부항목별지출!$C148,'10월'!$R$34:$R$145)</f>
        <v>0</v>
      </c>
      <c r="N148" s="200">
        <f>SUMIF('11월'!$M$34:$M$145,연간_세부항목별지출!$C148,'11월'!$R$34:$R$145)</f>
        <v>0</v>
      </c>
      <c r="O148" s="200">
        <f>SUMIF('12월'!$M$34:$M$145,연간_세부항목별지출!$C148,'12월'!$R$34:$R$145)</f>
        <v>0</v>
      </c>
      <c r="P148" s="264">
        <f t="shared" si="2"/>
        <v>0</v>
      </c>
      <c r="Q148" s="264">
        <f t="shared" si="3"/>
        <v>0</v>
      </c>
      <c r="R148" s="307" t="str">
        <f t="shared" si="8"/>
        <v/>
      </c>
    </row>
    <row r="149" spans="2:18" ht="18" customHeight="1" x14ac:dyDescent="0.3">
      <c r="B149" s="546"/>
      <c r="C149" s="271" t="str">
        <f>IF(항목!M11="","",항목!M11)</f>
        <v>버스/지하철</v>
      </c>
      <c r="D149" s="200">
        <f>SUMIF('1월'!$M$34:$M$165,연간_세부항목별지출!$C149,'1월'!$T$34:$T$165)</f>
        <v>0</v>
      </c>
      <c r="E149" s="200">
        <f>SUMIF('2월'!$M$34:$M$145,연간_세부항목별지출!$C149,'2월'!$T$34:$T$145)</f>
        <v>0</v>
      </c>
      <c r="F149" s="200">
        <f>SUMIF('3월'!$M$34:$M$145,연간_세부항목별지출!$C149,'3월'!$R$34:$R$145)</f>
        <v>0</v>
      </c>
      <c r="G149" s="200">
        <f>SUMIF('4월'!$M$34:$M$145,연간_세부항목별지출!$C149,'4월'!$R$34:$R$145)</f>
        <v>0</v>
      </c>
      <c r="H149" s="200">
        <f>SUMIF('5월'!$M$34:$M$145,연간_세부항목별지출!$C149,'5월'!$R$34:$R$145)</f>
        <v>0</v>
      </c>
      <c r="I149" s="200">
        <f>SUMIF('6월'!$M$34:$M$145,연간_세부항목별지출!$C149,'6월'!$R$34:$R$145)</f>
        <v>0</v>
      </c>
      <c r="J149" s="200">
        <f>SUMIF('7월'!$M$34:$M$145,연간_세부항목별지출!$C149,'7월'!$R$34:$R$145)</f>
        <v>0</v>
      </c>
      <c r="K149" s="200">
        <f>SUMIF('8월'!$M$34:$M$145,연간_세부항목별지출!$C149,'8월'!$R$34:$R$145)</f>
        <v>0</v>
      </c>
      <c r="L149" s="200">
        <f>SUMIF('9월'!$M$34:$M$145,연간_세부항목별지출!$C149,'9월'!$R$34:$R$145)</f>
        <v>0</v>
      </c>
      <c r="M149" s="200">
        <f>SUMIF('10월'!$M$34:$M$145,연간_세부항목별지출!$C149,'10월'!$R$34:$R$145)</f>
        <v>0</v>
      </c>
      <c r="N149" s="200">
        <f>SUMIF('11월'!$M$34:$M$145,연간_세부항목별지출!$C149,'11월'!$R$34:$R$145)</f>
        <v>0</v>
      </c>
      <c r="O149" s="200">
        <f>SUMIF('12월'!$M$34:$M$145,연간_세부항목별지출!$C149,'12월'!$R$34:$R$145)</f>
        <v>0</v>
      </c>
      <c r="P149" s="264">
        <f t="shared" si="2"/>
        <v>0</v>
      </c>
      <c r="Q149" s="264">
        <f t="shared" si="3"/>
        <v>0</v>
      </c>
      <c r="R149" s="307" t="str">
        <f t="shared" si="8"/>
        <v/>
      </c>
    </row>
    <row r="150" spans="2:18" ht="18" customHeight="1" x14ac:dyDescent="0.3">
      <c r="B150" s="546"/>
      <c r="C150" s="271" t="str">
        <f>IF(항목!M12="","",항목!M12)</f>
        <v>택시</v>
      </c>
      <c r="D150" s="200">
        <f>SUMIF('1월'!$M$34:$M$165,연간_세부항목별지출!$C150,'1월'!$T$34:$T$165)</f>
        <v>0</v>
      </c>
      <c r="E150" s="200">
        <f>SUMIF('2월'!$M$34:$M$145,연간_세부항목별지출!$C150,'2월'!$T$34:$T$145)</f>
        <v>0</v>
      </c>
      <c r="F150" s="200">
        <f>SUMIF('3월'!$M$34:$M$145,연간_세부항목별지출!$C150,'3월'!$R$34:$R$145)</f>
        <v>0</v>
      </c>
      <c r="G150" s="200">
        <f>SUMIF('4월'!$M$34:$M$145,연간_세부항목별지출!$C150,'4월'!$R$34:$R$145)</f>
        <v>0</v>
      </c>
      <c r="H150" s="200">
        <f>SUMIF('5월'!$M$34:$M$145,연간_세부항목별지출!$C150,'5월'!$R$34:$R$145)</f>
        <v>0</v>
      </c>
      <c r="I150" s="200">
        <f>SUMIF('6월'!$M$34:$M$145,연간_세부항목별지출!$C150,'6월'!$R$34:$R$145)</f>
        <v>0</v>
      </c>
      <c r="J150" s="200">
        <f>SUMIF('7월'!$M$34:$M$145,연간_세부항목별지출!$C150,'7월'!$R$34:$R$145)</f>
        <v>0</v>
      </c>
      <c r="K150" s="200">
        <f>SUMIF('8월'!$M$34:$M$145,연간_세부항목별지출!$C150,'8월'!$R$34:$R$145)</f>
        <v>0</v>
      </c>
      <c r="L150" s="200">
        <f>SUMIF('9월'!$M$34:$M$145,연간_세부항목별지출!$C150,'9월'!$R$34:$R$145)</f>
        <v>0</v>
      </c>
      <c r="M150" s="200">
        <f>SUMIF('10월'!$M$34:$M$145,연간_세부항목별지출!$C150,'10월'!$R$34:$R$145)</f>
        <v>0</v>
      </c>
      <c r="N150" s="200">
        <f>SUMIF('11월'!$M$34:$M$145,연간_세부항목별지출!$C150,'11월'!$R$34:$R$145)</f>
        <v>0</v>
      </c>
      <c r="O150" s="200">
        <f>SUMIF('12월'!$M$34:$M$145,연간_세부항목별지출!$C150,'12월'!$R$34:$R$145)</f>
        <v>0</v>
      </c>
      <c r="P150" s="264">
        <f t="shared" si="2"/>
        <v>0</v>
      </c>
      <c r="Q150" s="264">
        <f t="shared" si="3"/>
        <v>0</v>
      </c>
      <c r="R150" s="307" t="str">
        <f t="shared" si="8"/>
        <v/>
      </c>
    </row>
    <row r="151" spans="2:18" ht="18" customHeight="1" x14ac:dyDescent="0.3">
      <c r="B151" s="546"/>
      <c r="C151" s="271" t="str">
        <f>IF(항목!M13="","",항목!M13)</f>
        <v>기차</v>
      </c>
      <c r="D151" s="200">
        <f>SUMIF('1월'!$M$34:$M$165,연간_세부항목별지출!$C151,'1월'!$T$34:$T$165)</f>
        <v>0</v>
      </c>
      <c r="E151" s="200">
        <f>SUMIF('2월'!$M$34:$M$145,연간_세부항목별지출!$C151,'2월'!$T$34:$T$145)</f>
        <v>0</v>
      </c>
      <c r="F151" s="200">
        <f>SUMIF('3월'!$M$34:$M$145,연간_세부항목별지출!$C151,'3월'!$R$34:$R$145)</f>
        <v>0</v>
      </c>
      <c r="G151" s="200">
        <f>SUMIF('4월'!$M$34:$M$145,연간_세부항목별지출!$C151,'4월'!$R$34:$R$145)</f>
        <v>0</v>
      </c>
      <c r="H151" s="200">
        <f>SUMIF('5월'!$M$34:$M$145,연간_세부항목별지출!$C151,'5월'!$R$34:$R$145)</f>
        <v>0</v>
      </c>
      <c r="I151" s="200">
        <f>SUMIF('6월'!$M$34:$M$145,연간_세부항목별지출!$C151,'6월'!$R$34:$R$145)</f>
        <v>0</v>
      </c>
      <c r="J151" s="200">
        <f>SUMIF('7월'!$M$34:$M$145,연간_세부항목별지출!$C151,'7월'!$R$34:$R$145)</f>
        <v>0</v>
      </c>
      <c r="K151" s="200">
        <f>SUMIF('8월'!$M$34:$M$145,연간_세부항목별지출!$C151,'8월'!$R$34:$R$145)</f>
        <v>0</v>
      </c>
      <c r="L151" s="200">
        <f>SUMIF('9월'!$M$34:$M$145,연간_세부항목별지출!$C151,'9월'!$R$34:$R$145)</f>
        <v>0</v>
      </c>
      <c r="M151" s="200">
        <f>SUMIF('10월'!$M$34:$M$145,연간_세부항목별지출!$C151,'10월'!$R$34:$R$145)</f>
        <v>0</v>
      </c>
      <c r="N151" s="200">
        <f>SUMIF('11월'!$M$34:$M$145,연간_세부항목별지출!$C151,'11월'!$R$34:$R$145)</f>
        <v>0</v>
      </c>
      <c r="O151" s="200">
        <f>SUMIF('12월'!$M$34:$M$145,연간_세부항목별지출!$C151,'12월'!$R$34:$R$145)</f>
        <v>0</v>
      </c>
      <c r="P151" s="264">
        <f t="shared" si="2"/>
        <v>0</v>
      </c>
      <c r="Q151" s="264">
        <f t="shared" si="3"/>
        <v>0</v>
      </c>
      <c r="R151" s="307" t="str">
        <f t="shared" ref="R151:R182" si="9">IF(P151&gt;0,P151/$P$21,"")</f>
        <v/>
      </c>
    </row>
    <row r="152" spans="2:18" ht="18" customHeight="1" x14ac:dyDescent="0.3">
      <c r="B152" s="546"/>
      <c r="C152" s="271" t="str">
        <f>IF(항목!M14="","",항목!M14)</f>
        <v>항공</v>
      </c>
      <c r="D152" s="200">
        <f>SUMIF('1월'!$M$34:$M$165,연간_세부항목별지출!$C152,'1월'!$T$34:$T$165)</f>
        <v>0</v>
      </c>
      <c r="E152" s="200">
        <f>SUMIF('2월'!$M$34:$M$145,연간_세부항목별지출!$C152,'2월'!$T$34:$T$145)</f>
        <v>0</v>
      </c>
      <c r="F152" s="200">
        <f>SUMIF('3월'!$M$34:$M$145,연간_세부항목별지출!$C152,'3월'!$R$34:$R$145)</f>
        <v>0</v>
      </c>
      <c r="G152" s="200">
        <f>SUMIF('4월'!$M$34:$M$145,연간_세부항목별지출!$C152,'4월'!$R$34:$R$145)</f>
        <v>0</v>
      </c>
      <c r="H152" s="200">
        <f>SUMIF('5월'!$M$34:$M$145,연간_세부항목별지출!$C152,'5월'!$R$34:$R$145)</f>
        <v>0</v>
      </c>
      <c r="I152" s="200">
        <f>SUMIF('6월'!$M$34:$M$145,연간_세부항목별지출!$C152,'6월'!$R$34:$R$145)</f>
        <v>0</v>
      </c>
      <c r="J152" s="200">
        <f>SUMIF('7월'!$M$34:$M$145,연간_세부항목별지출!$C152,'7월'!$R$34:$R$145)</f>
        <v>0</v>
      </c>
      <c r="K152" s="200">
        <f>SUMIF('8월'!$M$34:$M$145,연간_세부항목별지출!$C152,'8월'!$R$34:$R$145)</f>
        <v>0</v>
      </c>
      <c r="L152" s="200">
        <f>SUMIF('9월'!$M$34:$M$145,연간_세부항목별지출!$C152,'9월'!$R$34:$R$145)</f>
        <v>0</v>
      </c>
      <c r="M152" s="200">
        <f>SUMIF('10월'!$M$34:$M$145,연간_세부항목별지출!$C152,'10월'!$R$34:$R$145)</f>
        <v>0</v>
      </c>
      <c r="N152" s="200">
        <f>SUMIF('11월'!$M$34:$M$145,연간_세부항목별지출!$C152,'11월'!$R$34:$R$145)</f>
        <v>0</v>
      </c>
      <c r="O152" s="200">
        <f>SUMIF('12월'!$M$34:$M$145,연간_세부항목별지출!$C152,'12월'!$R$34:$R$145)</f>
        <v>0</v>
      </c>
      <c r="P152" s="264">
        <f t="shared" si="2"/>
        <v>0</v>
      </c>
      <c r="Q152" s="264">
        <f t="shared" si="3"/>
        <v>0</v>
      </c>
      <c r="R152" s="307" t="str">
        <f t="shared" si="9"/>
        <v/>
      </c>
    </row>
    <row r="153" spans="2:18" ht="18" customHeight="1" x14ac:dyDescent="0.3">
      <c r="B153" s="546"/>
      <c r="C153" s="271" t="str">
        <f>IF(항목!M15="","",항목!M15)</f>
        <v>기타 교통</v>
      </c>
      <c r="D153" s="200">
        <f>SUMIF('1월'!$M$34:$M$165,연간_세부항목별지출!$C153,'1월'!$T$34:$T$165)</f>
        <v>0</v>
      </c>
      <c r="E153" s="200">
        <f>SUMIF('2월'!$M$34:$M$145,연간_세부항목별지출!$C153,'2월'!$T$34:$T$145)</f>
        <v>0</v>
      </c>
      <c r="F153" s="200">
        <f>SUMIF('3월'!$M$34:$M$145,연간_세부항목별지출!$C153,'3월'!$R$34:$R$145)</f>
        <v>0</v>
      </c>
      <c r="G153" s="200">
        <f>SUMIF('4월'!$M$34:$M$145,연간_세부항목별지출!$C153,'4월'!$R$34:$R$145)</f>
        <v>0</v>
      </c>
      <c r="H153" s="200">
        <f>SUMIF('5월'!$M$34:$M$145,연간_세부항목별지출!$C153,'5월'!$R$34:$R$145)</f>
        <v>0</v>
      </c>
      <c r="I153" s="200">
        <f>SUMIF('6월'!$M$34:$M$145,연간_세부항목별지출!$C153,'6월'!$R$34:$R$145)</f>
        <v>0</v>
      </c>
      <c r="J153" s="200">
        <f>SUMIF('7월'!$M$34:$M$145,연간_세부항목별지출!$C153,'7월'!$R$34:$R$145)</f>
        <v>0</v>
      </c>
      <c r="K153" s="200">
        <f>SUMIF('8월'!$M$34:$M$145,연간_세부항목별지출!$C153,'8월'!$R$34:$R$145)</f>
        <v>0</v>
      </c>
      <c r="L153" s="200">
        <f>SUMIF('9월'!$M$34:$M$145,연간_세부항목별지출!$C153,'9월'!$R$34:$R$145)</f>
        <v>0</v>
      </c>
      <c r="M153" s="200">
        <f>SUMIF('10월'!$M$34:$M$145,연간_세부항목별지출!$C153,'10월'!$R$34:$R$145)</f>
        <v>0</v>
      </c>
      <c r="N153" s="200">
        <f>SUMIF('11월'!$M$34:$M$145,연간_세부항목별지출!$C153,'11월'!$R$34:$R$145)</f>
        <v>0</v>
      </c>
      <c r="O153" s="200">
        <f>SUMIF('12월'!$M$34:$M$145,연간_세부항목별지출!$C153,'12월'!$R$34:$R$145)</f>
        <v>0</v>
      </c>
      <c r="P153" s="264">
        <f t="shared" si="2"/>
        <v>0</v>
      </c>
      <c r="Q153" s="264">
        <f t="shared" si="3"/>
        <v>0</v>
      </c>
      <c r="R153" s="307" t="str">
        <f t="shared" si="9"/>
        <v/>
      </c>
    </row>
    <row r="154" spans="2:18" ht="18" customHeight="1" x14ac:dyDescent="0.3">
      <c r="B154" s="546"/>
      <c r="C154" s="271" t="str">
        <f>IF(항목!M16="","",항목!M16)</f>
        <v/>
      </c>
      <c r="D154" s="200">
        <f>SUMIF('1월'!$M$34:$M$165,연간_세부항목별지출!$C154,'1월'!$T$34:$T$165)</f>
        <v>0</v>
      </c>
      <c r="E154" s="200">
        <f>SUMIF('2월'!$M$34:$M$145,연간_세부항목별지출!$C154,'2월'!$T$34:$T$145)</f>
        <v>0</v>
      </c>
      <c r="F154" s="200">
        <f>SUMIF('3월'!$M$34:$M$145,연간_세부항목별지출!$C154,'3월'!$R$34:$R$145)</f>
        <v>0</v>
      </c>
      <c r="G154" s="200">
        <f>SUMIF('4월'!$M$34:$M$145,연간_세부항목별지출!$C154,'4월'!$R$34:$R$145)</f>
        <v>0</v>
      </c>
      <c r="H154" s="200">
        <f>SUMIF('5월'!$M$34:$M$145,연간_세부항목별지출!$C154,'5월'!$R$34:$R$145)</f>
        <v>0</v>
      </c>
      <c r="I154" s="200">
        <f>SUMIF('6월'!$M$34:$M$145,연간_세부항목별지출!$C154,'6월'!$R$34:$R$145)</f>
        <v>0</v>
      </c>
      <c r="J154" s="200">
        <f>SUMIF('7월'!$M$34:$M$145,연간_세부항목별지출!$C154,'7월'!$R$34:$R$145)</f>
        <v>0</v>
      </c>
      <c r="K154" s="200">
        <f>SUMIF('8월'!$M$34:$M$145,연간_세부항목별지출!$C154,'8월'!$R$34:$R$145)</f>
        <v>0</v>
      </c>
      <c r="L154" s="200">
        <f>SUMIF('9월'!$M$34:$M$145,연간_세부항목별지출!$C154,'9월'!$R$34:$R$145)</f>
        <v>0</v>
      </c>
      <c r="M154" s="200">
        <f>SUMIF('10월'!$M$34:$M$145,연간_세부항목별지출!$C154,'10월'!$R$34:$R$145)</f>
        <v>0</v>
      </c>
      <c r="N154" s="200">
        <f>SUMIF('11월'!$M$34:$M$145,연간_세부항목별지출!$C154,'11월'!$R$34:$R$145)</f>
        <v>0</v>
      </c>
      <c r="O154" s="200">
        <f>SUMIF('12월'!$M$34:$M$145,연간_세부항목별지출!$C154,'12월'!$R$34:$R$145)</f>
        <v>0</v>
      </c>
      <c r="P154" s="264">
        <f t="shared" si="2"/>
        <v>0</v>
      </c>
      <c r="Q154" s="264">
        <f t="shared" si="3"/>
        <v>0</v>
      </c>
      <c r="R154" s="307" t="str">
        <f t="shared" si="9"/>
        <v/>
      </c>
    </row>
    <row r="155" spans="2:18" ht="18" customHeight="1" x14ac:dyDescent="0.3">
      <c r="B155" s="546"/>
      <c r="C155" s="271" t="str">
        <f>IF(항목!M17="","",항목!M17)</f>
        <v/>
      </c>
      <c r="D155" s="200">
        <f>SUMIF('1월'!$M$34:$M$165,연간_세부항목별지출!$C155,'1월'!$T$34:$T$165)</f>
        <v>0</v>
      </c>
      <c r="E155" s="200">
        <f>SUMIF('2월'!$M$34:$M$145,연간_세부항목별지출!$C155,'2월'!$T$34:$T$145)</f>
        <v>0</v>
      </c>
      <c r="F155" s="200">
        <f>SUMIF('3월'!$M$34:$M$145,연간_세부항목별지출!$C155,'3월'!$R$34:$R$145)</f>
        <v>0</v>
      </c>
      <c r="G155" s="200">
        <f>SUMIF('4월'!$M$34:$M$145,연간_세부항목별지출!$C155,'4월'!$R$34:$R$145)</f>
        <v>0</v>
      </c>
      <c r="H155" s="200">
        <f>SUMIF('5월'!$M$34:$M$145,연간_세부항목별지출!$C155,'5월'!$R$34:$R$145)</f>
        <v>0</v>
      </c>
      <c r="I155" s="200">
        <f>SUMIF('6월'!$M$34:$M$145,연간_세부항목별지출!$C155,'6월'!$R$34:$R$145)</f>
        <v>0</v>
      </c>
      <c r="J155" s="200">
        <f>SUMIF('7월'!$M$34:$M$145,연간_세부항목별지출!$C155,'7월'!$R$34:$R$145)</f>
        <v>0</v>
      </c>
      <c r="K155" s="200">
        <f>SUMIF('8월'!$M$34:$M$145,연간_세부항목별지출!$C155,'8월'!$R$34:$R$145)</f>
        <v>0</v>
      </c>
      <c r="L155" s="200">
        <f>SUMIF('9월'!$M$34:$M$145,연간_세부항목별지출!$C155,'9월'!$R$34:$R$145)</f>
        <v>0</v>
      </c>
      <c r="M155" s="200">
        <f>SUMIF('10월'!$M$34:$M$145,연간_세부항목별지출!$C155,'10월'!$R$34:$R$145)</f>
        <v>0</v>
      </c>
      <c r="N155" s="200">
        <f>SUMIF('11월'!$M$34:$M$145,연간_세부항목별지출!$C155,'11월'!$R$34:$R$145)</f>
        <v>0</v>
      </c>
      <c r="O155" s="200">
        <f>SUMIF('12월'!$M$34:$M$145,연간_세부항목별지출!$C155,'12월'!$R$34:$R$145)</f>
        <v>0</v>
      </c>
      <c r="P155" s="264">
        <f t="shared" si="2"/>
        <v>0</v>
      </c>
      <c r="Q155" s="264">
        <f t="shared" si="3"/>
        <v>0</v>
      </c>
      <c r="R155" s="307" t="str">
        <f t="shared" si="9"/>
        <v/>
      </c>
    </row>
    <row r="156" spans="2:18" ht="18" customHeight="1" thickBot="1" x14ac:dyDescent="0.35">
      <c r="B156" s="547"/>
      <c r="C156" s="272" t="str">
        <f>IF(항목!M18="","",항목!M18)</f>
        <v/>
      </c>
      <c r="D156" s="318">
        <f>SUMIF('1월'!$M$34:$M$165,연간_세부항목별지출!$C156,'1월'!$T$34:$T$165)</f>
        <v>0</v>
      </c>
      <c r="E156" s="318">
        <f>SUMIF('2월'!$M$34:$M$145,연간_세부항목별지출!$C156,'2월'!$T$34:$T$145)</f>
        <v>0</v>
      </c>
      <c r="F156" s="318">
        <f>SUMIF('3월'!$M$34:$M$145,연간_세부항목별지출!$C156,'3월'!$R$34:$R$145)</f>
        <v>0</v>
      </c>
      <c r="G156" s="318">
        <f>SUMIF('4월'!$M$34:$M$145,연간_세부항목별지출!$C156,'4월'!$R$34:$R$145)</f>
        <v>0</v>
      </c>
      <c r="H156" s="318">
        <f>SUMIF('5월'!$M$34:$M$145,연간_세부항목별지출!$C156,'5월'!$R$34:$R$145)</f>
        <v>0</v>
      </c>
      <c r="I156" s="318">
        <f>SUMIF('6월'!$M$34:$M$145,연간_세부항목별지출!$C156,'6월'!$R$34:$R$145)</f>
        <v>0</v>
      </c>
      <c r="J156" s="318">
        <f>SUMIF('7월'!$M$34:$M$145,연간_세부항목별지출!$C156,'7월'!$R$34:$R$145)</f>
        <v>0</v>
      </c>
      <c r="K156" s="318">
        <f>SUMIF('8월'!$M$34:$M$145,연간_세부항목별지출!$C156,'8월'!$R$34:$R$145)</f>
        <v>0</v>
      </c>
      <c r="L156" s="318">
        <f>SUMIF('9월'!$M$34:$M$145,연간_세부항목별지출!$C156,'9월'!$R$34:$R$145)</f>
        <v>0</v>
      </c>
      <c r="M156" s="318">
        <f>SUMIF('10월'!$M$34:$M$145,연간_세부항목별지출!$C156,'10월'!$R$34:$R$145)</f>
        <v>0</v>
      </c>
      <c r="N156" s="318">
        <f>SUMIF('11월'!$M$34:$M$145,연간_세부항목별지출!$C156,'11월'!$R$34:$R$145)</f>
        <v>0</v>
      </c>
      <c r="O156" s="318">
        <f>SUMIF('12월'!$M$34:$M$145,연간_세부항목별지출!$C156,'12월'!$R$34:$R$145)</f>
        <v>0</v>
      </c>
      <c r="P156" s="273">
        <f t="shared" si="2"/>
        <v>0</v>
      </c>
      <c r="Q156" s="273">
        <f t="shared" si="3"/>
        <v>0</v>
      </c>
      <c r="R156" s="310" t="str">
        <f t="shared" si="9"/>
        <v/>
      </c>
    </row>
    <row r="157" spans="2:18" ht="18" customHeight="1" x14ac:dyDescent="0.3">
      <c r="B157" s="545" t="str">
        <f>항목!N3</f>
        <v>통신비</v>
      </c>
      <c r="C157" s="316" t="str">
        <f>IF(항목!N4="","",항목!N4)</f>
        <v>핸드폰</v>
      </c>
      <c r="D157" s="205">
        <f>SUMIF('1월'!$M$34:$M$165,연간_세부항목별지출!$C157,'1월'!$T$34:$T$165)</f>
        <v>0</v>
      </c>
      <c r="E157" s="205">
        <f>SUMIF('2월'!$M$34:$M$145,연간_세부항목별지출!$C157,'2월'!$T$34:$T$145)</f>
        <v>0</v>
      </c>
      <c r="F157" s="205">
        <f>SUMIF('3월'!$M$34:$M$145,연간_세부항목별지출!$C157,'3월'!$R$34:$R$145)</f>
        <v>0</v>
      </c>
      <c r="G157" s="205">
        <f>SUMIF('4월'!$M$34:$M$145,연간_세부항목별지출!$C157,'4월'!$R$34:$R$145)</f>
        <v>0</v>
      </c>
      <c r="H157" s="205">
        <f>SUMIF('5월'!$M$34:$M$145,연간_세부항목별지출!$C157,'5월'!$R$34:$R$145)</f>
        <v>0</v>
      </c>
      <c r="I157" s="205">
        <f>SUMIF('6월'!$M$34:$M$145,연간_세부항목별지출!$C157,'6월'!$R$34:$R$145)</f>
        <v>0</v>
      </c>
      <c r="J157" s="205">
        <f>SUMIF('7월'!$M$34:$M$145,연간_세부항목별지출!$C157,'7월'!$R$34:$R$145)</f>
        <v>0</v>
      </c>
      <c r="K157" s="205">
        <f>SUMIF('8월'!$M$34:$M$145,연간_세부항목별지출!$C157,'8월'!$R$34:$R$145)</f>
        <v>0</v>
      </c>
      <c r="L157" s="205">
        <f>SUMIF('9월'!$M$34:$M$145,연간_세부항목별지출!$C157,'9월'!$R$34:$R$145)</f>
        <v>0</v>
      </c>
      <c r="M157" s="205">
        <f>SUMIF('10월'!$M$34:$M$145,연간_세부항목별지출!$C157,'10월'!$R$34:$R$145)</f>
        <v>0</v>
      </c>
      <c r="N157" s="205">
        <f>SUMIF('11월'!$M$34:$M$145,연간_세부항목별지출!$C157,'11월'!$R$34:$R$145)</f>
        <v>0</v>
      </c>
      <c r="O157" s="205">
        <f>SUMIF('12월'!$M$34:$M$145,연간_세부항목별지출!$C157,'12월'!$R$34:$R$145)</f>
        <v>0</v>
      </c>
      <c r="P157" s="319">
        <f t="shared" si="2"/>
        <v>0</v>
      </c>
      <c r="Q157" s="319">
        <f t="shared" si="3"/>
        <v>0</v>
      </c>
      <c r="R157" s="320" t="str">
        <f t="shared" si="9"/>
        <v/>
      </c>
    </row>
    <row r="158" spans="2:18" ht="18" customHeight="1" x14ac:dyDescent="0.3">
      <c r="B158" s="546"/>
      <c r="C158" s="270" t="str">
        <f>IF(항목!N5="","",항목!N5)</f>
        <v>인터넷</v>
      </c>
      <c r="D158" s="200">
        <f>SUMIF('1월'!$M$34:$M$165,연간_세부항목별지출!$C158,'1월'!$T$34:$T$165)</f>
        <v>0</v>
      </c>
      <c r="E158" s="200">
        <f>SUMIF('2월'!$M$34:$M$145,연간_세부항목별지출!$C158,'2월'!$T$34:$T$145)</f>
        <v>0</v>
      </c>
      <c r="F158" s="200">
        <f>SUMIF('3월'!$M$34:$M$145,연간_세부항목별지출!$C158,'3월'!$R$34:$R$145)</f>
        <v>0</v>
      </c>
      <c r="G158" s="200">
        <f>SUMIF('4월'!$M$34:$M$145,연간_세부항목별지출!$C158,'4월'!$R$34:$R$145)</f>
        <v>0</v>
      </c>
      <c r="H158" s="200">
        <f>SUMIF('5월'!$M$34:$M$145,연간_세부항목별지출!$C158,'5월'!$R$34:$R$145)</f>
        <v>0</v>
      </c>
      <c r="I158" s="200">
        <f>SUMIF('6월'!$M$34:$M$145,연간_세부항목별지출!$C158,'6월'!$R$34:$R$145)</f>
        <v>0</v>
      </c>
      <c r="J158" s="200">
        <f>SUMIF('7월'!$M$34:$M$145,연간_세부항목별지출!$C158,'7월'!$R$34:$R$145)</f>
        <v>0</v>
      </c>
      <c r="K158" s="200">
        <f>SUMIF('8월'!$M$34:$M$145,연간_세부항목별지출!$C158,'8월'!$R$34:$R$145)</f>
        <v>0</v>
      </c>
      <c r="L158" s="200">
        <f>SUMIF('9월'!$M$34:$M$145,연간_세부항목별지출!$C158,'9월'!$R$34:$R$145)</f>
        <v>0</v>
      </c>
      <c r="M158" s="200">
        <f>SUMIF('10월'!$M$34:$M$145,연간_세부항목별지출!$C158,'10월'!$R$34:$R$145)</f>
        <v>0</v>
      </c>
      <c r="N158" s="200">
        <f>SUMIF('11월'!$M$34:$M$145,연간_세부항목별지출!$C158,'11월'!$R$34:$R$145)</f>
        <v>0</v>
      </c>
      <c r="O158" s="200">
        <f>SUMIF('12월'!$M$34:$M$145,연간_세부항목별지출!$C158,'12월'!$R$34:$R$145)</f>
        <v>0</v>
      </c>
      <c r="P158" s="264">
        <f t="shared" si="2"/>
        <v>0</v>
      </c>
      <c r="Q158" s="264">
        <f t="shared" si="3"/>
        <v>0</v>
      </c>
      <c r="R158" s="307" t="str">
        <f t="shared" si="9"/>
        <v/>
      </c>
    </row>
    <row r="159" spans="2:18" ht="18" customHeight="1" x14ac:dyDescent="0.3">
      <c r="B159" s="546"/>
      <c r="C159" s="270" t="str">
        <f>IF(항목!N6="","",항목!N6)</f>
        <v>IPTV</v>
      </c>
      <c r="D159" s="200">
        <f>SUMIF('1월'!$M$34:$M$165,연간_세부항목별지출!$C159,'1월'!$T$34:$T$165)</f>
        <v>0</v>
      </c>
      <c r="E159" s="200">
        <f>SUMIF('2월'!$M$34:$M$145,연간_세부항목별지출!$C159,'2월'!$T$34:$T$145)</f>
        <v>0</v>
      </c>
      <c r="F159" s="200">
        <f>SUMIF('3월'!$M$34:$M$145,연간_세부항목별지출!$C159,'3월'!$R$34:$R$145)</f>
        <v>0</v>
      </c>
      <c r="G159" s="200">
        <f>SUMIF('4월'!$M$34:$M$145,연간_세부항목별지출!$C159,'4월'!$R$34:$R$145)</f>
        <v>0</v>
      </c>
      <c r="H159" s="200">
        <f>SUMIF('5월'!$M$34:$M$145,연간_세부항목별지출!$C159,'5월'!$R$34:$R$145)</f>
        <v>0</v>
      </c>
      <c r="I159" s="200">
        <f>SUMIF('6월'!$M$34:$M$145,연간_세부항목별지출!$C159,'6월'!$R$34:$R$145)</f>
        <v>0</v>
      </c>
      <c r="J159" s="200">
        <f>SUMIF('7월'!$M$34:$M$145,연간_세부항목별지출!$C159,'7월'!$R$34:$R$145)</f>
        <v>0</v>
      </c>
      <c r="K159" s="200">
        <f>SUMIF('8월'!$M$34:$M$145,연간_세부항목별지출!$C159,'8월'!$R$34:$R$145)</f>
        <v>0</v>
      </c>
      <c r="L159" s="200">
        <f>SUMIF('9월'!$M$34:$M$145,연간_세부항목별지출!$C159,'9월'!$R$34:$R$145)</f>
        <v>0</v>
      </c>
      <c r="M159" s="200">
        <f>SUMIF('10월'!$M$34:$M$145,연간_세부항목별지출!$C159,'10월'!$R$34:$R$145)</f>
        <v>0</v>
      </c>
      <c r="N159" s="200">
        <f>SUMIF('11월'!$M$34:$M$145,연간_세부항목별지출!$C159,'11월'!$R$34:$R$145)</f>
        <v>0</v>
      </c>
      <c r="O159" s="200">
        <f>SUMIF('12월'!$M$34:$M$145,연간_세부항목별지출!$C159,'12월'!$R$34:$R$145)</f>
        <v>0</v>
      </c>
      <c r="P159" s="264">
        <f t="shared" si="2"/>
        <v>0</v>
      </c>
      <c r="Q159" s="264">
        <f t="shared" si="3"/>
        <v>0</v>
      </c>
      <c r="R159" s="307" t="str">
        <f t="shared" si="9"/>
        <v/>
      </c>
    </row>
    <row r="160" spans="2:18" ht="18" customHeight="1" x14ac:dyDescent="0.3">
      <c r="B160" s="546"/>
      <c r="C160" s="270" t="str">
        <f>IF(항목!N7="","",항목!N7)</f>
        <v>우편/택배</v>
      </c>
      <c r="D160" s="200">
        <f>SUMIF('1월'!$M$34:$M$165,연간_세부항목별지출!$C160,'1월'!$T$34:$T$165)</f>
        <v>0</v>
      </c>
      <c r="E160" s="200">
        <f>SUMIF('2월'!$M$34:$M$145,연간_세부항목별지출!$C160,'2월'!$T$34:$T$145)</f>
        <v>0</v>
      </c>
      <c r="F160" s="200">
        <f>SUMIF('3월'!$M$34:$M$145,연간_세부항목별지출!$C160,'3월'!$R$34:$R$145)</f>
        <v>0</v>
      </c>
      <c r="G160" s="200">
        <f>SUMIF('4월'!$M$34:$M$145,연간_세부항목별지출!$C160,'4월'!$R$34:$R$145)</f>
        <v>0</v>
      </c>
      <c r="H160" s="200">
        <f>SUMIF('5월'!$M$34:$M$145,연간_세부항목별지출!$C160,'5월'!$R$34:$R$145)</f>
        <v>0</v>
      </c>
      <c r="I160" s="200">
        <f>SUMIF('6월'!$M$34:$M$145,연간_세부항목별지출!$C160,'6월'!$R$34:$R$145)</f>
        <v>0</v>
      </c>
      <c r="J160" s="200">
        <f>SUMIF('7월'!$M$34:$M$145,연간_세부항목별지출!$C160,'7월'!$R$34:$R$145)</f>
        <v>0</v>
      </c>
      <c r="K160" s="200">
        <f>SUMIF('8월'!$M$34:$M$145,연간_세부항목별지출!$C160,'8월'!$R$34:$R$145)</f>
        <v>0</v>
      </c>
      <c r="L160" s="200">
        <f>SUMIF('9월'!$M$34:$M$145,연간_세부항목별지출!$C160,'9월'!$R$34:$R$145)</f>
        <v>0</v>
      </c>
      <c r="M160" s="200">
        <f>SUMIF('10월'!$M$34:$M$145,연간_세부항목별지출!$C160,'10월'!$R$34:$R$145)</f>
        <v>0</v>
      </c>
      <c r="N160" s="200">
        <f>SUMIF('11월'!$M$34:$M$145,연간_세부항목별지출!$C160,'11월'!$R$34:$R$145)</f>
        <v>0</v>
      </c>
      <c r="O160" s="200">
        <f>SUMIF('12월'!$M$34:$M$145,연간_세부항목별지출!$C160,'12월'!$R$34:$R$145)</f>
        <v>0</v>
      </c>
      <c r="P160" s="264">
        <f t="shared" si="2"/>
        <v>0</v>
      </c>
      <c r="Q160" s="264">
        <f t="shared" si="3"/>
        <v>0</v>
      </c>
      <c r="R160" s="307" t="str">
        <f t="shared" si="9"/>
        <v/>
      </c>
    </row>
    <row r="161" spans="2:18" ht="18" customHeight="1" x14ac:dyDescent="0.3">
      <c r="B161" s="546"/>
      <c r="C161" s="270" t="str">
        <f>IF(항목!N8="","",항목!N8)</f>
        <v>기타 통신</v>
      </c>
      <c r="D161" s="200">
        <f>SUMIF('1월'!$M$34:$M$165,연간_세부항목별지출!$C161,'1월'!$T$34:$T$165)</f>
        <v>0</v>
      </c>
      <c r="E161" s="200">
        <f>SUMIF('2월'!$M$34:$M$145,연간_세부항목별지출!$C161,'2월'!$T$34:$T$145)</f>
        <v>0</v>
      </c>
      <c r="F161" s="200">
        <f>SUMIF('3월'!$M$34:$M$145,연간_세부항목별지출!$C161,'3월'!$R$34:$R$145)</f>
        <v>0</v>
      </c>
      <c r="G161" s="200">
        <f>SUMIF('4월'!$M$34:$M$145,연간_세부항목별지출!$C161,'4월'!$R$34:$R$145)</f>
        <v>0</v>
      </c>
      <c r="H161" s="200">
        <f>SUMIF('5월'!$M$34:$M$145,연간_세부항목별지출!$C161,'5월'!$R$34:$R$145)</f>
        <v>0</v>
      </c>
      <c r="I161" s="200">
        <f>SUMIF('6월'!$M$34:$M$145,연간_세부항목별지출!$C161,'6월'!$R$34:$R$145)</f>
        <v>0</v>
      </c>
      <c r="J161" s="200">
        <f>SUMIF('7월'!$M$34:$M$145,연간_세부항목별지출!$C161,'7월'!$R$34:$R$145)</f>
        <v>0</v>
      </c>
      <c r="K161" s="200">
        <f>SUMIF('8월'!$M$34:$M$145,연간_세부항목별지출!$C161,'8월'!$R$34:$R$145)</f>
        <v>0</v>
      </c>
      <c r="L161" s="200">
        <f>SUMIF('9월'!$M$34:$M$145,연간_세부항목별지출!$C161,'9월'!$R$34:$R$145)</f>
        <v>0</v>
      </c>
      <c r="M161" s="200">
        <f>SUMIF('10월'!$M$34:$M$145,연간_세부항목별지출!$C161,'10월'!$R$34:$R$145)</f>
        <v>0</v>
      </c>
      <c r="N161" s="200">
        <f>SUMIF('11월'!$M$34:$M$145,연간_세부항목별지출!$C161,'11월'!$R$34:$R$145)</f>
        <v>0</v>
      </c>
      <c r="O161" s="200">
        <f>SUMIF('12월'!$M$34:$M$145,연간_세부항목별지출!$C161,'12월'!$R$34:$R$145)</f>
        <v>0</v>
      </c>
      <c r="P161" s="264">
        <f t="shared" si="2"/>
        <v>0</v>
      </c>
      <c r="Q161" s="264">
        <f t="shared" si="3"/>
        <v>0</v>
      </c>
      <c r="R161" s="307" t="str">
        <f t="shared" si="9"/>
        <v/>
      </c>
    </row>
    <row r="162" spans="2:18" ht="18" customHeight="1" x14ac:dyDescent="0.3">
      <c r="B162" s="546"/>
      <c r="C162" s="270" t="str">
        <f>IF(항목!N9="","",항목!N9)</f>
        <v/>
      </c>
      <c r="D162" s="200">
        <f>SUMIF('1월'!$M$34:$M$165,연간_세부항목별지출!$C162,'1월'!$T$34:$T$165)</f>
        <v>0</v>
      </c>
      <c r="E162" s="200">
        <f>SUMIF('2월'!$M$34:$M$145,연간_세부항목별지출!$C162,'2월'!$T$34:$T$145)</f>
        <v>0</v>
      </c>
      <c r="F162" s="200">
        <f>SUMIF('3월'!$M$34:$M$145,연간_세부항목별지출!$C162,'3월'!$R$34:$R$145)</f>
        <v>0</v>
      </c>
      <c r="G162" s="200">
        <f>SUMIF('4월'!$M$34:$M$145,연간_세부항목별지출!$C162,'4월'!$R$34:$R$145)</f>
        <v>0</v>
      </c>
      <c r="H162" s="200">
        <f>SUMIF('5월'!$M$34:$M$145,연간_세부항목별지출!$C162,'5월'!$R$34:$R$145)</f>
        <v>0</v>
      </c>
      <c r="I162" s="200">
        <f>SUMIF('6월'!$M$34:$M$145,연간_세부항목별지출!$C162,'6월'!$R$34:$R$145)</f>
        <v>0</v>
      </c>
      <c r="J162" s="200">
        <f>SUMIF('7월'!$M$34:$M$145,연간_세부항목별지출!$C162,'7월'!$R$34:$R$145)</f>
        <v>0</v>
      </c>
      <c r="K162" s="200">
        <f>SUMIF('8월'!$M$34:$M$145,연간_세부항목별지출!$C162,'8월'!$R$34:$R$145)</f>
        <v>0</v>
      </c>
      <c r="L162" s="200">
        <f>SUMIF('9월'!$M$34:$M$145,연간_세부항목별지출!$C162,'9월'!$R$34:$R$145)</f>
        <v>0</v>
      </c>
      <c r="M162" s="200">
        <f>SUMIF('10월'!$M$34:$M$145,연간_세부항목별지출!$C162,'10월'!$R$34:$R$145)</f>
        <v>0</v>
      </c>
      <c r="N162" s="200">
        <f>SUMIF('11월'!$M$34:$M$145,연간_세부항목별지출!$C162,'11월'!$R$34:$R$145)</f>
        <v>0</v>
      </c>
      <c r="O162" s="200">
        <f>SUMIF('12월'!$M$34:$M$145,연간_세부항목별지출!$C162,'12월'!$R$34:$R$145)</f>
        <v>0</v>
      </c>
      <c r="P162" s="264">
        <f t="shared" si="2"/>
        <v>0</v>
      </c>
      <c r="Q162" s="264">
        <f t="shared" si="3"/>
        <v>0</v>
      </c>
      <c r="R162" s="307" t="str">
        <f t="shared" si="9"/>
        <v/>
      </c>
    </row>
    <row r="163" spans="2:18" ht="18" customHeight="1" x14ac:dyDescent="0.3">
      <c r="B163" s="546"/>
      <c r="C163" s="270" t="str">
        <f>IF(항목!N10="","",항목!N10)</f>
        <v/>
      </c>
      <c r="D163" s="200">
        <f>SUMIF('1월'!$M$34:$M$165,연간_세부항목별지출!$C163,'1월'!$T$34:$T$165)</f>
        <v>0</v>
      </c>
      <c r="E163" s="200">
        <f>SUMIF('2월'!$M$34:$M$145,연간_세부항목별지출!$C163,'2월'!$T$34:$T$145)</f>
        <v>0</v>
      </c>
      <c r="F163" s="200">
        <f>SUMIF('3월'!$M$34:$M$145,연간_세부항목별지출!$C163,'3월'!$R$34:$R$145)</f>
        <v>0</v>
      </c>
      <c r="G163" s="200">
        <f>SUMIF('4월'!$M$34:$M$145,연간_세부항목별지출!$C163,'4월'!$R$34:$R$145)</f>
        <v>0</v>
      </c>
      <c r="H163" s="200">
        <f>SUMIF('5월'!$M$34:$M$145,연간_세부항목별지출!$C163,'5월'!$R$34:$R$145)</f>
        <v>0</v>
      </c>
      <c r="I163" s="200">
        <f>SUMIF('6월'!$M$34:$M$145,연간_세부항목별지출!$C163,'6월'!$R$34:$R$145)</f>
        <v>0</v>
      </c>
      <c r="J163" s="200">
        <f>SUMIF('7월'!$M$34:$M$145,연간_세부항목별지출!$C163,'7월'!$R$34:$R$145)</f>
        <v>0</v>
      </c>
      <c r="K163" s="200">
        <f>SUMIF('8월'!$M$34:$M$145,연간_세부항목별지출!$C163,'8월'!$R$34:$R$145)</f>
        <v>0</v>
      </c>
      <c r="L163" s="200">
        <f>SUMIF('9월'!$M$34:$M$145,연간_세부항목별지출!$C163,'9월'!$R$34:$R$145)</f>
        <v>0</v>
      </c>
      <c r="M163" s="200">
        <f>SUMIF('10월'!$M$34:$M$145,연간_세부항목별지출!$C163,'10월'!$R$34:$R$145)</f>
        <v>0</v>
      </c>
      <c r="N163" s="200">
        <f>SUMIF('11월'!$M$34:$M$145,연간_세부항목별지출!$C163,'11월'!$R$34:$R$145)</f>
        <v>0</v>
      </c>
      <c r="O163" s="200">
        <f>SUMIF('12월'!$M$34:$M$145,연간_세부항목별지출!$C163,'12월'!$R$34:$R$145)</f>
        <v>0</v>
      </c>
      <c r="P163" s="264">
        <f t="shared" si="2"/>
        <v>0</v>
      </c>
      <c r="Q163" s="264">
        <f t="shared" si="3"/>
        <v>0</v>
      </c>
      <c r="R163" s="307" t="str">
        <f t="shared" si="9"/>
        <v/>
      </c>
    </row>
    <row r="164" spans="2:18" ht="18" customHeight="1" x14ac:dyDescent="0.3">
      <c r="B164" s="546"/>
      <c r="C164" s="270" t="str">
        <f>IF(항목!N11="","",항목!N11)</f>
        <v/>
      </c>
      <c r="D164" s="200">
        <f>SUMIF('1월'!$M$34:$M$165,연간_세부항목별지출!$C164,'1월'!$T$34:$T$165)</f>
        <v>0</v>
      </c>
      <c r="E164" s="200">
        <f>SUMIF('2월'!$M$34:$M$145,연간_세부항목별지출!$C164,'2월'!$T$34:$T$145)</f>
        <v>0</v>
      </c>
      <c r="F164" s="200">
        <f>SUMIF('3월'!$M$34:$M$145,연간_세부항목별지출!$C164,'3월'!$R$34:$R$145)</f>
        <v>0</v>
      </c>
      <c r="G164" s="200">
        <f>SUMIF('4월'!$M$34:$M$145,연간_세부항목별지출!$C164,'4월'!$R$34:$R$145)</f>
        <v>0</v>
      </c>
      <c r="H164" s="200">
        <f>SUMIF('5월'!$M$34:$M$145,연간_세부항목별지출!$C164,'5월'!$R$34:$R$145)</f>
        <v>0</v>
      </c>
      <c r="I164" s="200">
        <f>SUMIF('6월'!$M$34:$M$145,연간_세부항목별지출!$C164,'6월'!$R$34:$R$145)</f>
        <v>0</v>
      </c>
      <c r="J164" s="200">
        <f>SUMIF('7월'!$M$34:$M$145,연간_세부항목별지출!$C164,'7월'!$R$34:$R$145)</f>
        <v>0</v>
      </c>
      <c r="K164" s="200">
        <f>SUMIF('8월'!$M$34:$M$145,연간_세부항목별지출!$C164,'8월'!$R$34:$R$145)</f>
        <v>0</v>
      </c>
      <c r="L164" s="200">
        <f>SUMIF('9월'!$M$34:$M$145,연간_세부항목별지출!$C164,'9월'!$R$34:$R$145)</f>
        <v>0</v>
      </c>
      <c r="M164" s="200">
        <f>SUMIF('10월'!$M$34:$M$145,연간_세부항목별지출!$C164,'10월'!$R$34:$R$145)</f>
        <v>0</v>
      </c>
      <c r="N164" s="200">
        <f>SUMIF('11월'!$M$34:$M$145,연간_세부항목별지출!$C164,'11월'!$R$34:$R$145)</f>
        <v>0</v>
      </c>
      <c r="O164" s="200">
        <f>SUMIF('12월'!$M$34:$M$145,연간_세부항목별지출!$C164,'12월'!$R$34:$R$145)</f>
        <v>0</v>
      </c>
      <c r="P164" s="264">
        <f t="shared" si="2"/>
        <v>0</v>
      </c>
      <c r="Q164" s="264">
        <f t="shared" si="3"/>
        <v>0</v>
      </c>
      <c r="R164" s="307" t="str">
        <f t="shared" si="9"/>
        <v/>
      </c>
    </row>
    <row r="165" spans="2:18" ht="18" customHeight="1" x14ac:dyDescent="0.3">
      <c r="B165" s="546"/>
      <c r="C165" s="270" t="str">
        <f>IF(항목!N12="","",항목!N12)</f>
        <v/>
      </c>
      <c r="D165" s="200">
        <f>SUMIF('1월'!$M$34:$M$165,연간_세부항목별지출!$C165,'1월'!$T$34:$T$165)</f>
        <v>0</v>
      </c>
      <c r="E165" s="200">
        <f>SUMIF('2월'!$M$34:$M$145,연간_세부항목별지출!$C165,'2월'!$T$34:$T$145)</f>
        <v>0</v>
      </c>
      <c r="F165" s="200">
        <f>SUMIF('3월'!$M$34:$M$145,연간_세부항목별지출!$C165,'3월'!$R$34:$R$145)</f>
        <v>0</v>
      </c>
      <c r="G165" s="200">
        <f>SUMIF('4월'!$M$34:$M$145,연간_세부항목별지출!$C165,'4월'!$R$34:$R$145)</f>
        <v>0</v>
      </c>
      <c r="H165" s="200">
        <f>SUMIF('5월'!$M$34:$M$145,연간_세부항목별지출!$C165,'5월'!$R$34:$R$145)</f>
        <v>0</v>
      </c>
      <c r="I165" s="200">
        <f>SUMIF('6월'!$M$34:$M$145,연간_세부항목별지출!$C165,'6월'!$R$34:$R$145)</f>
        <v>0</v>
      </c>
      <c r="J165" s="200">
        <f>SUMIF('7월'!$M$34:$M$145,연간_세부항목별지출!$C165,'7월'!$R$34:$R$145)</f>
        <v>0</v>
      </c>
      <c r="K165" s="200">
        <f>SUMIF('8월'!$M$34:$M$145,연간_세부항목별지출!$C165,'8월'!$R$34:$R$145)</f>
        <v>0</v>
      </c>
      <c r="L165" s="200">
        <f>SUMIF('9월'!$M$34:$M$145,연간_세부항목별지출!$C165,'9월'!$R$34:$R$145)</f>
        <v>0</v>
      </c>
      <c r="M165" s="200">
        <f>SUMIF('10월'!$M$34:$M$145,연간_세부항목별지출!$C165,'10월'!$R$34:$R$145)</f>
        <v>0</v>
      </c>
      <c r="N165" s="200">
        <f>SUMIF('11월'!$M$34:$M$145,연간_세부항목별지출!$C165,'11월'!$R$34:$R$145)</f>
        <v>0</v>
      </c>
      <c r="O165" s="200">
        <f>SUMIF('12월'!$M$34:$M$145,연간_세부항목별지출!$C165,'12월'!$R$34:$R$145)</f>
        <v>0</v>
      </c>
      <c r="P165" s="264">
        <f t="shared" si="2"/>
        <v>0</v>
      </c>
      <c r="Q165" s="264">
        <f t="shared" si="3"/>
        <v>0</v>
      </c>
      <c r="R165" s="307" t="str">
        <f t="shared" si="9"/>
        <v/>
      </c>
    </row>
    <row r="166" spans="2:18" ht="18" customHeight="1" x14ac:dyDescent="0.3">
      <c r="B166" s="546"/>
      <c r="C166" s="270" t="str">
        <f>IF(항목!N13="","",항목!N13)</f>
        <v/>
      </c>
      <c r="D166" s="200">
        <f>SUMIF('1월'!$M$34:$M$165,연간_세부항목별지출!$C166,'1월'!$T$34:$T$165)</f>
        <v>0</v>
      </c>
      <c r="E166" s="200">
        <f>SUMIF('2월'!$M$34:$M$145,연간_세부항목별지출!$C166,'2월'!$T$34:$T$145)</f>
        <v>0</v>
      </c>
      <c r="F166" s="200">
        <f>SUMIF('3월'!$M$34:$M$145,연간_세부항목별지출!$C166,'3월'!$R$34:$R$145)</f>
        <v>0</v>
      </c>
      <c r="G166" s="200">
        <f>SUMIF('4월'!$M$34:$M$145,연간_세부항목별지출!$C166,'4월'!$R$34:$R$145)</f>
        <v>0</v>
      </c>
      <c r="H166" s="200">
        <f>SUMIF('5월'!$M$34:$M$145,연간_세부항목별지출!$C166,'5월'!$R$34:$R$145)</f>
        <v>0</v>
      </c>
      <c r="I166" s="200">
        <f>SUMIF('6월'!$M$34:$M$145,연간_세부항목별지출!$C166,'6월'!$R$34:$R$145)</f>
        <v>0</v>
      </c>
      <c r="J166" s="200">
        <f>SUMIF('7월'!$M$34:$M$145,연간_세부항목별지출!$C166,'7월'!$R$34:$R$145)</f>
        <v>0</v>
      </c>
      <c r="K166" s="200">
        <f>SUMIF('8월'!$M$34:$M$145,연간_세부항목별지출!$C166,'8월'!$R$34:$R$145)</f>
        <v>0</v>
      </c>
      <c r="L166" s="200">
        <f>SUMIF('9월'!$M$34:$M$145,연간_세부항목별지출!$C166,'9월'!$R$34:$R$145)</f>
        <v>0</v>
      </c>
      <c r="M166" s="200">
        <f>SUMIF('10월'!$M$34:$M$145,연간_세부항목별지출!$C166,'10월'!$R$34:$R$145)</f>
        <v>0</v>
      </c>
      <c r="N166" s="200">
        <f>SUMIF('11월'!$M$34:$M$145,연간_세부항목별지출!$C166,'11월'!$R$34:$R$145)</f>
        <v>0</v>
      </c>
      <c r="O166" s="200">
        <f>SUMIF('12월'!$M$34:$M$145,연간_세부항목별지출!$C166,'12월'!$R$34:$R$145)</f>
        <v>0</v>
      </c>
      <c r="P166" s="264">
        <f t="shared" si="2"/>
        <v>0</v>
      </c>
      <c r="Q166" s="264">
        <f t="shared" si="3"/>
        <v>0</v>
      </c>
      <c r="R166" s="307" t="str">
        <f t="shared" si="9"/>
        <v/>
      </c>
    </row>
    <row r="167" spans="2:18" ht="18" customHeight="1" x14ac:dyDescent="0.3">
      <c r="B167" s="546"/>
      <c r="C167" s="270" t="str">
        <f>IF(항목!N14="","",항목!N14)</f>
        <v/>
      </c>
      <c r="D167" s="200">
        <f>SUMIF('1월'!$M$34:$M$165,연간_세부항목별지출!$C167,'1월'!$T$34:$T$165)</f>
        <v>0</v>
      </c>
      <c r="E167" s="200">
        <f>SUMIF('2월'!$M$34:$M$145,연간_세부항목별지출!$C167,'2월'!$T$34:$T$145)</f>
        <v>0</v>
      </c>
      <c r="F167" s="200">
        <f>SUMIF('3월'!$M$34:$M$145,연간_세부항목별지출!$C167,'3월'!$R$34:$R$145)</f>
        <v>0</v>
      </c>
      <c r="G167" s="200">
        <f>SUMIF('4월'!$M$34:$M$145,연간_세부항목별지출!$C167,'4월'!$R$34:$R$145)</f>
        <v>0</v>
      </c>
      <c r="H167" s="200">
        <f>SUMIF('5월'!$M$34:$M$145,연간_세부항목별지출!$C167,'5월'!$R$34:$R$145)</f>
        <v>0</v>
      </c>
      <c r="I167" s="200">
        <f>SUMIF('6월'!$M$34:$M$145,연간_세부항목별지출!$C167,'6월'!$R$34:$R$145)</f>
        <v>0</v>
      </c>
      <c r="J167" s="200">
        <f>SUMIF('7월'!$M$34:$M$145,연간_세부항목별지출!$C167,'7월'!$R$34:$R$145)</f>
        <v>0</v>
      </c>
      <c r="K167" s="200">
        <f>SUMIF('8월'!$M$34:$M$145,연간_세부항목별지출!$C167,'8월'!$R$34:$R$145)</f>
        <v>0</v>
      </c>
      <c r="L167" s="200">
        <f>SUMIF('9월'!$M$34:$M$145,연간_세부항목별지출!$C167,'9월'!$R$34:$R$145)</f>
        <v>0</v>
      </c>
      <c r="M167" s="200">
        <f>SUMIF('10월'!$M$34:$M$145,연간_세부항목별지출!$C167,'10월'!$R$34:$R$145)</f>
        <v>0</v>
      </c>
      <c r="N167" s="200">
        <f>SUMIF('11월'!$M$34:$M$145,연간_세부항목별지출!$C167,'11월'!$R$34:$R$145)</f>
        <v>0</v>
      </c>
      <c r="O167" s="200">
        <f>SUMIF('12월'!$M$34:$M$145,연간_세부항목별지출!$C167,'12월'!$R$34:$R$145)</f>
        <v>0</v>
      </c>
      <c r="P167" s="264">
        <f t="shared" si="2"/>
        <v>0</v>
      </c>
      <c r="Q167" s="264">
        <f t="shared" si="3"/>
        <v>0</v>
      </c>
      <c r="R167" s="307" t="str">
        <f t="shared" si="9"/>
        <v/>
      </c>
    </row>
    <row r="168" spans="2:18" ht="18" customHeight="1" x14ac:dyDescent="0.3">
      <c r="B168" s="546"/>
      <c r="C168" s="270" t="str">
        <f>IF(항목!N15="","",항목!N15)</f>
        <v/>
      </c>
      <c r="D168" s="200">
        <f>SUMIF('1월'!$M$34:$M$165,연간_세부항목별지출!$C168,'1월'!$T$34:$T$165)</f>
        <v>0</v>
      </c>
      <c r="E168" s="200">
        <f>SUMIF('2월'!$M$34:$M$145,연간_세부항목별지출!$C168,'2월'!$T$34:$T$145)</f>
        <v>0</v>
      </c>
      <c r="F168" s="200">
        <f>SUMIF('3월'!$M$34:$M$145,연간_세부항목별지출!$C168,'3월'!$R$34:$R$145)</f>
        <v>0</v>
      </c>
      <c r="G168" s="200">
        <f>SUMIF('4월'!$M$34:$M$145,연간_세부항목별지출!$C168,'4월'!$R$34:$R$145)</f>
        <v>0</v>
      </c>
      <c r="H168" s="200">
        <f>SUMIF('5월'!$M$34:$M$145,연간_세부항목별지출!$C168,'5월'!$R$34:$R$145)</f>
        <v>0</v>
      </c>
      <c r="I168" s="200">
        <f>SUMIF('6월'!$M$34:$M$145,연간_세부항목별지출!$C168,'6월'!$R$34:$R$145)</f>
        <v>0</v>
      </c>
      <c r="J168" s="200">
        <f>SUMIF('7월'!$M$34:$M$145,연간_세부항목별지출!$C168,'7월'!$R$34:$R$145)</f>
        <v>0</v>
      </c>
      <c r="K168" s="200">
        <f>SUMIF('8월'!$M$34:$M$145,연간_세부항목별지출!$C168,'8월'!$R$34:$R$145)</f>
        <v>0</v>
      </c>
      <c r="L168" s="200">
        <f>SUMIF('9월'!$M$34:$M$145,연간_세부항목별지출!$C168,'9월'!$R$34:$R$145)</f>
        <v>0</v>
      </c>
      <c r="M168" s="200">
        <f>SUMIF('10월'!$M$34:$M$145,연간_세부항목별지출!$C168,'10월'!$R$34:$R$145)</f>
        <v>0</v>
      </c>
      <c r="N168" s="200">
        <f>SUMIF('11월'!$M$34:$M$145,연간_세부항목별지출!$C168,'11월'!$R$34:$R$145)</f>
        <v>0</v>
      </c>
      <c r="O168" s="200">
        <f>SUMIF('12월'!$M$34:$M$145,연간_세부항목별지출!$C168,'12월'!$R$34:$R$145)</f>
        <v>0</v>
      </c>
      <c r="P168" s="264">
        <f t="shared" si="2"/>
        <v>0</v>
      </c>
      <c r="Q168" s="264">
        <f t="shared" si="3"/>
        <v>0</v>
      </c>
      <c r="R168" s="307" t="str">
        <f t="shared" si="9"/>
        <v/>
      </c>
    </row>
    <row r="169" spans="2:18" ht="18" customHeight="1" x14ac:dyDescent="0.3">
      <c r="B169" s="546"/>
      <c r="C169" s="270" t="str">
        <f>IF(항목!N16="","",항목!N16)</f>
        <v/>
      </c>
      <c r="D169" s="200">
        <f>SUMIF('1월'!$M$34:$M$165,연간_세부항목별지출!$C169,'1월'!$T$34:$T$165)</f>
        <v>0</v>
      </c>
      <c r="E169" s="200">
        <f>SUMIF('2월'!$M$34:$M$145,연간_세부항목별지출!$C169,'2월'!$T$34:$T$145)</f>
        <v>0</v>
      </c>
      <c r="F169" s="200">
        <f>SUMIF('3월'!$M$34:$M$145,연간_세부항목별지출!$C169,'3월'!$R$34:$R$145)</f>
        <v>0</v>
      </c>
      <c r="G169" s="200">
        <f>SUMIF('4월'!$M$34:$M$145,연간_세부항목별지출!$C169,'4월'!$R$34:$R$145)</f>
        <v>0</v>
      </c>
      <c r="H169" s="200">
        <f>SUMIF('5월'!$M$34:$M$145,연간_세부항목별지출!$C169,'5월'!$R$34:$R$145)</f>
        <v>0</v>
      </c>
      <c r="I169" s="200">
        <f>SUMIF('6월'!$M$34:$M$145,연간_세부항목별지출!$C169,'6월'!$R$34:$R$145)</f>
        <v>0</v>
      </c>
      <c r="J169" s="200">
        <f>SUMIF('7월'!$M$34:$M$145,연간_세부항목별지출!$C169,'7월'!$R$34:$R$145)</f>
        <v>0</v>
      </c>
      <c r="K169" s="200">
        <f>SUMIF('8월'!$M$34:$M$145,연간_세부항목별지출!$C169,'8월'!$R$34:$R$145)</f>
        <v>0</v>
      </c>
      <c r="L169" s="200">
        <f>SUMIF('9월'!$M$34:$M$145,연간_세부항목별지출!$C169,'9월'!$R$34:$R$145)</f>
        <v>0</v>
      </c>
      <c r="M169" s="200">
        <f>SUMIF('10월'!$M$34:$M$145,연간_세부항목별지출!$C169,'10월'!$R$34:$R$145)</f>
        <v>0</v>
      </c>
      <c r="N169" s="200">
        <f>SUMIF('11월'!$M$34:$M$145,연간_세부항목별지출!$C169,'11월'!$R$34:$R$145)</f>
        <v>0</v>
      </c>
      <c r="O169" s="200">
        <f>SUMIF('12월'!$M$34:$M$145,연간_세부항목별지출!$C169,'12월'!$R$34:$R$145)</f>
        <v>0</v>
      </c>
      <c r="P169" s="264">
        <f t="shared" si="2"/>
        <v>0</v>
      </c>
      <c r="Q169" s="264">
        <f t="shared" si="3"/>
        <v>0</v>
      </c>
      <c r="R169" s="307" t="str">
        <f t="shared" si="9"/>
        <v/>
      </c>
    </row>
    <row r="170" spans="2:18" ht="18" customHeight="1" x14ac:dyDescent="0.3">
      <c r="B170" s="546"/>
      <c r="C170" s="270" t="str">
        <f>IF(항목!N17="","",항목!N17)</f>
        <v/>
      </c>
      <c r="D170" s="200">
        <f>SUMIF('1월'!$M$34:$M$165,연간_세부항목별지출!$C170,'1월'!$T$34:$T$165)</f>
        <v>0</v>
      </c>
      <c r="E170" s="200">
        <f>SUMIF('2월'!$M$34:$M$145,연간_세부항목별지출!$C170,'2월'!$T$34:$T$145)</f>
        <v>0</v>
      </c>
      <c r="F170" s="200">
        <f>SUMIF('3월'!$M$34:$M$145,연간_세부항목별지출!$C170,'3월'!$R$34:$R$145)</f>
        <v>0</v>
      </c>
      <c r="G170" s="200">
        <f>SUMIF('4월'!$M$34:$M$145,연간_세부항목별지출!$C170,'4월'!$R$34:$R$145)</f>
        <v>0</v>
      </c>
      <c r="H170" s="200">
        <f>SUMIF('5월'!$M$34:$M$145,연간_세부항목별지출!$C170,'5월'!$R$34:$R$145)</f>
        <v>0</v>
      </c>
      <c r="I170" s="200">
        <f>SUMIF('6월'!$M$34:$M$145,연간_세부항목별지출!$C170,'6월'!$R$34:$R$145)</f>
        <v>0</v>
      </c>
      <c r="J170" s="200">
        <f>SUMIF('7월'!$M$34:$M$145,연간_세부항목별지출!$C170,'7월'!$R$34:$R$145)</f>
        <v>0</v>
      </c>
      <c r="K170" s="200">
        <f>SUMIF('8월'!$M$34:$M$145,연간_세부항목별지출!$C170,'8월'!$R$34:$R$145)</f>
        <v>0</v>
      </c>
      <c r="L170" s="200">
        <f>SUMIF('9월'!$M$34:$M$145,연간_세부항목별지출!$C170,'9월'!$R$34:$R$145)</f>
        <v>0</v>
      </c>
      <c r="M170" s="200">
        <f>SUMIF('10월'!$M$34:$M$145,연간_세부항목별지출!$C170,'10월'!$R$34:$R$145)</f>
        <v>0</v>
      </c>
      <c r="N170" s="200">
        <f>SUMIF('11월'!$M$34:$M$145,연간_세부항목별지출!$C170,'11월'!$R$34:$R$145)</f>
        <v>0</v>
      </c>
      <c r="O170" s="200">
        <f>SUMIF('12월'!$M$34:$M$145,연간_세부항목별지출!$C170,'12월'!$R$34:$R$145)</f>
        <v>0</v>
      </c>
      <c r="P170" s="264">
        <f t="shared" si="2"/>
        <v>0</v>
      </c>
      <c r="Q170" s="264">
        <f t="shared" si="3"/>
        <v>0</v>
      </c>
      <c r="R170" s="307" t="str">
        <f t="shared" si="9"/>
        <v/>
      </c>
    </row>
    <row r="171" spans="2:18" ht="18" customHeight="1" thickBot="1" x14ac:dyDescent="0.35">
      <c r="B171" s="547"/>
      <c r="C171" s="317" t="str">
        <f>IF(항목!N18="","",항목!N18)</f>
        <v/>
      </c>
      <c r="D171" s="318">
        <f>SUMIF('1월'!$M$34:$M$165,연간_세부항목별지출!$C171,'1월'!$T$34:$T$165)</f>
        <v>0</v>
      </c>
      <c r="E171" s="318">
        <f>SUMIF('2월'!$M$34:$M$145,연간_세부항목별지출!$C171,'2월'!$T$34:$T$145)</f>
        <v>0</v>
      </c>
      <c r="F171" s="318">
        <f>SUMIF('3월'!$M$34:$M$145,연간_세부항목별지출!$C171,'3월'!$R$34:$R$145)</f>
        <v>0</v>
      </c>
      <c r="G171" s="318">
        <f>SUMIF('4월'!$M$34:$M$145,연간_세부항목별지출!$C171,'4월'!$R$34:$R$145)</f>
        <v>0</v>
      </c>
      <c r="H171" s="318">
        <f>SUMIF('5월'!$M$34:$M$145,연간_세부항목별지출!$C171,'5월'!$R$34:$R$145)</f>
        <v>0</v>
      </c>
      <c r="I171" s="318">
        <f>SUMIF('6월'!$M$34:$M$145,연간_세부항목별지출!$C171,'6월'!$R$34:$R$145)</f>
        <v>0</v>
      </c>
      <c r="J171" s="318">
        <f>SUMIF('7월'!$M$34:$M$145,연간_세부항목별지출!$C171,'7월'!$R$34:$R$145)</f>
        <v>0</v>
      </c>
      <c r="K171" s="318">
        <f>SUMIF('8월'!$M$34:$M$145,연간_세부항목별지출!$C171,'8월'!$R$34:$R$145)</f>
        <v>0</v>
      </c>
      <c r="L171" s="318">
        <f>SUMIF('9월'!$M$34:$M$145,연간_세부항목별지출!$C171,'9월'!$R$34:$R$145)</f>
        <v>0</v>
      </c>
      <c r="M171" s="318">
        <f>SUMIF('10월'!$M$34:$M$145,연간_세부항목별지출!$C171,'10월'!$R$34:$R$145)</f>
        <v>0</v>
      </c>
      <c r="N171" s="318">
        <f>SUMIF('11월'!$M$34:$M$145,연간_세부항목별지출!$C171,'11월'!$R$34:$R$145)</f>
        <v>0</v>
      </c>
      <c r="O171" s="318">
        <f>SUMIF('12월'!$M$34:$M$145,연간_세부항목별지출!$C171,'12월'!$R$34:$R$145)</f>
        <v>0</v>
      </c>
      <c r="P171" s="273">
        <f t="shared" si="2"/>
        <v>0</v>
      </c>
      <c r="Q171" s="273">
        <f t="shared" si="3"/>
        <v>0</v>
      </c>
      <c r="R171" s="310" t="str">
        <f t="shared" si="9"/>
        <v/>
      </c>
    </row>
    <row r="172" spans="2:18" ht="18" customHeight="1" x14ac:dyDescent="0.3">
      <c r="B172" s="545" t="str">
        <f>항목!O3</f>
        <v>경조사회비</v>
      </c>
      <c r="C172" s="316" t="str">
        <f>IF(항목!O4="","",항목!O4)</f>
        <v>축의금</v>
      </c>
      <c r="D172" s="205">
        <f>SUMIF('1월'!$M$34:$M$165,연간_세부항목별지출!$C172,'1월'!$T$34:$T$165)</f>
        <v>0</v>
      </c>
      <c r="E172" s="205">
        <f>SUMIF('2월'!$M$34:$M$145,연간_세부항목별지출!$C172,'2월'!$T$34:$T$145)</f>
        <v>0</v>
      </c>
      <c r="F172" s="205">
        <f>SUMIF('3월'!$M$34:$M$145,연간_세부항목별지출!$C172,'3월'!$R$34:$R$145)</f>
        <v>0</v>
      </c>
      <c r="G172" s="205">
        <f>SUMIF('4월'!$M$34:$M$145,연간_세부항목별지출!$C172,'4월'!$R$34:$R$145)</f>
        <v>0</v>
      </c>
      <c r="H172" s="205">
        <f>SUMIF('5월'!$M$34:$M$145,연간_세부항목별지출!$C172,'5월'!$R$34:$R$145)</f>
        <v>0</v>
      </c>
      <c r="I172" s="205">
        <f>SUMIF('6월'!$M$34:$M$145,연간_세부항목별지출!$C172,'6월'!$R$34:$R$145)</f>
        <v>0</v>
      </c>
      <c r="J172" s="205">
        <f>SUMIF('7월'!$M$34:$M$145,연간_세부항목별지출!$C172,'7월'!$R$34:$R$145)</f>
        <v>0</v>
      </c>
      <c r="K172" s="205">
        <f>SUMIF('8월'!$M$34:$M$145,연간_세부항목별지출!$C172,'8월'!$R$34:$R$145)</f>
        <v>0</v>
      </c>
      <c r="L172" s="205">
        <f>SUMIF('9월'!$M$34:$M$145,연간_세부항목별지출!$C172,'9월'!$R$34:$R$145)</f>
        <v>0</v>
      </c>
      <c r="M172" s="205">
        <f>SUMIF('10월'!$M$34:$M$145,연간_세부항목별지출!$C172,'10월'!$R$34:$R$145)</f>
        <v>0</v>
      </c>
      <c r="N172" s="205">
        <f>SUMIF('11월'!$M$34:$M$145,연간_세부항목별지출!$C172,'11월'!$R$34:$R$145)</f>
        <v>0</v>
      </c>
      <c r="O172" s="205">
        <f>SUMIF('12월'!$M$34:$M$145,연간_세부항목별지출!$C172,'12월'!$R$34:$R$145)</f>
        <v>0</v>
      </c>
      <c r="P172" s="319">
        <f t="shared" si="2"/>
        <v>0</v>
      </c>
      <c r="Q172" s="319">
        <f t="shared" si="3"/>
        <v>0</v>
      </c>
      <c r="R172" s="320" t="str">
        <f t="shared" si="9"/>
        <v/>
      </c>
    </row>
    <row r="173" spans="2:18" ht="18" customHeight="1" x14ac:dyDescent="0.3">
      <c r="B173" s="546"/>
      <c r="C173" s="271" t="str">
        <f>IF(항목!O5="","",항목!O5)</f>
        <v>조의금</v>
      </c>
      <c r="D173" s="200">
        <f>SUMIF('1월'!$M$34:$M$165,연간_세부항목별지출!$C173,'1월'!$T$34:$T$165)</f>
        <v>0</v>
      </c>
      <c r="E173" s="200">
        <f>SUMIF('2월'!$M$34:$M$145,연간_세부항목별지출!$C173,'2월'!$T$34:$T$145)</f>
        <v>0</v>
      </c>
      <c r="F173" s="200">
        <f>SUMIF('3월'!$M$34:$M$145,연간_세부항목별지출!$C173,'3월'!$R$34:$R$145)</f>
        <v>0</v>
      </c>
      <c r="G173" s="200">
        <f>SUMIF('4월'!$M$34:$M$145,연간_세부항목별지출!$C173,'4월'!$R$34:$R$145)</f>
        <v>0</v>
      </c>
      <c r="H173" s="200">
        <f>SUMIF('5월'!$M$34:$M$145,연간_세부항목별지출!$C173,'5월'!$R$34:$R$145)</f>
        <v>0</v>
      </c>
      <c r="I173" s="200">
        <f>SUMIF('6월'!$M$34:$M$145,연간_세부항목별지출!$C173,'6월'!$R$34:$R$145)</f>
        <v>0</v>
      </c>
      <c r="J173" s="200">
        <f>SUMIF('7월'!$M$34:$M$145,연간_세부항목별지출!$C173,'7월'!$R$34:$R$145)</f>
        <v>0</v>
      </c>
      <c r="K173" s="200">
        <f>SUMIF('8월'!$M$34:$M$145,연간_세부항목별지출!$C173,'8월'!$R$34:$R$145)</f>
        <v>0</v>
      </c>
      <c r="L173" s="200">
        <f>SUMIF('9월'!$M$34:$M$145,연간_세부항목별지출!$C173,'9월'!$R$34:$R$145)</f>
        <v>0</v>
      </c>
      <c r="M173" s="200">
        <f>SUMIF('10월'!$M$34:$M$145,연간_세부항목별지출!$C173,'10월'!$R$34:$R$145)</f>
        <v>0</v>
      </c>
      <c r="N173" s="200">
        <f>SUMIF('11월'!$M$34:$M$145,연간_세부항목별지출!$C173,'11월'!$R$34:$R$145)</f>
        <v>0</v>
      </c>
      <c r="O173" s="200">
        <f>SUMIF('12월'!$M$34:$M$145,연간_세부항목별지출!$C173,'12월'!$R$34:$R$145)</f>
        <v>0</v>
      </c>
      <c r="P173" s="264">
        <f t="shared" si="2"/>
        <v>0</v>
      </c>
      <c r="Q173" s="264">
        <f t="shared" si="3"/>
        <v>0</v>
      </c>
      <c r="R173" s="307" t="str">
        <f t="shared" si="9"/>
        <v/>
      </c>
    </row>
    <row r="174" spans="2:18" ht="18" customHeight="1" x14ac:dyDescent="0.3">
      <c r="B174" s="546"/>
      <c r="C174" s="271" t="str">
        <f>IF(항목!O6="","",항목!O6)</f>
        <v>기부금</v>
      </c>
      <c r="D174" s="200">
        <f>SUMIF('1월'!$M$34:$M$165,연간_세부항목별지출!$C174,'1월'!$T$34:$T$165)</f>
        <v>0</v>
      </c>
      <c r="E174" s="200">
        <f>SUMIF('2월'!$M$34:$M$145,연간_세부항목별지출!$C174,'2월'!$T$34:$T$145)</f>
        <v>0</v>
      </c>
      <c r="F174" s="200">
        <f>SUMIF('3월'!$M$34:$M$145,연간_세부항목별지출!$C174,'3월'!$R$34:$R$145)</f>
        <v>0</v>
      </c>
      <c r="G174" s="200">
        <f>SUMIF('4월'!$M$34:$M$145,연간_세부항목별지출!$C174,'4월'!$R$34:$R$145)</f>
        <v>0</v>
      </c>
      <c r="H174" s="200">
        <f>SUMIF('5월'!$M$34:$M$145,연간_세부항목별지출!$C174,'5월'!$R$34:$R$145)</f>
        <v>0</v>
      </c>
      <c r="I174" s="200">
        <f>SUMIF('6월'!$M$34:$M$145,연간_세부항목별지출!$C174,'6월'!$R$34:$R$145)</f>
        <v>0</v>
      </c>
      <c r="J174" s="200">
        <f>SUMIF('7월'!$M$34:$M$145,연간_세부항목별지출!$C174,'7월'!$R$34:$R$145)</f>
        <v>0</v>
      </c>
      <c r="K174" s="200">
        <f>SUMIF('8월'!$M$34:$M$145,연간_세부항목별지출!$C174,'8월'!$R$34:$R$145)</f>
        <v>0</v>
      </c>
      <c r="L174" s="200">
        <f>SUMIF('9월'!$M$34:$M$145,연간_세부항목별지출!$C174,'9월'!$R$34:$R$145)</f>
        <v>0</v>
      </c>
      <c r="M174" s="200">
        <f>SUMIF('10월'!$M$34:$M$145,연간_세부항목별지출!$C174,'10월'!$R$34:$R$145)</f>
        <v>0</v>
      </c>
      <c r="N174" s="200">
        <f>SUMIF('11월'!$M$34:$M$145,연간_세부항목별지출!$C174,'11월'!$R$34:$R$145)</f>
        <v>0</v>
      </c>
      <c r="O174" s="200">
        <f>SUMIF('12월'!$M$34:$M$145,연간_세부항목별지출!$C174,'12월'!$R$34:$R$145)</f>
        <v>0</v>
      </c>
      <c r="P174" s="264">
        <f t="shared" ref="P174:P216" si="10">SUM(D174:O174)</f>
        <v>0</v>
      </c>
      <c r="Q174" s="264">
        <f t="shared" ref="Q174:Q216" si="11">P174/12</f>
        <v>0</v>
      </c>
      <c r="R174" s="307" t="str">
        <f t="shared" si="9"/>
        <v/>
      </c>
    </row>
    <row r="175" spans="2:18" ht="18" customHeight="1" x14ac:dyDescent="0.3">
      <c r="B175" s="546"/>
      <c r="C175" s="271" t="str">
        <f>IF(항목!O7="","",항목!O7)</f>
        <v>모임회비</v>
      </c>
      <c r="D175" s="200">
        <f>SUMIF('1월'!$M$34:$M$165,연간_세부항목별지출!$C175,'1월'!$T$34:$T$165)</f>
        <v>0</v>
      </c>
      <c r="E175" s="200">
        <f>SUMIF('2월'!$M$34:$M$145,연간_세부항목별지출!$C175,'2월'!$T$34:$T$145)</f>
        <v>0</v>
      </c>
      <c r="F175" s="200">
        <f>SUMIF('3월'!$M$34:$M$145,연간_세부항목별지출!$C175,'3월'!$R$34:$R$145)</f>
        <v>0</v>
      </c>
      <c r="G175" s="200">
        <f>SUMIF('4월'!$M$34:$M$145,연간_세부항목별지출!$C175,'4월'!$R$34:$R$145)</f>
        <v>0</v>
      </c>
      <c r="H175" s="200">
        <f>SUMIF('5월'!$M$34:$M$145,연간_세부항목별지출!$C175,'5월'!$R$34:$R$145)</f>
        <v>0</v>
      </c>
      <c r="I175" s="200">
        <f>SUMIF('6월'!$M$34:$M$145,연간_세부항목별지출!$C175,'6월'!$R$34:$R$145)</f>
        <v>0</v>
      </c>
      <c r="J175" s="200">
        <f>SUMIF('7월'!$M$34:$M$145,연간_세부항목별지출!$C175,'7월'!$R$34:$R$145)</f>
        <v>0</v>
      </c>
      <c r="K175" s="200">
        <f>SUMIF('8월'!$M$34:$M$145,연간_세부항목별지출!$C175,'8월'!$R$34:$R$145)</f>
        <v>0</v>
      </c>
      <c r="L175" s="200">
        <f>SUMIF('9월'!$M$34:$M$145,연간_세부항목별지출!$C175,'9월'!$R$34:$R$145)</f>
        <v>0</v>
      </c>
      <c r="M175" s="200">
        <f>SUMIF('10월'!$M$34:$M$145,연간_세부항목별지출!$C175,'10월'!$R$34:$R$145)</f>
        <v>0</v>
      </c>
      <c r="N175" s="200">
        <f>SUMIF('11월'!$M$34:$M$145,연간_세부항목별지출!$C175,'11월'!$R$34:$R$145)</f>
        <v>0</v>
      </c>
      <c r="O175" s="200">
        <f>SUMIF('12월'!$M$34:$M$145,연간_세부항목별지출!$C175,'12월'!$R$34:$R$145)</f>
        <v>0</v>
      </c>
      <c r="P175" s="264">
        <f t="shared" si="10"/>
        <v>0</v>
      </c>
      <c r="Q175" s="264">
        <f t="shared" si="11"/>
        <v>0</v>
      </c>
      <c r="R175" s="307" t="str">
        <f t="shared" si="9"/>
        <v/>
      </c>
    </row>
    <row r="176" spans="2:18" ht="18" customHeight="1" x14ac:dyDescent="0.3">
      <c r="B176" s="546"/>
      <c r="C176" s="271" t="str">
        <f>IF(항목!O8="","",항목!O8)</f>
        <v>선물</v>
      </c>
      <c r="D176" s="200">
        <f>SUMIF('1월'!$M$34:$M$165,연간_세부항목별지출!$C176,'1월'!$T$34:$T$165)</f>
        <v>0</v>
      </c>
      <c r="E176" s="200">
        <f>SUMIF('2월'!$M$34:$M$145,연간_세부항목별지출!$C176,'2월'!$T$34:$T$145)</f>
        <v>0</v>
      </c>
      <c r="F176" s="200">
        <f>SUMIF('3월'!$M$34:$M$145,연간_세부항목별지출!$C176,'3월'!$R$34:$R$145)</f>
        <v>0</v>
      </c>
      <c r="G176" s="200">
        <f>SUMIF('4월'!$M$34:$M$145,연간_세부항목별지출!$C176,'4월'!$R$34:$R$145)</f>
        <v>0</v>
      </c>
      <c r="H176" s="200">
        <f>SUMIF('5월'!$M$34:$M$145,연간_세부항목별지출!$C176,'5월'!$R$34:$R$145)</f>
        <v>0</v>
      </c>
      <c r="I176" s="200">
        <f>SUMIF('6월'!$M$34:$M$145,연간_세부항목별지출!$C176,'6월'!$R$34:$R$145)</f>
        <v>0</v>
      </c>
      <c r="J176" s="200">
        <f>SUMIF('7월'!$M$34:$M$145,연간_세부항목별지출!$C176,'7월'!$R$34:$R$145)</f>
        <v>0</v>
      </c>
      <c r="K176" s="200">
        <f>SUMIF('8월'!$M$34:$M$145,연간_세부항목별지출!$C176,'8월'!$R$34:$R$145)</f>
        <v>0</v>
      </c>
      <c r="L176" s="200">
        <f>SUMIF('9월'!$M$34:$M$145,연간_세부항목별지출!$C176,'9월'!$R$34:$R$145)</f>
        <v>0</v>
      </c>
      <c r="M176" s="200">
        <f>SUMIF('10월'!$M$34:$M$145,연간_세부항목별지출!$C176,'10월'!$R$34:$R$145)</f>
        <v>0</v>
      </c>
      <c r="N176" s="200">
        <f>SUMIF('11월'!$M$34:$M$145,연간_세부항목별지출!$C176,'11월'!$R$34:$R$145)</f>
        <v>0</v>
      </c>
      <c r="O176" s="200">
        <f>SUMIF('12월'!$M$34:$M$145,연간_세부항목별지출!$C176,'12월'!$R$34:$R$145)</f>
        <v>0</v>
      </c>
      <c r="P176" s="264">
        <f t="shared" si="10"/>
        <v>0</v>
      </c>
      <c r="Q176" s="264">
        <f t="shared" si="11"/>
        <v>0</v>
      </c>
      <c r="R176" s="307" t="str">
        <f t="shared" si="9"/>
        <v/>
      </c>
    </row>
    <row r="177" spans="2:18" ht="18" customHeight="1" x14ac:dyDescent="0.3">
      <c r="B177" s="546"/>
      <c r="C177" s="271" t="str">
        <f>IF(항목!O9="","",항목!O9)</f>
        <v>기타 경조사</v>
      </c>
      <c r="D177" s="200">
        <f>SUMIF('1월'!$M$34:$M$165,연간_세부항목별지출!$C177,'1월'!$T$34:$T$165)</f>
        <v>0</v>
      </c>
      <c r="E177" s="200">
        <f>SUMIF('2월'!$M$34:$M$145,연간_세부항목별지출!$C177,'2월'!$T$34:$T$145)</f>
        <v>0</v>
      </c>
      <c r="F177" s="200">
        <f>SUMIF('3월'!$M$34:$M$145,연간_세부항목별지출!$C177,'3월'!$R$34:$R$145)</f>
        <v>0</v>
      </c>
      <c r="G177" s="200">
        <f>SUMIF('4월'!$M$34:$M$145,연간_세부항목별지출!$C177,'4월'!$R$34:$R$145)</f>
        <v>0</v>
      </c>
      <c r="H177" s="200">
        <f>SUMIF('5월'!$M$34:$M$145,연간_세부항목별지출!$C177,'5월'!$R$34:$R$145)</f>
        <v>0</v>
      </c>
      <c r="I177" s="200">
        <f>SUMIF('6월'!$M$34:$M$145,연간_세부항목별지출!$C177,'6월'!$R$34:$R$145)</f>
        <v>0</v>
      </c>
      <c r="J177" s="200">
        <f>SUMIF('7월'!$M$34:$M$145,연간_세부항목별지출!$C177,'7월'!$R$34:$R$145)</f>
        <v>0</v>
      </c>
      <c r="K177" s="200">
        <f>SUMIF('8월'!$M$34:$M$145,연간_세부항목별지출!$C177,'8월'!$R$34:$R$145)</f>
        <v>0</v>
      </c>
      <c r="L177" s="200">
        <f>SUMIF('9월'!$M$34:$M$145,연간_세부항목별지출!$C177,'9월'!$R$34:$R$145)</f>
        <v>0</v>
      </c>
      <c r="M177" s="200">
        <f>SUMIF('10월'!$M$34:$M$145,연간_세부항목별지출!$C177,'10월'!$R$34:$R$145)</f>
        <v>0</v>
      </c>
      <c r="N177" s="200">
        <f>SUMIF('11월'!$M$34:$M$145,연간_세부항목별지출!$C177,'11월'!$R$34:$R$145)</f>
        <v>0</v>
      </c>
      <c r="O177" s="200">
        <f>SUMIF('12월'!$M$34:$M$145,연간_세부항목별지출!$C177,'12월'!$R$34:$R$145)</f>
        <v>0</v>
      </c>
      <c r="P177" s="264">
        <f t="shared" si="10"/>
        <v>0</v>
      </c>
      <c r="Q177" s="264">
        <f t="shared" si="11"/>
        <v>0</v>
      </c>
      <c r="R177" s="307" t="str">
        <f t="shared" si="9"/>
        <v/>
      </c>
    </row>
    <row r="178" spans="2:18" ht="18" customHeight="1" x14ac:dyDescent="0.3">
      <c r="B178" s="546"/>
      <c r="C178" s="271" t="str">
        <f>IF(항목!O10="","",항목!O10)</f>
        <v/>
      </c>
      <c r="D178" s="200">
        <f>SUMIF('1월'!$M$34:$M$165,연간_세부항목별지출!$C178,'1월'!$T$34:$T$165)</f>
        <v>0</v>
      </c>
      <c r="E178" s="200">
        <f>SUMIF('2월'!$M$34:$M$145,연간_세부항목별지출!$C178,'2월'!$T$34:$T$145)</f>
        <v>0</v>
      </c>
      <c r="F178" s="200">
        <f>SUMIF('3월'!$M$34:$M$145,연간_세부항목별지출!$C178,'3월'!$R$34:$R$145)</f>
        <v>0</v>
      </c>
      <c r="G178" s="200">
        <f>SUMIF('4월'!$M$34:$M$145,연간_세부항목별지출!$C178,'4월'!$R$34:$R$145)</f>
        <v>0</v>
      </c>
      <c r="H178" s="200">
        <f>SUMIF('5월'!$M$34:$M$145,연간_세부항목별지출!$C178,'5월'!$R$34:$R$145)</f>
        <v>0</v>
      </c>
      <c r="I178" s="200">
        <f>SUMIF('6월'!$M$34:$M$145,연간_세부항목별지출!$C178,'6월'!$R$34:$R$145)</f>
        <v>0</v>
      </c>
      <c r="J178" s="200">
        <f>SUMIF('7월'!$M$34:$M$145,연간_세부항목별지출!$C178,'7월'!$R$34:$R$145)</f>
        <v>0</v>
      </c>
      <c r="K178" s="200">
        <f>SUMIF('8월'!$M$34:$M$145,연간_세부항목별지출!$C178,'8월'!$R$34:$R$145)</f>
        <v>0</v>
      </c>
      <c r="L178" s="200">
        <f>SUMIF('9월'!$M$34:$M$145,연간_세부항목별지출!$C178,'9월'!$R$34:$R$145)</f>
        <v>0</v>
      </c>
      <c r="M178" s="200">
        <f>SUMIF('10월'!$M$34:$M$145,연간_세부항목별지출!$C178,'10월'!$R$34:$R$145)</f>
        <v>0</v>
      </c>
      <c r="N178" s="200">
        <f>SUMIF('11월'!$M$34:$M$145,연간_세부항목별지출!$C178,'11월'!$R$34:$R$145)</f>
        <v>0</v>
      </c>
      <c r="O178" s="200">
        <f>SUMIF('12월'!$M$34:$M$145,연간_세부항목별지출!$C178,'12월'!$R$34:$R$145)</f>
        <v>0</v>
      </c>
      <c r="P178" s="264">
        <f t="shared" si="10"/>
        <v>0</v>
      </c>
      <c r="Q178" s="264">
        <f t="shared" si="11"/>
        <v>0</v>
      </c>
      <c r="R178" s="307" t="str">
        <f t="shared" si="9"/>
        <v/>
      </c>
    </row>
    <row r="179" spans="2:18" ht="18" customHeight="1" x14ac:dyDescent="0.3">
      <c r="B179" s="546"/>
      <c r="C179" s="271" t="str">
        <f>IF(항목!O11="","",항목!O11)</f>
        <v/>
      </c>
      <c r="D179" s="200">
        <f>SUMIF('1월'!$M$34:$M$165,연간_세부항목별지출!$C179,'1월'!$T$34:$T$165)</f>
        <v>0</v>
      </c>
      <c r="E179" s="200">
        <f>SUMIF('2월'!$M$34:$M$145,연간_세부항목별지출!$C179,'2월'!$T$34:$T$145)</f>
        <v>0</v>
      </c>
      <c r="F179" s="200">
        <f>SUMIF('3월'!$M$34:$M$145,연간_세부항목별지출!$C179,'3월'!$R$34:$R$145)</f>
        <v>0</v>
      </c>
      <c r="G179" s="200">
        <f>SUMIF('4월'!$M$34:$M$145,연간_세부항목별지출!$C179,'4월'!$R$34:$R$145)</f>
        <v>0</v>
      </c>
      <c r="H179" s="200">
        <f>SUMIF('5월'!$M$34:$M$145,연간_세부항목별지출!$C179,'5월'!$R$34:$R$145)</f>
        <v>0</v>
      </c>
      <c r="I179" s="200">
        <f>SUMIF('6월'!$M$34:$M$145,연간_세부항목별지출!$C179,'6월'!$R$34:$R$145)</f>
        <v>0</v>
      </c>
      <c r="J179" s="200">
        <f>SUMIF('7월'!$M$34:$M$145,연간_세부항목별지출!$C179,'7월'!$R$34:$R$145)</f>
        <v>0</v>
      </c>
      <c r="K179" s="200">
        <f>SUMIF('8월'!$M$34:$M$145,연간_세부항목별지출!$C179,'8월'!$R$34:$R$145)</f>
        <v>0</v>
      </c>
      <c r="L179" s="200">
        <f>SUMIF('9월'!$M$34:$M$145,연간_세부항목별지출!$C179,'9월'!$R$34:$R$145)</f>
        <v>0</v>
      </c>
      <c r="M179" s="200">
        <f>SUMIF('10월'!$M$34:$M$145,연간_세부항목별지출!$C179,'10월'!$R$34:$R$145)</f>
        <v>0</v>
      </c>
      <c r="N179" s="200">
        <f>SUMIF('11월'!$M$34:$M$145,연간_세부항목별지출!$C179,'11월'!$R$34:$R$145)</f>
        <v>0</v>
      </c>
      <c r="O179" s="200">
        <f>SUMIF('12월'!$M$34:$M$145,연간_세부항목별지출!$C179,'12월'!$R$34:$R$145)</f>
        <v>0</v>
      </c>
      <c r="P179" s="264">
        <f t="shared" si="10"/>
        <v>0</v>
      </c>
      <c r="Q179" s="264">
        <f t="shared" si="11"/>
        <v>0</v>
      </c>
      <c r="R179" s="307" t="str">
        <f t="shared" si="9"/>
        <v/>
      </c>
    </row>
    <row r="180" spans="2:18" ht="18" customHeight="1" x14ac:dyDescent="0.3">
      <c r="B180" s="546"/>
      <c r="C180" s="271" t="str">
        <f>IF(항목!O12="","",항목!O12)</f>
        <v/>
      </c>
      <c r="D180" s="200">
        <f>SUMIF('1월'!$M$34:$M$165,연간_세부항목별지출!$C180,'1월'!$T$34:$T$165)</f>
        <v>0</v>
      </c>
      <c r="E180" s="200">
        <f>SUMIF('2월'!$M$34:$M$145,연간_세부항목별지출!$C180,'2월'!$T$34:$T$145)</f>
        <v>0</v>
      </c>
      <c r="F180" s="200">
        <f>SUMIF('3월'!$M$34:$M$145,연간_세부항목별지출!$C180,'3월'!$R$34:$R$145)</f>
        <v>0</v>
      </c>
      <c r="G180" s="200">
        <f>SUMIF('4월'!$M$34:$M$145,연간_세부항목별지출!$C180,'4월'!$R$34:$R$145)</f>
        <v>0</v>
      </c>
      <c r="H180" s="200">
        <f>SUMIF('5월'!$M$34:$M$145,연간_세부항목별지출!$C180,'5월'!$R$34:$R$145)</f>
        <v>0</v>
      </c>
      <c r="I180" s="200">
        <f>SUMIF('6월'!$M$34:$M$145,연간_세부항목별지출!$C180,'6월'!$R$34:$R$145)</f>
        <v>0</v>
      </c>
      <c r="J180" s="200">
        <f>SUMIF('7월'!$M$34:$M$145,연간_세부항목별지출!$C180,'7월'!$R$34:$R$145)</f>
        <v>0</v>
      </c>
      <c r="K180" s="200">
        <f>SUMIF('8월'!$M$34:$M$145,연간_세부항목별지출!$C180,'8월'!$R$34:$R$145)</f>
        <v>0</v>
      </c>
      <c r="L180" s="200">
        <f>SUMIF('9월'!$M$34:$M$145,연간_세부항목별지출!$C180,'9월'!$R$34:$R$145)</f>
        <v>0</v>
      </c>
      <c r="M180" s="200">
        <f>SUMIF('10월'!$M$34:$M$145,연간_세부항목별지출!$C180,'10월'!$R$34:$R$145)</f>
        <v>0</v>
      </c>
      <c r="N180" s="200">
        <f>SUMIF('11월'!$M$34:$M$145,연간_세부항목별지출!$C180,'11월'!$R$34:$R$145)</f>
        <v>0</v>
      </c>
      <c r="O180" s="200">
        <f>SUMIF('12월'!$M$34:$M$145,연간_세부항목별지출!$C180,'12월'!$R$34:$R$145)</f>
        <v>0</v>
      </c>
      <c r="P180" s="264">
        <f t="shared" si="10"/>
        <v>0</v>
      </c>
      <c r="Q180" s="264">
        <f t="shared" si="11"/>
        <v>0</v>
      </c>
      <c r="R180" s="307" t="str">
        <f t="shared" si="9"/>
        <v/>
      </c>
    </row>
    <row r="181" spans="2:18" ht="18" customHeight="1" x14ac:dyDescent="0.3">
      <c r="B181" s="546"/>
      <c r="C181" s="271" t="str">
        <f>IF(항목!O13="","",항목!O13)</f>
        <v/>
      </c>
      <c r="D181" s="200">
        <f>SUMIF('1월'!$M$34:$M$165,연간_세부항목별지출!$C181,'1월'!$T$34:$T$165)</f>
        <v>0</v>
      </c>
      <c r="E181" s="200">
        <f>SUMIF('2월'!$M$34:$M$145,연간_세부항목별지출!$C181,'2월'!$T$34:$T$145)</f>
        <v>0</v>
      </c>
      <c r="F181" s="200">
        <f>SUMIF('3월'!$M$34:$M$145,연간_세부항목별지출!$C181,'3월'!$R$34:$R$145)</f>
        <v>0</v>
      </c>
      <c r="G181" s="200">
        <f>SUMIF('4월'!$M$34:$M$145,연간_세부항목별지출!$C181,'4월'!$R$34:$R$145)</f>
        <v>0</v>
      </c>
      <c r="H181" s="200">
        <f>SUMIF('5월'!$M$34:$M$145,연간_세부항목별지출!$C181,'5월'!$R$34:$R$145)</f>
        <v>0</v>
      </c>
      <c r="I181" s="200">
        <f>SUMIF('6월'!$M$34:$M$145,연간_세부항목별지출!$C181,'6월'!$R$34:$R$145)</f>
        <v>0</v>
      </c>
      <c r="J181" s="200">
        <f>SUMIF('7월'!$M$34:$M$145,연간_세부항목별지출!$C181,'7월'!$R$34:$R$145)</f>
        <v>0</v>
      </c>
      <c r="K181" s="200">
        <f>SUMIF('8월'!$M$34:$M$145,연간_세부항목별지출!$C181,'8월'!$R$34:$R$145)</f>
        <v>0</v>
      </c>
      <c r="L181" s="200">
        <f>SUMIF('9월'!$M$34:$M$145,연간_세부항목별지출!$C181,'9월'!$R$34:$R$145)</f>
        <v>0</v>
      </c>
      <c r="M181" s="200">
        <f>SUMIF('10월'!$M$34:$M$145,연간_세부항목별지출!$C181,'10월'!$R$34:$R$145)</f>
        <v>0</v>
      </c>
      <c r="N181" s="200">
        <f>SUMIF('11월'!$M$34:$M$145,연간_세부항목별지출!$C181,'11월'!$R$34:$R$145)</f>
        <v>0</v>
      </c>
      <c r="O181" s="200">
        <f>SUMIF('12월'!$M$34:$M$145,연간_세부항목별지출!$C181,'12월'!$R$34:$R$145)</f>
        <v>0</v>
      </c>
      <c r="P181" s="264">
        <f t="shared" si="10"/>
        <v>0</v>
      </c>
      <c r="Q181" s="264">
        <f t="shared" si="11"/>
        <v>0</v>
      </c>
      <c r="R181" s="307" t="str">
        <f t="shared" si="9"/>
        <v/>
      </c>
    </row>
    <row r="182" spans="2:18" ht="18" customHeight="1" x14ac:dyDescent="0.3">
      <c r="B182" s="546"/>
      <c r="C182" s="271" t="str">
        <f>IF(항목!O14="","",항목!O14)</f>
        <v/>
      </c>
      <c r="D182" s="200">
        <f>SUMIF('1월'!$M$34:$M$165,연간_세부항목별지출!$C182,'1월'!$T$34:$T$165)</f>
        <v>0</v>
      </c>
      <c r="E182" s="200">
        <f>SUMIF('2월'!$M$34:$M$145,연간_세부항목별지출!$C182,'2월'!$T$34:$T$145)</f>
        <v>0</v>
      </c>
      <c r="F182" s="200">
        <f>SUMIF('3월'!$M$34:$M$145,연간_세부항목별지출!$C182,'3월'!$R$34:$R$145)</f>
        <v>0</v>
      </c>
      <c r="G182" s="200">
        <f>SUMIF('4월'!$M$34:$M$145,연간_세부항목별지출!$C182,'4월'!$R$34:$R$145)</f>
        <v>0</v>
      </c>
      <c r="H182" s="200">
        <f>SUMIF('5월'!$M$34:$M$145,연간_세부항목별지출!$C182,'5월'!$R$34:$R$145)</f>
        <v>0</v>
      </c>
      <c r="I182" s="200">
        <f>SUMIF('6월'!$M$34:$M$145,연간_세부항목별지출!$C182,'6월'!$R$34:$R$145)</f>
        <v>0</v>
      </c>
      <c r="J182" s="200">
        <f>SUMIF('7월'!$M$34:$M$145,연간_세부항목별지출!$C182,'7월'!$R$34:$R$145)</f>
        <v>0</v>
      </c>
      <c r="K182" s="200">
        <f>SUMIF('8월'!$M$34:$M$145,연간_세부항목별지출!$C182,'8월'!$R$34:$R$145)</f>
        <v>0</v>
      </c>
      <c r="L182" s="200">
        <f>SUMIF('9월'!$M$34:$M$145,연간_세부항목별지출!$C182,'9월'!$R$34:$R$145)</f>
        <v>0</v>
      </c>
      <c r="M182" s="200">
        <f>SUMIF('10월'!$M$34:$M$145,연간_세부항목별지출!$C182,'10월'!$R$34:$R$145)</f>
        <v>0</v>
      </c>
      <c r="N182" s="200">
        <f>SUMIF('11월'!$M$34:$M$145,연간_세부항목별지출!$C182,'11월'!$R$34:$R$145)</f>
        <v>0</v>
      </c>
      <c r="O182" s="200">
        <f>SUMIF('12월'!$M$34:$M$145,연간_세부항목별지출!$C182,'12월'!$R$34:$R$145)</f>
        <v>0</v>
      </c>
      <c r="P182" s="264">
        <f t="shared" si="10"/>
        <v>0</v>
      </c>
      <c r="Q182" s="264">
        <f t="shared" si="11"/>
        <v>0</v>
      </c>
      <c r="R182" s="307" t="str">
        <f t="shared" si="9"/>
        <v/>
      </c>
    </row>
    <row r="183" spans="2:18" ht="18" customHeight="1" x14ac:dyDescent="0.3">
      <c r="B183" s="546"/>
      <c r="C183" s="271" t="str">
        <f>IF(항목!O15="","",항목!O15)</f>
        <v/>
      </c>
      <c r="D183" s="200">
        <f>SUMIF('1월'!$M$34:$M$165,연간_세부항목별지출!$C183,'1월'!$T$34:$T$165)</f>
        <v>0</v>
      </c>
      <c r="E183" s="200">
        <f>SUMIF('2월'!$M$34:$M$145,연간_세부항목별지출!$C183,'2월'!$T$34:$T$145)</f>
        <v>0</v>
      </c>
      <c r="F183" s="200">
        <f>SUMIF('3월'!$M$34:$M$145,연간_세부항목별지출!$C183,'3월'!$R$34:$R$145)</f>
        <v>0</v>
      </c>
      <c r="G183" s="200">
        <f>SUMIF('4월'!$M$34:$M$145,연간_세부항목별지출!$C183,'4월'!$R$34:$R$145)</f>
        <v>0</v>
      </c>
      <c r="H183" s="200">
        <f>SUMIF('5월'!$M$34:$M$145,연간_세부항목별지출!$C183,'5월'!$R$34:$R$145)</f>
        <v>0</v>
      </c>
      <c r="I183" s="200">
        <f>SUMIF('6월'!$M$34:$M$145,연간_세부항목별지출!$C183,'6월'!$R$34:$R$145)</f>
        <v>0</v>
      </c>
      <c r="J183" s="200">
        <f>SUMIF('7월'!$M$34:$M$145,연간_세부항목별지출!$C183,'7월'!$R$34:$R$145)</f>
        <v>0</v>
      </c>
      <c r="K183" s="200">
        <f>SUMIF('8월'!$M$34:$M$145,연간_세부항목별지출!$C183,'8월'!$R$34:$R$145)</f>
        <v>0</v>
      </c>
      <c r="L183" s="200">
        <f>SUMIF('9월'!$M$34:$M$145,연간_세부항목별지출!$C183,'9월'!$R$34:$R$145)</f>
        <v>0</v>
      </c>
      <c r="M183" s="200">
        <f>SUMIF('10월'!$M$34:$M$145,연간_세부항목별지출!$C183,'10월'!$R$34:$R$145)</f>
        <v>0</v>
      </c>
      <c r="N183" s="200">
        <f>SUMIF('11월'!$M$34:$M$145,연간_세부항목별지출!$C183,'11월'!$R$34:$R$145)</f>
        <v>0</v>
      </c>
      <c r="O183" s="200">
        <f>SUMIF('12월'!$M$34:$M$145,연간_세부항목별지출!$C183,'12월'!$R$34:$R$145)</f>
        <v>0</v>
      </c>
      <c r="P183" s="264">
        <f t="shared" si="10"/>
        <v>0</v>
      </c>
      <c r="Q183" s="264">
        <f t="shared" si="11"/>
        <v>0</v>
      </c>
      <c r="R183" s="307" t="str">
        <f t="shared" ref="R183:R216" si="12">IF(P183&gt;0,P183/$P$21,"")</f>
        <v/>
      </c>
    </row>
    <row r="184" spans="2:18" ht="18" customHeight="1" x14ac:dyDescent="0.3">
      <c r="B184" s="546"/>
      <c r="C184" s="271" t="str">
        <f>IF(항목!O16="","",항목!O16)</f>
        <v/>
      </c>
      <c r="D184" s="200">
        <f>SUMIF('1월'!$M$34:$M$165,연간_세부항목별지출!$C184,'1월'!$T$34:$T$165)</f>
        <v>0</v>
      </c>
      <c r="E184" s="200">
        <f>SUMIF('2월'!$M$34:$M$145,연간_세부항목별지출!$C184,'2월'!$T$34:$T$145)</f>
        <v>0</v>
      </c>
      <c r="F184" s="200">
        <f>SUMIF('3월'!$M$34:$M$145,연간_세부항목별지출!$C184,'3월'!$R$34:$R$145)</f>
        <v>0</v>
      </c>
      <c r="G184" s="200">
        <f>SUMIF('4월'!$M$34:$M$145,연간_세부항목별지출!$C184,'4월'!$R$34:$R$145)</f>
        <v>0</v>
      </c>
      <c r="H184" s="200">
        <f>SUMIF('5월'!$M$34:$M$145,연간_세부항목별지출!$C184,'5월'!$R$34:$R$145)</f>
        <v>0</v>
      </c>
      <c r="I184" s="200">
        <f>SUMIF('6월'!$M$34:$M$145,연간_세부항목별지출!$C184,'6월'!$R$34:$R$145)</f>
        <v>0</v>
      </c>
      <c r="J184" s="200">
        <f>SUMIF('7월'!$M$34:$M$145,연간_세부항목별지출!$C184,'7월'!$R$34:$R$145)</f>
        <v>0</v>
      </c>
      <c r="K184" s="200">
        <f>SUMIF('8월'!$M$34:$M$145,연간_세부항목별지출!$C184,'8월'!$R$34:$R$145)</f>
        <v>0</v>
      </c>
      <c r="L184" s="200">
        <f>SUMIF('9월'!$M$34:$M$145,연간_세부항목별지출!$C184,'9월'!$R$34:$R$145)</f>
        <v>0</v>
      </c>
      <c r="M184" s="200">
        <f>SUMIF('10월'!$M$34:$M$145,연간_세부항목별지출!$C184,'10월'!$R$34:$R$145)</f>
        <v>0</v>
      </c>
      <c r="N184" s="200">
        <f>SUMIF('11월'!$M$34:$M$145,연간_세부항목별지출!$C184,'11월'!$R$34:$R$145)</f>
        <v>0</v>
      </c>
      <c r="O184" s="200">
        <f>SUMIF('12월'!$M$34:$M$145,연간_세부항목별지출!$C184,'12월'!$R$34:$R$145)</f>
        <v>0</v>
      </c>
      <c r="P184" s="264">
        <f t="shared" si="10"/>
        <v>0</v>
      </c>
      <c r="Q184" s="264">
        <f t="shared" si="11"/>
        <v>0</v>
      </c>
      <c r="R184" s="307" t="str">
        <f t="shared" si="12"/>
        <v/>
      </c>
    </row>
    <row r="185" spans="2:18" ht="18" customHeight="1" x14ac:dyDescent="0.3">
      <c r="B185" s="546"/>
      <c r="C185" s="271" t="str">
        <f>IF(항목!O17="","",항목!O17)</f>
        <v/>
      </c>
      <c r="D185" s="200">
        <f>SUMIF('1월'!$M$34:$M$165,연간_세부항목별지출!$C185,'1월'!$T$34:$T$165)</f>
        <v>0</v>
      </c>
      <c r="E185" s="200">
        <f>SUMIF('2월'!$M$34:$M$145,연간_세부항목별지출!$C185,'2월'!$T$34:$T$145)</f>
        <v>0</v>
      </c>
      <c r="F185" s="200">
        <f>SUMIF('3월'!$M$34:$M$145,연간_세부항목별지출!$C185,'3월'!$R$34:$R$145)</f>
        <v>0</v>
      </c>
      <c r="G185" s="200">
        <f>SUMIF('4월'!$M$34:$M$145,연간_세부항목별지출!$C185,'4월'!$R$34:$R$145)</f>
        <v>0</v>
      </c>
      <c r="H185" s="200">
        <f>SUMIF('5월'!$M$34:$M$145,연간_세부항목별지출!$C185,'5월'!$R$34:$R$145)</f>
        <v>0</v>
      </c>
      <c r="I185" s="200">
        <f>SUMIF('6월'!$M$34:$M$145,연간_세부항목별지출!$C185,'6월'!$R$34:$R$145)</f>
        <v>0</v>
      </c>
      <c r="J185" s="200">
        <f>SUMIF('7월'!$M$34:$M$145,연간_세부항목별지출!$C185,'7월'!$R$34:$R$145)</f>
        <v>0</v>
      </c>
      <c r="K185" s="200">
        <f>SUMIF('8월'!$M$34:$M$145,연간_세부항목별지출!$C185,'8월'!$R$34:$R$145)</f>
        <v>0</v>
      </c>
      <c r="L185" s="200">
        <f>SUMIF('9월'!$M$34:$M$145,연간_세부항목별지출!$C185,'9월'!$R$34:$R$145)</f>
        <v>0</v>
      </c>
      <c r="M185" s="200">
        <f>SUMIF('10월'!$M$34:$M$145,연간_세부항목별지출!$C185,'10월'!$R$34:$R$145)</f>
        <v>0</v>
      </c>
      <c r="N185" s="200">
        <f>SUMIF('11월'!$M$34:$M$145,연간_세부항목별지출!$C185,'11월'!$R$34:$R$145)</f>
        <v>0</v>
      </c>
      <c r="O185" s="200">
        <f>SUMIF('12월'!$M$34:$M$145,연간_세부항목별지출!$C185,'12월'!$R$34:$R$145)</f>
        <v>0</v>
      </c>
      <c r="P185" s="264">
        <f t="shared" si="10"/>
        <v>0</v>
      </c>
      <c r="Q185" s="264">
        <f t="shared" si="11"/>
        <v>0</v>
      </c>
      <c r="R185" s="307" t="str">
        <f t="shared" si="12"/>
        <v/>
      </c>
    </row>
    <row r="186" spans="2:18" ht="18" customHeight="1" thickBot="1" x14ac:dyDescent="0.35">
      <c r="B186" s="547"/>
      <c r="C186" s="272" t="str">
        <f>IF(항목!O18="","",항목!O18)</f>
        <v/>
      </c>
      <c r="D186" s="318">
        <f>SUMIF('1월'!$M$34:$M$165,연간_세부항목별지출!$C186,'1월'!$T$34:$T$165)</f>
        <v>0</v>
      </c>
      <c r="E186" s="318">
        <f>SUMIF('2월'!$M$34:$M$145,연간_세부항목별지출!$C186,'2월'!$T$34:$T$145)</f>
        <v>0</v>
      </c>
      <c r="F186" s="318">
        <f>SUMIF('3월'!$M$34:$M$145,연간_세부항목별지출!$C186,'3월'!$R$34:$R$145)</f>
        <v>0</v>
      </c>
      <c r="G186" s="318">
        <f>SUMIF('4월'!$M$34:$M$145,연간_세부항목별지출!$C186,'4월'!$R$34:$R$145)</f>
        <v>0</v>
      </c>
      <c r="H186" s="318">
        <f>SUMIF('5월'!$M$34:$M$145,연간_세부항목별지출!$C186,'5월'!$R$34:$R$145)</f>
        <v>0</v>
      </c>
      <c r="I186" s="318">
        <f>SUMIF('6월'!$M$34:$M$145,연간_세부항목별지출!$C186,'6월'!$R$34:$R$145)</f>
        <v>0</v>
      </c>
      <c r="J186" s="318">
        <f>SUMIF('7월'!$M$34:$M$145,연간_세부항목별지출!$C186,'7월'!$R$34:$R$145)</f>
        <v>0</v>
      </c>
      <c r="K186" s="318">
        <f>SUMIF('8월'!$M$34:$M$145,연간_세부항목별지출!$C186,'8월'!$R$34:$R$145)</f>
        <v>0</v>
      </c>
      <c r="L186" s="318">
        <f>SUMIF('9월'!$M$34:$M$145,연간_세부항목별지출!$C186,'9월'!$R$34:$R$145)</f>
        <v>0</v>
      </c>
      <c r="M186" s="318">
        <f>SUMIF('10월'!$M$34:$M$145,연간_세부항목별지출!$C186,'10월'!$R$34:$R$145)</f>
        <v>0</v>
      </c>
      <c r="N186" s="318">
        <f>SUMIF('11월'!$M$34:$M$145,연간_세부항목별지출!$C186,'11월'!$R$34:$R$145)</f>
        <v>0</v>
      </c>
      <c r="O186" s="318">
        <f>SUMIF('12월'!$M$34:$M$145,연간_세부항목별지출!$C186,'12월'!$R$34:$R$145)</f>
        <v>0</v>
      </c>
      <c r="P186" s="273">
        <f t="shared" si="10"/>
        <v>0</v>
      </c>
      <c r="Q186" s="273">
        <f t="shared" si="11"/>
        <v>0</v>
      </c>
      <c r="R186" s="310" t="str">
        <f t="shared" si="12"/>
        <v/>
      </c>
    </row>
    <row r="187" spans="2:18" ht="18" customHeight="1" x14ac:dyDescent="0.3">
      <c r="B187" s="545" t="str">
        <f>항목!P3</f>
        <v>용돈</v>
      </c>
      <c r="C187" s="316" t="str">
        <f>IF(항목!P4="","",항목!P4)</f>
        <v>부모님 용돈</v>
      </c>
      <c r="D187" s="205">
        <f>SUMIF('1월'!$M$34:$M$165,연간_세부항목별지출!$C187,'1월'!$T$34:$T$165)</f>
        <v>0</v>
      </c>
      <c r="E187" s="205">
        <f>SUMIF('2월'!$M$34:$M$145,연간_세부항목별지출!$C187,'2월'!$T$34:$T$145)</f>
        <v>0</v>
      </c>
      <c r="F187" s="205">
        <f>SUMIF('3월'!$M$34:$M$145,연간_세부항목별지출!$C187,'3월'!$R$34:$R$145)</f>
        <v>0</v>
      </c>
      <c r="G187" s="205">
        <f>SUMIF('4월'!$M$34:$M$145,연간_세부항목별지출!$C187,'4월'!$R$34:$R$145)</f>
        <v>0</v>
      </c>
      <c r="H187" s="205">
        <f>SUMIF('5월'!$M$34:$M$145,연간_세부항목별지출!$C187,'5월'!$R$34:$R$145)</f>
        <v>0</v>
      </c>
      <c r="I187" s="205">
        <f>SUMIF('6월'!$M$34:$M$145,연간_세부항목별지출!$C187,'6월'!$R$34:$R$145)</f>
        <v>0</v>
      </c>
      <c r="J187" s="205">
        <f>SUMIF('7월'!$M$34:$M$145,연간_세부항목별지출!$C187,'7월'!$R$34:$R$145)</f>
        <v>0</v>
      </c>
      <c r="K187" s="205">
        <f>SUMIF('8월'!$M$34:$M$145,연간_세부항목별지출!$C187,'8월'!$R$34:$R$145)</f>
        <v>0</v>
      </c>
      <c r="L187" s="205">
        <f>SUMIF('9월'!$M$34:$M$145,연간_세부항목별지출!$C187,'9월'!$R$34:$R$145)</f>
        <v>0</v>
      </c>
      <c r="M187" s="205">
        <f>SUMIF('10월'!$M$34:$M$145,연간_세부항목별지출!$C187,'10월'!$R$34:$R$145)</f>
        <v>0</v>
      </c>
      <c r="N187" s="205">
        <f>SUMIF('11월'!$M$34:$M$145,연간_세부항목별지출!$C187,'11월'!$R$34:$R$145)</f>
        <v>0</v>
      </c>
      <c r="O187" s="205">
        <f>SUMIF('12월'!$M$34:$M$145,연간_세부항목별지출!$C187,'12월'!$R$34:$R$145)</f>
        <v>0</v>
      </c>
      <c r="P187" s="319">
        <f t="shared" si="10"/>
        <v>0</v>
      </c>
      <c r="Q187" s="319">
        <f t="shared" si="11"/>
        <v>0</v>
      </c>
      <c r="R187" s="320" t="str">
        <f t="shared" si="12"/>
        <v/>
      </c>
    </row>
    <row r="188" spans="2:18" ht="18" customHeight="1" x14ac:dyDescent="0.3">
      <c r="B188" s="546"/>
      <c r="C188" s="270" t="str">
        <f>IF(항목!P5="","",항목!P5)</f>
        <v>첫째 용돈</v>
      </c>
      <c r="D188" s="200">
        <f>SUMIF('1월'!$M$34:$M$165,연간_세부항목별지출!$C188,'1월'!$T$34:$T$165)</f>
        <v>0</v>
      </c>
      <c r="E188" s="200">
        <f>SUMIF('2월'!$M$34:$M$145,연간_세부항목별지출!$C188,'2월'!$T$34:$T$145)</f>
        <v>0</v>
      </c>
      <c r="F188" s="200">
        <f>SUMIF('3월'!$M$34:$M$145,연간_세부항목별지출!$C188,'3월'!$R$34:$R$145)</f>
        <v>0</v>
      </c>
      <c r="G188" s="200">
        <f>SUMIF('4월'!$M$34:$M$145,연간_세부항목별지출!$C188,'4월'!$R$34:$R$145)</f>
        <v>0</v>
      </c>
      <c r="H188" s="200">
        <f>SUMIF('5월'!$M$34:$M$145,연간_세부항목별지출!$C188,'5월'!$R$34:$R$145)</f>
        <v>0</v>
      </c>
      <c r="I188" s="200">
        <f>SUMIF('6월'!$M$34:$M$145,연간_세부항목별지출!$C188,'6월'!$R$34:$R$145)</f>
        <v>0</v>
      </c>
      <c r="J188" s="200">
        <f>SUMIF('7월'!$M$34:$M$145,연간_세부항목별지출!$C188,'7월'!$R$34:$R$145)</f>
        <v>0</v>
      </c>
      <c r="K188" s="200">
        <f>SUMIF('8월'!$M$34:$M$145,연간_세부항목별지출!$C188,'8월'!$R$34:$R$145)</f>
        <v>0</v>
      </c>
      <c r="L188" s="200">
        <f>SUMIF('9월'!$M$34:$M$145,연간_세부항목별지출!$C188,'9월'!$R$34:$R$145)</f>
        <v>0</v>
      </c>
      <c r="M188" s="200">
        <f>SUMIF('10월'!$M$34:$M$145,연간_세부항목별지출!$C188,'10월'!$R$34:$R$145)</f>
        <v>0</v>
      </c>
      <c r="N188" s="200">
        <f>SUMIF('11월'!$M$34:$M$145,연간_세부항목별지출!$C188,'11월'!$R$34:$R$145)</f>
        <v>0</v>
      </c>
      <c r="O188" s="200">
        <f>SUMIF('12월'!$M$34:$M$145,연간_세부항목별지출!$C188,'12월'!$R$34:$R$145)</f>
        <v>0</v>
      </c>
      <c r="P188" s="264">
        <f t="shared" si="10"/>
        <v>0</v>
      </c>
      <c r="Q188" s="264">
        <f t="shared" si="11"/>
        <v>0</v>
      </c>
      <c r="R188" s="307" t="str">
        <f t="shared" si="12"/>
        <v/>
      </c>
    </row>
    <row r="189" spans="2:18" ht="18" customHeight="1" x14ac:dyDescent="0.3">
      <c r="B189" s="546"/>
      <c r="C189" s="270" t="str">
        <f>IF(항목!P6="","",항목!P6)</f>
        <v>기타 용돈</v>
      </c>
      <c r="D189" s="200">
        <f>SUMIF('1월'!$M$34:$M$165,연간_세부항목별지출!$C189,'1월'!$T$34:$T$165)</f>
        <v>0</v>
      </c>
      <c r="E189" s="200">
        <f>SUMIF('2월'!$M$34:$M$145,연간_세부항목별지출!$C189,'2월'!$T$34:$T$145)</f>
        <v>0</v>
      </c>
      <c r="F189" s="200">
        <f>SUMIF('3월'!$M$34:$M$145,연간_세부항목별지출!$C189,'3월'!$R$34:$R$145)</f>
        <v>0</v>
      </c>
      <c r="G189" s="200">
        <f>SUMIF('4월'!$M$34:$M$145,연간_세부항목별지출!$C189,'4월'!$R$34:$R$145)</f>
        <v>0</v>
      </c>
      <c r="H189" s="200">
        <f>SUMIF('5월'!$M$34:$M$145,연간_세부항목별지출!$C189,'5월'!$R$34:$R$145)</f>
        <v>0</v>
      </c>
      <c r="I189" s="200">
        <f>SUMIF('6월'!$M$34:$M$145,연간_세부항목별지출!$C189,'6월'!$R$34:$R$145)</f>
        <v>0</v>
      </c>
      <c r="J189" s="200">
        <f>SUMIF('7월'!$M$34:$M$145,연간_세부항목별지출!$C189,'7월'!$R$34:$R$145)</f>
        <v>0</v>
      </c>
      <c r="K189" s="200">
        <f>SUMIF('8월'!$M$34:$M$145,연간_세부항목별지출!$C189,'8월'!$R$34:$R$145)</f>
        <v>0</v>
      </c>
      <c r="L189" s="200">
        <f>SUMIF('9월'!$M$34:$M$145,연간_세부항목별지출!$C189,'9월'!$R$34:$R$145)</f>
        <v>0</v>
      </c>
      <c r="M189" s="200">
        <f>SUMIF('10월'!$M$34:$M$145,연간_세부항목별지출!$C189,'10월'!$R$34:$R$145)</f>
        <v>0</v>
      </c>
      <c r="N189" s="200">
        <f>SUMIF('11월'!$M$34:$M$145,연간_세부항목별지출!$C189,'11월'!$R$34:$R$145)</f>
        <v>0</v>
      </c>
      <c r="O189" s="200">
        <f>SUMIF('12월'!$M$34:$M$145,연간_세부항목별지출!$C189,'12월'!$R$34:$R$145)</f>
        <v>0</v>
      </c>
      <c r="P189" s="264">
        <f t="shared" si="10"/>
        <v>0</v>
      </c>
      <c r="Q189" s="264">
        <f t="shared" si="11"/>
        <v>0</v>
      </c>
      <c r="R189" s="307" t="str">
        <f t="shared" si="12"/>
        <v/>
      </c>
    </row>
    <row r="190" spans="2:18" ht="18" customHeight="1" x14ac:dyDescent="0.3">
      <c r="B190" s="546"/>
      <c r="C190" s="270" t="str">
        <f>IF(항목!P7="","",항목!P7)</f>
        <v/>
      </c>
      <c r="D190" s="200">
        <f>SUMIF('1월'!$M$34:$M$165,연간_세부항목별지출!$C190,'1월'!$T$34:$T$165)</f>
        <v>0</v>
      </c>
      <c r="E190" s="200">
        <f>SUMIF('2월'!$M$34:$M$145,연간_세부항목별지출!$C190,'2월'!$T$34:$T$145)</f>
        <v>0</v>
      </c>
      <c r="F190" s="200">
        <f>SUMIF('3월'!$M$34:$M$145,연간_세부항목별지출!$C190,'3월'!$R$34:$R$145)</f>
        <v>0</v>
      </c>
      <c r="G190" s="200">
        <f>SUMIF('4월'!$M$34:$M$145,연간_세부항목별지출!$C190,'4월'!$R$34:$R$145)</f>
        <v>0</v>
      </c>
      <c r="H190" s="200">
        <f>SUMIF('5월'!$M$34:$M$145,연간_세부항목별지출!$C190,'5월'!$R$34:$R$145)</f>
        <v>0</v>
      </c>
      <c r="I190" s="200">
        <f>SUMIF('6월'!$M$34:$M$145,연간_세부항목별지출!$C190,'6월'!$R$34:$R$145)</f>
        <v>0</v>
      </c>
      <c r="J190" s="200">
        <f>SUMIF('7월'!$M$34:$M$145,연간_세부항목별지출!$C190,'7월'!$R$34:$R$145)</f>
        <v>0</v>
      </c>
      <c r="K190" s="200">
        <f>SUMIF('8월'!$M$34:$M$145,연간_세부항목별지출!$C190,'8월'!$R$34:$R$145)</f>
        <v>0</v>
      </c>
      <c r="L190" s="200">
        <f>SUMIF('9월'!$M$34:$M$145,연간_세부항목별지출!$C190,'9월'!$R$34:$R$145)</f>
        <v>0</v>
      </c>
      <c r="M190" s="200">
        <f>SUMIF('10월'!$M$34:$M$145,연간_세부항목별지출!$C190,'10월'!$R$34:$R$145)</f>
        <v>0</v>
      </c>
      <c r="N190" s="200">
        <f>SUMIF('11월'!$M$34:$M$145,연간_세부항목별지출!$C190,'11월'!$R$34:$R$145)</f>
        <v>0</v>
      </c>
      <c r="O190" s="200">
        <f>SUMIF('12월'!$M$34:$M$145,연간_세부항목별지출!$C190,'12월'!$R$34:$R$145)</f>
        <v>0</v>
      </c>
      <c r="P190" s="264">
        <f t="shared" si="10"/>
        <v>0</v>
      </c>
      <c r="Q190" s="264">
        <f t="shared" si="11"/>
        <v>0</v>
      </c>
      <c r="R190" s="307" t="str">
        <f t="shared" si="12"/>
        <v/>
      </c>
    </row>
    <row r="191" spans="2:18" ht="18" customHeight="1" x14ac:dyDescent="0.3">
      <c r="B191" s="546"/>
      <c r="C191" s="270" t="str">
        <f>IF(항목!P8="","",항목!P8)</f>
        <v/>
      </c>
      <c r="D191" s="200">
        <f>SUMIF('1월'!$M$34:$M$165,연간_세부항목별지출!$C191,'1월'!$T$34:$T$165)</f>
        <v>0</v>
      </c>
      <c r="E191" s="200">
        <f>SUMIF('2월'!$M$34:$M$145,연간_세부항목별지출!$C191,'2월'!$T$34:$T$145)</f>
        <v>0</v>
      </c>
      <c r="F191" s="200">
        <f>SUMIF('3월'!$M$34:$M$145,연간_세부항목별지출!$C191,'3월'!$R$34:$R$145)</f>
        <v>0</v>
      </c>
      <c r="G191" s="200">
        <f>SUMIF('4월'!$M$34:$M$145,연간_세부항목별지출!$C191,'4월'!$R$34:$R$145)</f>
        <v>0</v>
      </c>
      <c r="H191" s="200">
        <f>SUMIF('5월'!$M$34:$M$145,연간_세부항목별지출!$C191,'5월'!$R$34:$R$145)</f>
        <v>0</v>
      </c>
      <c r="I191" s="200">
        <f>SUMIF('6월'!$M$34:$M$145,연간_세부항목별지출!$C191,'6월'!$R$34:$R$145)</f>
        <v>0</v>
      </c>
      <c r="J191" s="200">
        <f>SUMIF('7월'!$M$34:$M$145,연간_세부항목별지출!$C191,'7월'!$R$34:$R$145)</f>
        <v>0</v>
      </c>
      <c r="K191" s="200">
        <f>SUMIF('8월'!$M$34:$M$145,연간_세부항목별지출!$C191,'8월'!$R$34:$R$145)</f>
        <v>0</v>
      </c>
      <c r="L191" s="200">
        <f>SUMIF('9월'!$M$34:$M$145,연간_세부항목별지출!$C191,'9월'!$R$34:$R$145)</f>
        <v>0</v>
      </c>
      <c r="M191" s="200">
        <f>SUMIF('10월'!$M$34:$M$145,연간_세부항목별지출!$C191,'10월'!$R$34:$R$145)</f>
        <v>0</v>
      </c>
      <c r="N191" s="200">
        <f>SUMIF('11월'!$M$34:$M$145,연간_세부항목별지출!$C191,'11월'!$R$34:$R$145)</f>
        <v>0</v>
      </c>
      <c r="O191" s="200">
        <f>SUMIF('12월'!$M$34:$M$145,연간_세부항목별지출!$C191,'12월'!$R$34:$R$145)</f>
        <v>0</v>
      </c>
      <c r="P191" s="264">
        <f t="shared" si="10"/>
        <v>0</v>
      </c>
      <c r="Q191" s="264">
        <f t="shared" si="11"/>
        <v>0</v>
      </c>
      <c r="R191" s="307" t="str">
        <f t="shared" si="12"/>
        <v/>
      </c>
    </row>
    <row r="192" spans="2:18" ht="18" customHeight="1" x14ac:dyDescent="0.3">
      <c r="B192" s="546"/>
      <c r="C192" s="270" t="str">
        <f>IF(항목!P9="","",항목!P9)</f>
        <v/>
      </c>
      <c r="D192" s="200">
        <f>SUMIF('1월'!$M$34:$M$165,연간_세부항목별지출!$C192,'1월'!$T$34:$T$165)</f>
        <v>0</v>
      </c>
      <c r="E192" s="200">
        <f>SUMIF('2월'!$M$34:$M$145,연간_세부항목별지출!$C192,'2월'!$T$34:$T$145)</f>
        <v>0</v>
      </c>
      <c r="F192" s="200">
        <f>SUMIF('3월'!$M$34:$M$145,연간_세부항목별지출!$C192,'3월'!$R$34:$R$145)</f>
        <v>0</v>
      </c>
      <c r="G192" s="200">
        <f>SUMIF('4월'!$M$34:$M$145,연간_세부항목별지출!$C192,'4월'!$R$34:$R$145)</f>
        <v>0</v>
      </c>
      <c r="H192" s="200">
        <f>SUMIF('5월'!$M$34:$M$145,연간_세부항목별지출!$C192,'5월'!$R$34:$R$145)</f>
        <v>0</v>
      </c>
      <c r="I192" s="200">
        <f>SUMIF('6월'!$M$34:$M$145,연간_세부항목별지출!$C192,'6월'!$R$34:$R$145)</f>
        <v>0</v>
      </c>
      <c r="J192" s="200">
        <f>SUMIF('7월'!$M$34:$M$145,연간_세부항목별지출!$C192,'7월'!$R$34:$R$145)</f>
        <v>0</v>
      </c>
      <c r="K192" s="200">
        <f>SUMIF('8월'!$M$34:$M$145,연간_세부항목별지출!$C192,'8월'!$R$34:$R$145)</f>
        <v>0</v>
      </c>
      <c r="L192" s="200">
        <f>SUMIF('9월'!$M$34:$M$145,연간_세부항목별지출!$C192,'9월'!$R$34:$R$145)</f>
        <v>0</v>
      </c>
      <c r="M192" s="200">
        <f>SUMIF('10월'!$M$34:$M$145,연간_세부항목별지출!$C192,'10월'!$R$34:$R$145)</f>
        <v>0</v>
      </c>
      <c r="N192" s="200">
        <f>SUMIF('11월'!$M$34:$M$145,연간_세부항목별지출!$C192,'11월'!$R$34:$R$145)</f>
        <v>0</v>
      </c>
      <c r="O192" s="200">
        <f>SUMIF('12월'!$M$34:$M$145,연간_세부항목별지출!$C192,'12월'!$R$34:$R$145)</f>
        <v>0</v>
      </c>
      <c r="P192" s="264">
        <f t="shared" si="10"/>
        <v>0</v>
      </c>
      <c r="Q192" s="264">
        <f t="shared" si="11"/>
        <v>0</v>
      </c>
      <c r="R192" s="307" t="str">
        <f t="shared" si="12"/>
        <v/>
      </c>
    </row>
    <row r="193" spans="2:18" ht="18" customHeight="1" x14ac:dyDescent="0.3">
      <c r="B193" s="546"/>
      <c r="C193" s="270" t="str">
        <f>IF(항목!P10="","",항목!P10)</f>
        <v/>
      </c>
      <c r="D193" s="200">
        <f>SUMIF('1월'!$M$34:$M$165,연간_세부항목별지출!$C193,'1월'!$T$34:$T$165)</f>
        <v>0</v>
      </c>
      <c r="E193" s="200">
        <f>SUMIF('2월'!$M$34:$M$145,연간_세부항목별지출!$C193,'2월'!$T$34:$T$145)</f>
        <v>0</v>
      </c>
      <c r="F193" s="200">
        <f>SUMIF('3월'!$M$34:$M$145,연간_세부항목별지출!$C193,'3월'!$R$34:$R$145)</f>
        <v>0</v>
      </c>
      <c r="G193" s="200">
        <f>SUMIF('4월'!$M$34:$M$145,연간_세부항목별지출!$C193,'4월'!$R$34:$R$145)</f>
        <v>0</v>
      </c>
      <c r="H193" s="200">
        <f>SUMIF('5월'!$M$34:$M$145,연간_세부항목별지출!$C193,'5월'!$R$34:$R$145)</f>
        <v>0</v>
      </c>
      <c r="I193" s="200">
        <f>SUMIF('6월'!$M$34:$M$145,연간_세부항목별지출!$C193,'6월'!$R$34:$R$145)</f>
        <v>0</v>
      </c>
      <c r="J193" s="200">
        <f>SUMIF('7월'!$M$34:$M$145,연간_세부항목별지출!$C193,'7월'!$R$34:$R$145)</f>
        <v>0</v>
      </c>
      <c r="K193" s="200">
        <f>SUMIF('8월'!$M$34:$M$145,연간_세부항목별지출!$C193,'8월'!$R$34:$R$145)</f>
        <v>0</v>
      </c>
      <c r="L193" s="200">
        <f>SUMIF('9월'!$M$34:$M$145,연간_세부항목별지출!$C193,'9월'!$R$34:$R$145)</f>
        <v>0</v>
      </c>
      <c r="M193" s="200">
        <f>SUMIF('10월'!$M$34:$M$145,연간_세부항목별지출!$C193,'10월'!$R$34:$R$145)</f>
        <v>0</v>
      </c>
      <c r="N193" s="200">
        <f>SUMIF('11월'!$M$34:$M$145,연간_세부항목별지출!$C193,'11월'!$R$34:$R$145)</f>
        <v>0</v>
      </c>
      <c r="O193" s="200">
        <f>SUMIF('12월'!$M$34:$M$145,연간_세부항목별지출!$C193,'12월'!$R$34:$R$145)</f>
        <v>0</v>
      </c>
      <c r="P193" s="264">
        <f t="shared" si="10"/>
        <v>0</v>
      </c>
      <c r="Q193" s="264">
        <f t="shared" si="11"/>
        <v>0</v>
      </c>
      <c r="R193" s="307" t="str">
        <f t="shared" si="12"/>
        <v/>
      </c>
    </row>
    <row r="194" spans="2:18" ht="18" customHeight="1" x14ac:dyDescent="0.3">
      <c r="B194" s="546"/>
      <c r="C194" s="270" t="str">
        <f>IF(항목!P11="","",항목!P11)</f>
        <v/>
      </c>
      <c r="D194" s="200">
        <f>SUMIF('1월'!$M$34:$M$165,연간_세부항목별지출!$C194,'1월'!$T$34:$T$165)</f>
        <v>0</v>
      </c>
      <c r="E194" s="200">
        <f>SUMIF('2월'!$M$34:$M$145,연간_세부항목별지출!$C194,'2월'!$T$34:$T$145)</f>
        <v>0</v>
      </c>
      <c r="F194" s="200">
        <f>SUMIF('3월'!$M$34:$M$145,연간_세부항목별지출!$C194,'3월'!$R$34:$R$145)</f>
        <v>0</v>
      </c>
      <c r="G194" s="200">
        <f>SUMIF('4월'!$M$34:$M$145,연간_세부항목별지출!$C194,'4월'!$R$34:$R$145)</f>
        <v>0</v>
      </c>
      <c r="H194" s="200">
        <f>SUMIF('5월'!$M$34:$M$145,연간_세부항목별지출!$C194,'5월'!$R$34:$R$145)</f>
        <v>0</v>
      </c>
      <c r="I194" s="200">
        <f>SUMIF('6월'!$M$34:$M$145,연간_세부항목별지출!$C194,'6월'!$R$34:$R$145)</f>
        <v>0</v>
      </c>
      <c r="J194" s="200">
        <f>SUMIF('7월'!$M$34:$M$145,연간_세부항목별지출!$C194,'7월'!$R$34:$R$145)</f>
        <v>0</v>
      </c>
      <c r="K194" s="200">
        <f>SUMIF('8월'!$M$34:$M$145,연간_세부항목별지출!$C194,'8월'!$R$34:$R$145)</f>
        <v>0</v>
      </c>
      <c r="L194" s="200">
        <f>SUMIF('9월'!$M$34:$M$145,연간_세부항목별지출!$C194,'9월'!$R$34:$R$145)</f>
        <v>0</v>
      </c>
      <c r="M194" s="200">
        <f>SUMIF('10월'!$M$34:$M$145,연간_세부항목별지출!$C194,'10월'!$R$34:$R$145)</f>
        <v>0</v>
      </c>
      <c r="N194" s="200">
        <f>SUMIF('11월'!$M$34:$M$145,연간_세부항목별지출!$C194,'11월'!$R$34:$R$145)</f>
        <v>0</v>
      </c>
      <c r="O194" s="200">
        <f>SUMIF('12월'!$M$34:$M$145,연간_세부항목별지출!$C194,'12월'!$R$34:$R$145)</f>
        <v>0</v>
      </c>
      <c r="P194" s="264">
        <f t="shared" si="10"/>
        <v>0</v>
      </c>
      <c r="Q194" s="264">
        <f t="shared" si="11"/>
        <v>0</v>
      </c>
      <c r="R194" s="307" t="str">
        <f t="shared" si="12"/>
        <v/>
      </c>
    </row>
    <row r="195" spans="2:18" ht="18" customHeight="1" x14ac:dyDescent="0.3">
      <c r="B195" s="546"/>
      <c r="C195" s="270" t="str">
        <f>IF(항목!P12="","",항목!P12)</f>
        <v/>
      </c>
      <c r="D195" s="200">
        <f>SUMIF('1월'!$M$34:$M$165,연간_세부항목별지출!$C195,'1월'!$T$34:$T$165)</f>
        <v>0</v>
      </c>
      <c r="E195" s="200">
        <f>SUMIF('2월'!$M$34:$M$145,연간_세부항목별지출!$C195,'2월'!$T$34:$T$145)</f>
        <v>0</v>
      </c>
      <c r="F195" s="200">
        <f>SUMIF('3월'!$M$34:$M$145,연간_세부항목별지출!$C195,'3월'!$R$34:$R$145)</f>
        <v>0</v>
      </c>
      <c r="G195" s="200">
        <f>SUMIF('4월'!$M$34:$M$145,연간_세부항목별지출!$C195,'4월'!$R$34:$R$145)</f>
        <v>0</v>
      </c>
      <c r="H195" s="200">
        <f>SUMIF('5월'!$M$34:$M$145,연간_세부항목별지출!$C195,'5월'!$R$34:$R$145)</f>
        <v>0</v>
      </c>
      <c r="I195" s="200">
        <f>SUMIF('6월'!$M$34:$M$145,연간_세부항목별지출!$C195,'6월'!$R$34:$R$145)</f>
        <v>0</v>
      </c>
      <c r="J195" s="200">
        <f>SUMIF('7월'!$M$34:$M$145,연간_세부항목별지출!$C195,'7월'!$R$34:$R$145)</f>
        <v>0</v>
      </c>
      <c r="K195" s="200">
        <f>SUMIF('8월'!$M$34:$M$145,연간_세부항목별지출!$C195,'8월'!$R$34:$R$145)</f>
        <v>0</v>
      </c>
      <c r="L195" s="200">
        <f>SUMIF('9월'!$M$34:$M$145,연간_세부항목별지출!$C195,'9월'!$R$34:$R$145)</f>
        <v>0</v>
      </c>
      <c r="M195" s="200">
        <f>SUMIF('10월'!$M$34:$M$145,연간_세부항목별지출!$C195,'10월'!$R$34:$R$145)</f>
        <v>0</v>
      </c>
      <c r="N195" s="200">
        <f>SUMIF('11월'!$M$34:$M$145,연간_세부항목별지출!$C195,'11월'!$R$34:$R$145)</f>
        <v>0</v>
      </c>
      <c r="O195" s="200">
        <f>SUMIF('12월'!$M$34:$M$145,연간_세부항목별지출!$C195,'12월'!$R$34:$R$145)</f>
        <v>0</v>
      </c>
      <c r="P195" s="264">
        <f t="shared" si="10"/>
        <v>0</v>
      </c>
      <c r="Q195" s="264">
        <f t="shared" si="11"/>
        <v>0</v>
      </c>
      <c r="R195" s="307" t="str">
        <f t="shared" si="12"/>
        <v/>
      </c>
    </row>
    <row r="196" spans="2:18" ht="18" customHeight="1" x14ac:dyDescent="0.3">
      <c r="B196" s="546"/>
      <c r="C196" s="270" t="str">
        <f>IF(항목!P13="","",항목!P13)</f>
        <v/>
      </c>
      <c r="D196" s="200">
        <f>SUMIF('1월'!$M$34:$M$165,연간_세부항목별지출!$C196,'1월'!$T$34:$T$165)</f>
        <v>0</v>
      </c>
      <c r="E196" s="200">
        <f>SUMIF('2월'!$M$34:$M$145,연간_세부항목별지출!$C196,'2월'!$T$34:$T$145)</f>
        <v>0</v>
      </c>
      <c r="F196" s="200">
        <f>SUMIF('3월'!$M$34:$M$145,연간_세부항목별지출!$C196,'3월'!$R$34:$R$145)</f>
        <v>0</v>
      </c>
      <c r="G196" s="200">
        <f>SUMIF('4월'!$M$34:$M$145,연간_세부항목별지출!$C196,'4월'!$R$34:$R$145)</f>
        <v>0</v>
      </c>
      <c r="H196" s="200">
        <f>SUMIF('5월'!$M$34:$M$145,연간_세부항목별지출!$C196,'5월'!$R$34:$R$145)</f>
        <v>0</v>
      </c>
      <c r="I196" s="200">
        <f>SUMIF('6월'!$M$34:$M$145,연간_세부항목별지출!$C196,'6월'!$R$34:$R$145)</f>
        <v>0</v>
      </c>
      <c r="J196" s="200">
        <f>SUMIF('7월'!$M$34:$M$145,연간_세부항목별지출!$C196,'7월'!$R$34:$R$145)</f>
        <v>0</v>
      </c>
      <c r="K196" s="200">
        <f>SUMIF('8월'!$M$34:$M$145,연간_세부항목별지출!$C196,'8월'!$R$34:$R$145)</f>
        <v>0</v>
      </c>
      <c r="L196" s="200">
        <f>SUMIF('9월'!$M$34:$M$145,연간_세부항목별지출!$C196,'9월'!$R$34:$R$145)</f>
        <v>0</v>
      </c>
      <c r="M196" s="200">
        <f>SUMIF('10월'!$M$34:$M$145,연간_세부항목별지출!$C196,'10월'!$R$34:$R$145)</f>
        <v>0</v>
      </c>
      <c r="N196" s="200">
        <f>SUMIF('11월'!$M$34:$M$145,연간_세부항목별지출!$C196,'11월'!$R$34:$R$145)</f>
        <v>0</v>
      </c>
      <c r="O196" s="200">
        <f>SUMIF('12월'!$M$34:$M$145,연간_세부항목별지출!$C196,'12월'!$R$34:$R$145)</f>
        <v>0</v>
      </c>
      <c r="P196" s="264">
        <f t="shared" si="10"/>
        <v>0</v>
      </c>
      <c r="Q196" s="264">
        <f t="shared" si="11"/>
        <v>0</v>
      </c>
      <c r="R196" s="307" t="str">
        <f t="shared" si="12"/>
        <v/>
      </c>
    </row>
    <row r="197" spans="2:18" ht="18" customHeight="1" x14ac:dyDescent="0.3">
      <c r="B197" s="546"/>
      <c r="C197" s="270" t="str">
        <f>IF(항목!P14="","",항목!P14)</f>
        <v/>
      </c>
      <c r="D197" s="200">
        <f>SUMIF('1월'!$M$34:$M$165,연간_세부항목별지출!$C197,'1월'!$T$34:$T$165)</f>
        <v>0</v>
      </c>
      <c r="E197" s="200">
        <f>SUMIF('2월'!$M$34:$M$145,연간_세부항목별지출!$C197,'2월'!$T$34:$T$145)</f>
        <v>0</v>
      </c>
      <c r="F197" s="200">
        <f>SUMIF('3월'!$M$34:$M$145,연간_세부항목별지출!$C197,'3월'!$R$34:$R$145)</f>
        <v>0</v>
      </c>
      <c r="G197" s="200">
        <f>SUMIF('4월'!$M$34:$M$145,연간_세부항목별지출!$C197,'4월'!$R$34:$R$145)</f>
        <v>0</v>
      </c>
      <c r="H197" s="200">
        <f>SUMIF('5월'!$M$34:$M$145,연간_세부항목별지출!$C197,'5월'!$R$34:$R$145)</f>
        <v>0</v>
      </c>
      <c r="I197" s="200">
        <f>SUMIF('6월'!$M$34:$M$145,연간_세부항목별지출!$C197,'6월'!$R$34:$R$145)</f>
        <v>0</v>
      </c>
      <c r="J197" s="200">
        <f>SUMIF('7월'!$M$34:$M$145,연간_세부항목별지출!$C197,'7월'!$R$34:$R$145)</f>
        <v>0</v>
      </c>
      <c r="K197" s="200">
        <f>SUMIF('8월'!$M$34:$M$145,연간_세부항목별지출!$C197,'8월'!$R$34:$R$145)</f>
        <v>0</v>
      </c>
      <c r="L197" s="200">
        <f>SUMIF('9월'!$M$34:$M$145,연간_세부항목별지출!$C197,'9월'!$R$34:$R$145)</f>
        <v>0</v>
      </c>
      <c r="M197" s="200">
        <f>SUMIF('10월'!$M$34:$M$145,연간_세부항목별지출!$C197,'10월'!$R$34:$R$145)</f>
        <v>0</v>
      </c>
      <c r="N197" s="200">
        <f>SUMIF('11월'!$M$34:$M$145,연간_세부항목별지출!$C197,'11월'!$R$34:$R$145)</f>
        <v>0</v>
      </c>
      <c r="O197" s="200">
        <f>SUMIF('12월'!$M$34:$M$145,연간_세부항목별지출!$C197,'12월'!$R$34:$R$145)</f>
        <v>0</v>
      </c>
      <c r="P197" s="264">
        <f t="shared" si="10"/>
        <v>0</v>
      </c>
      <c r="Q197" s="264">
        <f t="shared" si="11"/>
        <v>0</v>
      </c>
      <c r="R197" s="307" t="str">
        <f t="shared" si="12"/>
        <v/>
      </c>
    </row>
    <row r="198" spans="2:18" ht="18" customHeight="1" x14ac:dyDescent="0.3">
      <c r="B198" s="546"/>
      <c r="C198" s="270" t="str">
        <f>IF(항목!P15="","",항목!P15)</f>
        <v/>
      </c>
      <c r="D198" s="200">
        <f>SUMIF('1월'!$M$34:$M$165,연간_세부항목별지출!$C198,'1월'!$T$34:$T$165)</f>
        <v>0</v>
      </c>
      <c r="E198" s="200">
        <f>SUMIF('2월'!$M$34:$M$145,연간_세부항목별지출!$C198,'2월'!$T$34:$T$145)</f>
        <v>0</v>
      </c>
      <c r="F198" s="200">
        <f>SUMIF('3월'!$M$34:$M$145,연간_세부항목별지출!$C198,'3월'!$R$34:$R$145)</f>
        <v>0</v>
      </c>
      <c r="G198" s="200">
        <f>SUMIF('4월'!$M$34:$M$145,연간_세부항목별지출!$C198,'4월'!$R$34:$R$145)</f>
        <v>0</v>
      </c>
      <c r="H198" s="200">
        <f>SUMIF('5월'!$M$34:$M$145,연간_세부항목별지출!$C198,'5월'!$R$34:$R$145)</f>
        <v>0</v>
      </c>
      <c r="I198" s="200">
        <f>SUMIF('6월'!$M$34:$M$145,연간_세부항목별지출!$C198,'6월'!$R$34:$R$145)</f>
        <v>0</v>
      </c>
      <c r="J198" s="200">
        <f>SUMIF('7월'!$M$34:$M$145,연간_세부항목별지출!$C198,'7월'!$R$34:$R$145)</f>
        <v>0</v>
      </c>
      <c r="K198" s="200">
        <f>SUMIF('8월'!$M$34:$M$145,연간_세부항목별지출!$C198,'8월'!$R$34:$R$145)</f>
        <v>0</v>
      </c>
      <c r="L198" s="200">
        <f>SUMIF('9월'!$M$34:$M$145,연간_세부항목별지출!$C198,'9월'!$R$34:$R$145)</f>
        <v>0</v>
      </c>
      <c r="M198" s="200">
        <f>SUMIF('10월'!$M$34:$M$145,연간_세부항목별지출!$C198,'10월'!$R$34:$R$145)</f>
        <v>0</v>
      </c>
      <c r="N198" s="200">
        <f>SUMIF('11월'!$M$34:$M$145,연간_세부항목별지출!$C198,'11월'!$R$34:$R$145)</f>
        <v>0</v>
      </c>
      <c r="O198" s="200">
        <f>SUMIF('12월'!$M$34:$M$145,연간_세부항목별지출!$C198,'12월'!$R$34:$R$145)</f>
        <v>0</v>
      </c>
      <c r="P198" s="264">
        <f t="shared" si="10"/>
        <v>0</v>
      </c>
      <c r="Q198" s="264">
        <f t="shared" si="11"/>
        <v>0</v>
      </c>
      <c r="R198" s="307" t="str">
        <f t="shared" si="12"/>
        <v/>
      </c>
    </row>
    <row r="199" spans="2:18" ht="18" customHeight="1" x14ac:dyDescent="0.3">
      <c r="B199" s="546"/>
      <c r="C199" s="270" t="str">
        <f>IF(항목!P16="","",항목!P16)</f>
        <v/>
      </c>
      <c r="D199" s="200">
        <f>SUMIF('1월'!$M$34:$M$165,연간_세부항목별지출!$C199,'1월'!$T$34:$T$165)</f>
        <v>0</v>
      </c>
      <c r="E199" s="200">
        <f>SUMIF('2월'!$M$34:$M$145,연간_세부항목별지출!$C199,'2월'!$T$34:$T$145)</f>
        <v>0</v>
      </c>
      <c r="F199" s="200">
        <f>SUMIF('3월'!$M$34:$M$145,연간_세부항목별지출!$C199,'3월'!$R$34:$R$145)</f>
        <v>0</v>
      </c>
      <c r="G199" s="200">
        <f>SUMIF('4월'!$M$34:$M$145,연간_세부항목별지출!$C199,'4월'!$R$34:$R$145)</f>
        <v>0</v>
      </c>
      <c r="H199" s="200">
        <f>SUMIF('5월'!$M$34:$M$145,연간_세부항목별지출!$C199,'5월'!$R$34:$R$145)</f>
        <v>0</v>
      </c>
      <c r="I199" s="200">
        <f>SUMIF('6월'!$M$34:$M$145,연간_세부항목별지출!$C199,'6월'!$R$34:$R$145)</f>
        <v>0</v>
      </c>
      <c r="J199" s="200">
        <f>SUMIF('7월'!$M$34:$M$145,연간_세부항목별지출!$C199,'7월'!$R$34:$R$145)</f>
        <v>0</v>
      </c>
      <c r="K199" s="200">
        <f>SUMIF('8월'!$M$34:$M$145,연간_세부항목별지출!$C199,'8월'!$R$34:$R$145)</f>
        <v>0</v>
      </c>
      <c r="L199" s="200">
        <f>SUMIF('9월'!$M$34:$M$145,연간_세부항목별지출!$C199,'9월'!$R$34:$R$145)</f>
        <v>0</v>
      </c>
      <c r="M199" s="200">
        <f>SUMIF('10월'!$M$34:$M$145,연간_세부항목별지출!$C199,'10월'!$R$34:$R$145)</f>
        <v>0</v>
      </c>
      <c r="N199" s="200">
        <f>SUMIF('11월'!$M$34:$M$145,연간_세부항목별지출!$C199,'11월'!$R$34:$R$145)</f>
        <v>0</v>
      </c>
      <c r="O199" s="200">
        <f>SUMIF('12월'!$M$34:$M$145,연간_세부항목별지출!$C199,'12월'!$R$34:$R$145)</f>
        <v>0</v>
      </c>
      <c r="P199" s="264">
        <f t="shared" si="10"/>
        <v>0</v>
      </c>
      <c r="Q199" s="264">
        <f t="shared" si="11"/>
        <v>0</v>
      </c>
      <c r="R199" s="307" t="str">
        <f t="shared" si="12"/>
        <v/>
      </c>
    </row>
    <row r="200" spans="2:18" ht="18" customHeight="1" x14ac:dyDescent="0.3">
      <c r="B200" s="546"/>
      <c r="C200" s="270" t="str">
        <f>IF(항목!P17="","",항목!P17)</f>
        <v/>
      </c>
      <c r="D200" s="200">
        <f>SUMIF('1월'!$M$34:$M$165,연간_세부항목별지출!$C200,'1월'!$T$34:$T$165)</f>
        <v>0</v>
      </c>
      <c r="E200" s="200">
        <f>SUMIF('2월'!$M$34:$M$145,연간_세부항목별지출!$C200,'2월'!$T$34:$T$145)</f>
        <v>0</v>
      </c>
      <c r="F200" s="200">
        <f>SUMIF('3월'!$M$34:$M$145,연간_세부항목별지출!$C200,'3월'!$R$34:$R$145)</f>
        <v>0</v>
      </c>
      <c r="G200" s="200">
        <f>SUMIF('4월'!$M$34:$M$145,연간_세부항목별지출!$C200,'4월'!$R$34:$R$145)</f>
        <v>0</v>
      </c>
      <c r="H200" s="200">
        <f>SUMIF('5월'!$M$34:$M$145,연간_세부항목별지출!$C200,'5월'!$R$34:$R$145)</f>
        <v>0</v>
      </c>
      <c r="I200" s="200">
        <f>SUMIF('6월'!$M$34:$M$145,연간_세부항목별지출!$C200,'6월'!$R$34:$R$145)</f>
        <v>0</v>
      </c>
      <c r="J200" s="200">
        <f>SUMIF('7월'!$M$34:$M$145,연간_세부항목별지출!$C200,'7월'!$R$34:$R$145)</f>
        <v>0</v>
      </c>
      <c r="K200" s="200">
        <f>SUMIF('8월'!$M$34:$M$145,연간_세부항목별지출!$C200,'8월'!$R$34:$R$145)</f>
        <v>0</v>
      </c>
      <c r="L200" s="200">
        <f>SUMIF('9월'!$M$34:$M$145,연간_세부항목별지출!$C200,'9월'!$R$34:$R$145)</f>
        <v>0</v>
      </c>
      <c r="M200" s="200">
        <f>SUMIF('10월'!$M$34:$M$145,연간_세부항목별지출!$C200,'10월'!$R$34:$R$145)</f>
        <v>0</v>
      </c>
      <c r="N200" s="200">
        <f>SUMIF('11월'!$M$34:$M$145,연간_세부항목별지출!$C200,'11월'!$R$34:$R$145)</f>
        <v>0</v>
      </c>
      <c r="O200" s="200">
        <f>SUMIF('12월'!$M$34:$M$145,연간_세부항목별지출!$C200,'12월'!$R$34:$R$145)</f>
        <v>0</v>
      </c>
      <c r="P200" s="264">
        <f t="shared" si="10"/>
        <v>0</v>
      </c>
      <c r="Q200" s="264">
        <f t="shared" si="11"/>
        <v>0</v>
      </c>
      <c r="R200" s="307" t="str">
        <f t="shared" si="12"/>
        <v/>
      </c>
    </row>
    <row r="201" spans="2:18" ht="18" customHeight="1" thickBot="1" x14ac:dyDescent="0.35">
      <c r="B201" s="547"/>
      <c r="C201" s="317" t="str">
        <f>IF(항목!P18="","",항목!P18)</f>
        <v/>
      </c>
      <c r="D201" s="318">
        <f>SUMIF('1월'!$M$34:$M$165,연간_세부항목별지출!$C201,'1월'!$T$34:$T$165)</f>
        <v>0</v>
      </c>
      <c r="E201" s="318">
        <f>SUMIF('2월'!$M$34:$M$145,연간_세부항목별지출!$C201,'2월'!$T$34:$T$145)</f>
        <v>0</v>
      </c>
      <c r="F201" s="318">
        <f>SUMIF('3월'!$M$34:$M$145,연간_세부항목별지출!$C201,'3월'!$R$34:$R$145)</f>
        <v>0</v>
      </c>
      <c r="G201" s="318">
        <f>SUMIF('4월'!$M$34:$M$145,연간_세부항목별지출!$C201,'4월'!$R$34:$R$145)</f>
        <v>0</v>
      </c>
      <c r="H201" s="318">
        <f>SUMIF('5월'!$M$34:$M$145,연간_세부항목별지출!$C201,'5월'!$R$34:$R$145)</f>
        <v>0</v>
      </c>
      <c r="I201" s="318">
        <f>SUMIF('6월'!$M$34:$M$145,연간_세부항목별지출!$C201,'6월'!$R$34:$R$145)</f>
        <v>0</v>
      </c>
      <c r="J201" s="318">
        <f>SUMIF('7월'!$M$34:$M$145,연간_세부항목별지출!$C201,'7월'!$R$34:$R$145)</f>
        <v>0</v>
      </c>
      <c r="K201" s="318">
        <f>SUMIF('8월'!$M$34:$M$145,연간_세부항목별지출!$C201,'8월'!$R$34:$R$145)</f>
        <v>0</v>
      </c>
      <c r="L201" s="318">
        <f>SUMIF('9월'!$M$34:$M$145,연간_세부항목별지출!$C201,'9월'!$R$34:$R$145)</f>
        <v>0</v>
      </c>
      <c r="M201" s="318">
        <f>SUMIF('10월'!$M$34:$M$145,연간_세부항목별지출!$C201,'10월'!$R$34:$R$145)</f>
        <v>0</v>
      </c>
      <c r="N201" s="318">
        <f>SUMIF('11월'!$M$34:$M$145,연간_세부항목별지출!$C201,'11월'!$R$34:$R$145)</f>
        <v>0</v>
      </c>
      <c r="O201" s="318">
        <f>SUMIF('12월'!$M$34:$M$145,연간_세부항목별지출!$C201,'12월'!$R$34:$R$145)</f>
        <v>0</v>
      </c>
      <c r="P201" s="273">
        <f t="shared" si="10"/>
        <v>0</v>
      </c>
      <c r="Q201" s="273">
        <f t="shared" si="11"/>
        <v>0</v>
      </c>
      <c r="R201" s="310" t="str">
        <f t="shared" si="12"/>
        <v/>
      </c>
    </row>
    <row r="202" spans="2:18" ht="18" customHeight="1" x14ac:dyDescent="0.3">
      <c r="B202" s="545" t="str">
        <f>항목!Q3</f>
        <v>추가항목</v>
      </c>
      <c r="C202" s="316" t="str">
        <f>IF(항목!Q4="","",항목!Q4)</f>
        <v>필요한 것</v>
      </c>
      <c r="D202" s="205">
        <f>SUMIF('1월'!$M$34:$M$165,연간_세부항목별지출!$C202,'1월'!$T$34:$T$165)</f>
        <v>0</v>
      </c>
      <c r="E202" s="205">
        <f>SUMIF('2월'!$M$34:$M$145,연간_세부항목별지출!$C202,'2월'!$T$34:$T$145)</f>
        <v>0</v>
      </c>
      <c r="F202" s="205">
        <f>SUMIF('3월'!$M$34:$M$145,연간_세부항목별지출!$C202,'3월'!$R$34:$R$145)</f>
        <v>0</v>
      </c>
      <c r="G202" s="205">
        <f>SUMIF('4월'!$M$34:$M$145,연간_세부항목별지출!$C202,'4월'!$R$34:$R$145)</f>
        <v>0</v>
      </c>
      <c r="H202" s="205">
        <f>SUMIF('5월'!$M$34:$M$145,연간_세부항목별지출!$C202,'5월'!$R$34:$R$145)</f>
        <v>0</v>
      </c>
      <c r="I202" s="205">
        <f>SUMIF('6월'!$M$34:$M$145,연간_세부항목별지출!$C202,'6월'!$R$34:$R$145)</f>
        <v>0</v>
      </c>
      <c r="J202" s="205">
        <f>SUMIF('7월'!$M$34:$M$145,연간_세부항목별지출!$C202,'7월'!$R$34:$R$145)</f>
        <v>0</v>
      </c>
      <c r="K202" s="205">
        <f>SUMIF('8월'!$M$34:$M$145,연간_세부항목별지출!$C202,'8월'!$R$34:$R$145)</f>
        <v>0</v>
      </c>
      <c r="L202" s="205">
        <f>SUMIF('9월'!$M$34:$M$145,연간_세부항목별지출!$C202,'9월'!$R$34:$R$145)</f>
        <v>0</v>
      </c>
      <c r="M202" s="205">
        <f>SUMIF('10월'!$M$34:$M$145,연간_세부항목별지출!$C202,'10월'!$R$34:$R$145)</f>
        <v>0</v>
      </c>
      <c r="N202" s="205">
        <f>SUMIF('11월'!$M$34:$M$145,연간_세부항목별지출!$C202,'11월'!$R$34:$R$145)</f>
        <v>0</v>
      </c>
      <c r="O202" s="205">
        <f>SUMIF('12월'!$M$34:$M$145,연간_세부항목별지출!$C202,'12월'!$R$34:$R$145)</f>
        <v>0</v>
      </c>
      <c r="P202" s="319">
        <f t="shared" si="10"/>
        <v>0</v>
      </c>
      <c r="Q202" s="319">
        <f t="shared" si="11"/>
        <v>0</v>
      </c>
      <c r="R202" s="320" t="str">
        <f t="shared" si="12"/>
        <v/>
      </c>
    </row>
    <row r="203" spans="2:18" ht="18" customHeight="1" x14ac:dyDescent="0.3">
      <c r="B203" s="546"/>
      <c r="C203" s="271" t="str">
        <f>IF(항목!Q5="","",항목!Q5)</f>
        <v>추가하세요</v>
      </c>
      <c r="D203" s="200">
        <f>SUMIF('1월'!$M$34:$M$165,연간_세부항목별지출!$C203,'1월'!$T$34:$T$165)</f>
        <v>0</v>
      </c>
      <c r="E203" s="200">
        <f>SUMIF('2월'!$M$34:$M$145,연간_세부항목별지출!$C203,'2월'!$T$34:$T$145)</f>
        <v>0</v>
      </c>
      <c r="F203" s="200">
        <f>SUMIF('3월'!$M$34:$M$145,연간_세부항목별지출!$C203,'3월'!$R$34:$R$145)</f>
        <v>0</v>
      </c>
      <c r="G203" s="200">
        <f>SUMIF('4월'!$M$34:$M$145,연간_세부항목별지출!$C203,'4월'!$R$34:$R$145)</f>
        <v>0</v>
      </c>
      <c r="H203" s="200">
        <f>SUMIF('5월'!$M$34:$M$145,연간_세부항목별지출!$C203,'5월'!$R$34:$R$145)</f>
        <v>0</v>
      </c>
      <c r="I203" s="200">
        <f>SUMIF('6월'!$M$34:$M$145,연간_세부항목별지출!$C203,'6월'!$R$34:$R$145)</f>
        <v>0</v>
      </c>
      <c r="J203" s="200">
        <f>SUMIF('7월'!$M$34:$M$145,연간_세부항목별지출!$C203,'7월'!$R$34:$R$145)</f>
        <v>0</v>
      </c>
      <c r="K203" s="200">
        <f>SUMIF('8월'!$M$34:$M$145,연간_세부항목별지출!$C203,'8월'!$R$34:$R$145)</f>
        <v>0</v>
      </c>
      <c r="L203" s="200">
        <f>SUMIF('9월'!$M$34:$M$145,연간_세부항목별지출!$C203,'9월'!$R$34:$R$145)</f>
        <v>0</v>
      </c>
      <c r="M203" s="200">
        <f>SUMIF('10월'!$M$34:$M$145,연간_세부항목별지출!$C203,'10월'!$R$34:$R$145)</f>
        <v>0</v>
      </c>
      <c r="N203" s="200">
        <f>SUMIF('11월'!$M$34:$M$145,연간_세부항목별지출!$C203,'11월'!$R$34:$R$145)</f>
        <v>0</v>
      </c>
      <c r="O203" s="200">
        <f>SUMIF('12월'!$M$34:$M$145,연간_세부항목별지출!$C203,'12월'!$R$34:$R$145)</f>
        <v>0</v>
      </c>
      <c r="P203" s="264">
        <f t="shared" si="10"/>
        <v>0</v>
      </c>
      <c r="Q203" s="264">
        <f t="shared" si="11"/>
        <v>0</v>
      </c>
      <c r="R203" s="307" t="str">
        <f t="shared" si="12"/>
        <v/>
      </c>
    </row>
    <row r="204" spans="2:18" ht="18" customHeight="1" x14ac:dyDescent="0.3">
      <c r="B204" s="546"/>
      <c r="C204" s="271" t="str">
        <f>IF(항목!Q6="","",항목!Q6)</f>
        <v/>
      </c>
      <c r="D204" s="200">
        <f>SUMIF('1월'!$M$34:$M$165,연간_세부항목별지출!$C204,'1월'!$T$34:$T$165)</f>
        <v>0</v>
      </c>
      <c r="E204" s="200">
        <f>SUMIF('2월'!$M$34:$M$145,연간_세부항목별지출!$C204,'2월'!$T$34:$T$145)</f>
        <v>0</v>
      </c>
      <c r="F204" s="200">
        <f>SUMIF('3월'!$M$34:$M$145,연간_세부항목별지출!$C204,'3월'!$R$34:$R$145)</f>
        <v>0</v>
      </c>
      <c r="G204" s="200">
        <f>SUMIF('4월'!$M$34:$M$145,연간_세부항목별지출!$C204,'4월'!$R$34:$R$145)</f>
        <v>0</v>
      </c>
      <c r="H204" s="200">
        <f>SUMIF('5월'!$M$34:$M$145,연간_세부항목별지출!$C204,'5월'!$R$34:$R$145)</f>
        <v>0</v>
      </c>
      <c r="I204" s="200">
        <f>SUMIF('6월'!$M$34:$M$145,연간_세부항목별지출!$C204,'6월'!$R$34:$R$145)</f>
        <v>0</v>
      </c>
      <c r="J204" s="200">
        <f>SUMIF('7월'!$M$34:$M$145,연간_세부항목별지출!$C204,'7월'!$R$34:$R$145)</f>
        <v>0</v>
      </c>
      <c r="K204" s="200">
        <f>SUMIF('8월'!$M$34:$M$145,연간_세부항목별지출!$C204,'8월'!$R$34:$R$145)</f>
        <v>0</v>
      </c>
      <c r="L204" s="200">
        <f>SUMIF('9월'!$M$34:$M$145,연간_세부항목별지출!$C204,'9월'!$R$34:$R$145)</f>
        <v>0</v>
      </c>
      <c r="M204" s="200">
        <f>SUMIF('10월'!$M$34:$M$145,연간_세부항목별지출!$C204,'10월'!$R$34:$R$145)</f>
        <v>0</v>
      </c>
      <c r="N204" s="200">
        <f>SUMIF('11월'!$M$34:$M$145,연간_세부항목별지출!$C204,'11월'!$R$34:$R$145)</f>
        <v>0</v>
      </c>
      <c r="O204" s="200">
        <f>SUMIF('12월'!$M$34:$M$145,연간_세부항목별지출!$C204,'12월'!$R$34:$R$145)</f>
        <v>0</v>
      </c>
      <c r="P204" s="264">
        <f t="shared" si="10"/>
        <v>0</v>
      </c>
      <c r="Q204" s="264">
        <f t="shared" si="11"/>
        <v>0</v>
      </c>
      <c r="R204" s="307" t="str">
        <f t="shared" si="12"/>
        <v/>
      </c>
    </row>
    <row r="205" spans="2:18" ht="18" customHeight="1" x14ac:dyDescent="0.3">
      <c r="B205" s="546"/>
      <c r="C205" s="271" t="str">
        <f>IF(항목!Q7="","",항목!Q7)</f>
        <v/>
      </c>
      <c r="D205" s="200">
        <f>SUMIF('1월'!$M$34:$M$165,연간_세부항목별지출!$C205,'1월'!$T$34:$T$165)</f>
        <v>0</v>
      </c>
      <c r="E205" s="200">
        <f>SUMIF('2월'!$M$34:$M$145,연간_세부항목별지출!$C205,'2월'!$T$34:$T$145)</f>
        <v>0</v>
      </c>
      <c r="F205" s="200">
        <f>SUMIF('3월'!$M$34:$M$145,연간_세부항목별지출!$C205,'3월'!$R$34:$R$145)</f>
        <v>0</v>
      </c>
      <c r="G205" s="200">
        <f>SUMIF('4월'!$M$34:$M$145,연간_세부항목별지출!$C205,'4월'!$R$34:$R$145)</f>
        <v>0</v>
      </c>
      <c r="H205" s="200">
        <f>SUMIF('5월'!$M$34:$M$145,연간_세부항목별지출!$C205,'5월'!$R$34:$R$145)</f>
        <v>0</v>
      </c>
      <c r="I205" s="200">
        <f>SUMIF('6월'!$M$34:$M$145,연간_세부항목별지출!$C205,'6월'!$R$34:$R$145)</f>
        <v>0</v>
      </c>
      <c r="J205" s="200">
        <f>SUMIF('7월'!$M$34:$M$145,연간_세부항목별지출!$C205,'7월'!$R$34:$R$145)</f>
        <v>0</v>
      </c>
      <c r="K205" s="200">
        <f>SUMIF('8월'!$M$34:$M$145,연간_세부항목별지출!$C205,'8월'!$R$34:$R$145)</f>
        <v>0</v>
      </c>
      <c r="L205" s="200">
        <f>SUMIF('9월'!$M$34:$M$145,연간_세부항목별지출!$C205,'9월'!$R$34:$R$145)</f>
        <v>0</v>
      </c>
      <c r="M205" s="200">
        <f>SUMIF('10월'!$M$34:$M$145,연간_세부항목별지출!$C205,'10월'!$R$34:$R$145)</f>
        <v>0</v>
      </c>
      <c r="N205" s="200">
        <f>SUMIF('11월'!$M$34:$M$145,연간_세부항목별지출!$C205,'11월'!$R$34:$R$145)</f>
        <v>0</v>
      </c>
      <c r="O205" s="200">
        <f>SUMIF('12월'!$M$34:$M$145,연간_세부항목별지출!$C205,'12월'!$R$34:$R$145)</f>
        <v>0</v>
      </c>
      <c r="P205" s="264">
        <f t="shared" si="10"/>
        <v>0</v>
      </c>
      <c r="Q205" s="264">
        <f t="shared" si="11"/>
        <v>0</v>
      </c>
      <c r="R205" s="307" t="str">
        <f t="shared" si="12"/>
        <v/>
      </c>
    </row>
    <row r="206" spans="2:18" ht="18" customHeight="1" x14ac:dyDescent="0.3">
      <c r="B206" s="546"/>
      <c r="C206" s="271" t="str">
        <f>IF(항목!Q8="","",항목!Q8)</f>
        <v/>
      </c>
      <c r="D206" s="200">
        <f>SUMIF('1월'!$M$34:$M$165,연간_세부항목별지출!$C206,'1월'!$T$34:$T$165)</f>
        <v>0</v>
      </c>
      <c r="E206" s="200">
        <f>SUMIF('2월'!$M$34:$M$145,연간_세부항목별지출!$C206,'2월'!$T$34:$T$145)</f>
        <v>0</v>
      </c>
      <c r="F206" s="200">
        <f>SUMIF('3월'!$M$34:$M$145,연간_세부항목별지출!$C206,'3월'!$R$34:$R$145)</f>
        <v>0</v>
      </c>
      <c r="G206" s="200">
        <f>SUMIF('4월'!$M$34:$M$145,연간_세부항목별지출!$C206,'4월'!$R$34:$R$145)</f>
        <v>0</v>
      </c>
      <c r="H206" s="200">
        <f>SUMIF('5월'!$M$34:$M$145,연간_세부항목별지출!$C206,'5월'!$R$34:$R$145)</f>
        <v>0</v>
      </c>
      <c r="I206" s="200">
        <f>SUMIF('6월'!$M$34:$M$145,연간_세부항목별지출!$C206,'6월'!$R$34:$R$145)</f>
        <v>0</v>
      </c>
      <c r="J206" s="200">
        <f>SUMIF('7월'!$M$34:$M$145,연간_세부항목별지출!$C206,'7월'!$R$34:$R$145)</f>
        <v>0</v>
      </c>
      <c r="K206" s="200">
        <f>SUMIF('8월'!$M$34:$M$145,연간_세부항목별지출!$C206,'8월'!$R$34:$R$145)</f>
        <v>0</v>
      </c>
      <c r="L206" s="200">
        <f>SUMIF('9월'!$M$34:$M$145,연간_세부항목별지출!$C206,'9월'!$R$34:$R$145)</f>
        <v>0</v>
      </c>
      <c r="M206" s="200">
        <f>SUMIF('10월'!$M$34:$M$145,연간_세부항목별지출!$C206,'10월'!$R$34:$R$145)</f>
        <v>0</v>
      </c>
      <c r="N206" s="200">
        <f>SUMIF('11월'!$M$34:$M$145,연간_세부항목별지출!$C206,'11월'!$R$34:$R$145)</f>
        <v>0</v>
      </c>
      <c r="O206" s="200">
        <f>SUMIF('12월'!$M$34:$M$145,연간_세부항목별지출!$C206,'12월'!$R$34:$R$145)</f>
        <v>0</v>
      </c>
      <c r="P206" s="264">
        <f t="shared" si="10"/>
        <v>0</v>
      </c>
      <c r="Q206" s="264">
        <f t="shared" si="11"/>
        <v>0</v>
      </c>
      <c r="R206" s="307" t="str">
        <f t="shared" si="12"/>
        <v/>
      </c>
    </row>
    <row r="207" spans="2:18" ht="18" customHeight="1" x14ac:dyDescent="0.3">
      <c r="B207" s="546"/>
      <c r="C207" s="271" t="str">
        <f>IF(항목!Q9="","",항목!Q9)</f>
        <v/>
      </c>
      <c r="D207" s="200">
        <f>SUMIF('1월'!$M$34:$M$165,연간_세부항목별지출!$C207,'1월'!$T$34:$T$165)</f>
        <v>0</v>
      </c>
      <c r="E207" s="200">
        <f>SUMIF('2월'!$M$34:$M$145,연간_세부항목별지출!$C207,'2월'!$T$34:$T$145)</f>
        <v>0</v>
      </c>
      <c r="F207" s="200">
        <f>SUMIF('3월'!$M$34:$M$145,연간_세부항목별지출!$C207,'3월'!$R$34:$R$145)</f>
        <v>0</v>
      </c>
      <c r="G207" s="200">
        <f>SUMIF('4월'!$M$34:$M$145,연간_세부항목별지출!$C207,'4월'!$R$34:$R$145)</f>
        <v>0</v>
      </c>
      <c r="H207" s="200">
        <f>SUMIF('5월'!$M$34:$M$145,연간_세부항목별지출!$C207,'5월'!$R$34:$R$145)</f>
        <v>0</v>
      </c>
      <c r="I207" s="200">
        <f>SUMIF('6월'!$M$34:$M$145,연간_세부항목별지출!$C207,'6월'!$R$34:$R$145)</f>
        <v>0</v>
      </c>
      <c r="J207" s="200">
        <f>SUMIF('7월'!$M$34:$M$145,연간_세부항목별지출!$C207,'7월'!$R$34:$R$145)</f>
        <v>0</v>
      </c>
      <c r="K207" s="200">
        <f>SUMIF('8월'!$M$34:$M$145,연간_세부항목별지출!$C207,'8월'!$R$34:$R$145)</f>
        <v>0</v>
      </c>
      <c r="L207" s="200">
        <f>SUMIF('9월'!$M$34:$M$145,연간_세부항목별지출!$C207,'9월'!$R$34:$R$145)</f>
        <v>0</v>
      </c>
      <c r="M207" s="200">
        <f>SUMIF('10월'!$M$34:$M$145,연간_세부항목별지출!$C207,'10월'!$R$34:$R$145)</f>
        <v>0</v>
      </c>
      <c r="N207" s="200">
        <f>SUMIF('11월'!$M$34:$M$145,연간_세부항목별지출!$C207,'11월'!$R$34:$R$145)</f>
        <v>0</v>
      </c>
      <c r="O207" s="200">
        <f>SUMIF('12월'!$M$34:$M$145,연간_세부항목별지출!$C207,'12월'!$R$34:$R$145)</f>
        <v>0</v>
      </c>
      <c r="P207" s="264">
        <f t="shared" si="10"/>
        <v>0</v>
      </c>
      <c r="Q207" s="264">
        <f t="shared" si="11"/>
        <v>0</v>
      </c>
      <c r="R207" s="307" t="str">
        <f t="shared" si="12"/>
        <v/>
      </c>
    </row>
    <row r="208" spans="2:18" ht="18" customHeight="1" x14ac:dyDescent="0.3">
      <c r="B208" s="546"/>
      <c r="C208" s="271" t="str">
        <f>IF(항목!Q10="","",항목!Q10)</f>
        <v/>
      </c>
      <c r="D208" s="200">
        <f>SUMIF('1월'!$M$34:$M$165,연간_세부항목별지출!$C208,'1월'!$T$34:$T$165)</f>
        <v>0</v>
      </c>
      <c r="E208" s="200">
        <f>SUMIF('2월'!$M$34:$M$145,연간_세부항목별지출!$C208,'2월'!$T$34:$T$145)</f>
        <v>0</v>
      </c>
      <c r="F208" s="200">
        <f>SUMIF('3월'!$M$34:$M$145,연간_세부항목별지출!$C208,'3월'!$R$34:$R$145)</f>
        <v>0</v>
      </c>
      <c r="G208" s="200">
        <f>SUMIF('4월'!$M$34:$M$145,연간_세부항목별지출!$C208,'4월'!$R$34:$R$145)</f>
        <v>0</v>
      </c>
      <c r="H208" s="200">
        <f>SUMIF('5월'!$M$34:$M$145,연간_세부항목별지출!$C208,'5월'!$R$34:$R$145)</f>
        <v>0</v>
      </c>
      <c r="I208" s="200">
        <f>SUMIF('6월'!$M$34:$M$145,연간_세부항목별지출!$C208,'6월'!$R$34:$R$145)</f>
        <v>0</v>
      </c>
      <c r="J208" s="200">
        <f>SUMIF('7월'!$M$34:$M$145,연간_세부항목별지출!$C208,'7월'!$R$34:$R$145)</f>
        <v>0</v>
      </c>
      <c r="K208" s="200">
        <f>SUMIF('8월'!$M$34:$M$145,연간_세부항목별지출!$C208,'8월'!$R$34:$R$145)</f>
        <v>0</v>
      </c>
      <c r="L208" s="200">
        <f>SUMIF('9월'!$M$34:$M$145,연간_세부항목별지출!$C208,'9월'!$R$34:$R$145)</f>
        <v>0</v>
      </c>
      <c r="M208" s="200">
        <f>SUMIF('10월'!$M$34:$M$145,연간_세부항목별지출!$C208,'10월'!$R$34:$R$145)</f>
        <v>0</v>
      </c>
      <c r="N208" s="200">
        <f>SUMIF('11월'!$M$34:$M$145,연간_세부항목별지출!$C208,'11월'!$R$34:$R$145)</f>
        <v>0</v>
      </c>
      <c r="O208" s="200">
        <f>SUMIF('12월'!$M$34:$M$145,연간_세부항목별지출!$C208,'12월'!$R$34:$R$145)</f>
        <v>0</v>
      </c>
      <c r="P208" s="264">
        <f t="shared" si="10"/>
        <v>0</v>
      </c>
      <c r="Q208" s="264">
        <f t="shared" si="11"/>
        <v>0</v>
      </c>
      <c r="R208" s="307" t="str">
        <f t="shared" si="12"/>
        <v/>
      </c>
    </row>
    <row r="209" spans="2:18" ht="18" customHeight="1" x14ac:dyDescent="0.3">
      <c r="B209" s="546"/>
      <c r="C209" s="271" t="str">
        <f>IF(항목!Q11="","",항목!Q11)</f>
        <v/>
      </c>
      <c r="D209" s="200">
        <f>SUMIF('1월'!$M$34:$M$165,연간_세부항목별지출!$C209,'1월'!$T$34:$T$165)</f>
        <v>0</v>
      </c>
      <c r="E209" s="200">
        <f>SUMIF('2월'!$M$34:$M$145,연간_세부항목별지출!$C209,'2월'!$T$34:$T$145)</f>
        <v>0</v>
      </c>
      <c r="F209" s="200">
        <f>SUMIF('3월'!$M$34:$M$145,연간_세부항목별지출!$C209,'3월'!$R$34:$R$145)</f>
        <v>0</v>
      </c>
      <c r="G209" s="200">
        <f>SUMIF('4월'!$M$34:$M$145,연간_세부항목별지출!$C209,'4월'!$R$34:$R$145)</f>
        <v>0</v>
      </c>
      <c r="H209" s="200">
        <f>SUMIF('5월'!$M$34:$M$145,연간_세부항목별지출!$C209,'5월'!$R$34:$R$145)</f>
        <v>0</v>
      </c>
      <c r="I209" s="200">
        <f>SUMIF('6월'!$M$34:$M$145,연간_세부항목별지출!$C209,'6월'!$R$34:$R$145)</f>
        <v>0</v>
      </c>
      <c r="J209" s="200">
        <f>SUMIF('7월'!$M$34:$M$145,연간_세부항목별지출!$C209,'7월'!$R$34:$R$145)</f>
        <v>0</v>
      </c>
      <c r="K209" s="200">
        <f>SUMIF('8월'!$M$34:$M$145,연간_세부항목별지출!$C209,'8월'!$R$34:$R$145)</f>
        <v>0</v>
      </c>
      <c r="L209" s="200">
        <f>SUMIF('9월'!$M$34:$M$145,연간_세부항목별지출!$C209,'9월'!$R$34:$R$145)</f>
        <v>0</v>
      </c>
      <c r="M209" s="200">
        <f>SUMIF('10월'!$M$34:$M$145,연간_세부항목별지출!$C209,'10월'!$R$34:$R$145)</f>
        <v>0</v>
      </c>
      <c r="N209" s="200">
        <f>SUMIF('11월'!$M$34:$M$145,연간_세부항목별지출!$C209,'11월'!$R$34:$R$145)</f>
        <v>0</v>
      </c>
      <c r="O209" s="200">
        <f>SUMIF('12월'!$M$34:$M$145,연간_세부항목별지출!$C209,'12월'!$R$34:$R$145)</f>
        <v>0</v>
      </c>
      <c r="P209" s="264">
        <f t="shared" si="10"/>
        <v>0</v>
      </c>
      <c r="Q209" s="264">
        <f t="shared" si="11"/>
        <v>0</v>
      </c>
      <c r="R209" s="307" t="str">
        <f t="shared" si="12"/>
        <v/>
      </c>
    </row>
    <row r="210" spans="2:18" ht="18" customHeight="1" x14ac:dyDescent="0.3">
      <c r="B210" s="546"/>
      <c r="C210" s="271" t="str">
        <f>IF(항목!Q12="","",항목!Q12)</f>
        <v/>
      </c>
      <c r="D210" s="200">
        <f>SUMIF('1월'!$M$34:$M$165,연간_세부항목별지출!$C210,'1월'!$T$34:$T$165)</f>
        <v>0</v>
      </c>
      <c r="E210" s="200">
        <f>SUMIF('2월'!$M$34:$M$145,연간_세부항목별지출!$C210,'2월'!$T$34:$T$145)</f>
        <v>0</v>
      </c>
      <c r="F210" s="200">
        <f>SUMIF('3월'!$M$34:$M$145,연간_세부항목별지출!$C210,'3월'!$R$34:$R$145)</f>
        <v>0</v>
      </c>
      <c r="G210" s="200">
        <f>SUMIF('4월'!$M$34:$M$145,연간_세부항목별지출!$C210,'4월'!$R$34:$R$145)</f>
        <v>0</v>
      </c>
      <c r="H210" s="200">
        <f>SUMIF('5월'!$M$34:$M$145,연간_세부항목별지출!$C210,'5월'!$R$34:$R$145)</f>
        <v>0</v>
      </c>
      <c r="I210" s="200">
        <f>SUMIF('6월'!$M$34:$M$145,연간_세부항목별지출!$C210,'6월'!$R$34:$R$145)</f>
        <v>0</v>
      </c>
      <c r="J210" s="200">
        <f>SUMIF('7월'!$M$34:$M$145,연간_세부항목별지출!$C210,'7월'!$R$34:$R$145)</f>
        <v>0</v>
      </c>
      <c r="K210" s="200">
        <f>SUMIF('8월'!$M$34:$M$145,연간_세부항목별지출!$C210,'8월'!$R$34:$R$145)</f>
        <v>0</v>
      </c>
      <c r="L210" s="200">
        <f>SUMIF('9월'!$M$34:$M$145,연간_세부항목별지출!$C210,'9월'!$R$34:$R$145)</f>
        <v>0</v>
      </c>
      <c r="M210" s="200">
        <f>SUMIF('10월'!$M$34:$M$145,연간_세부항목별지출!$C210,'10월'!$R$34:$R$145)</f>
        <v>0</v>
      </c>
      <c r="N210" s="200">
        <f>SUMIF('11월'!$M$34:$M$145,연간_세부항목별지출!$C210,'11월'!$R$34:$R$145)</f>
        <v>0</v>
      </c>
      <c r="O210" s="200">
        <f>SUMIF('12월'!$M$34:$M$145,연간_세부항목별지출!$C210,'12월'!$R$34:$R$145)</f>
        <v>0</v>
      </c>
      <c r="P210" s="264">
        <f t="shared" si="10"/>
        <v>0</v>
      </c>
      <c r="Q210" s="264">
        <f t="shared" si="11"/>
        <v>0</v>
      </c>
      <c r="R210" s="307" t="str">
        <f t="shared" si="12"/>
        <v/>
      </c>
    </row>
    <row r="211" spans="2:18" ht="18" customHeight="1" x14ac:dyDescent="0.3">
      <c r="B211" s="546"/>
      <c r="C211" s="271" t="str">
        <f>IF(항목!Q13="","",항목!Q13)</f>
        <v/>
      </c>
      <c r="D211" s="200">
        <f>SUMIF('1월'!$M$34:$M$165,연간_세부항목별지출!$C211,'1월'!$T$34:$T$165)</f>
        <v>0</v>
      </c>
      <c r="E211" s="200">
        <f>SUMIF('2월'!$M$34:$M$145,연간_세부항목별지출!$C211,'2월'!$T$34:$T$145)</f>
        <v>0</v>
      </c>
      <c r="F211" s="200">
        <f>SUMIF('3월'!$M$34:$M$145,연간_세부항목별지출!$C211,'3월'!$R$34:$R$145)</f>
        <v>0</v>
      </c>
      <c r="G211" s="200">
        <f>SUMIF('4월'!$M$34:$M$145,연간_세부항목별지출!$C211,'4월'!$R$34:$R$145)</f>
        <v>0</v>
      </c>
      <c r="H211" s="200">
        <f>SUMIF('5월'!$M$34:$M$145,연간_세부항목별지출!$C211,'5월'!$R$34:$R$145)</f>
        <v>0</v>
      </c>
      <c r="I211" s="200">
        <f>SUMIF('6월'!$M$34:$M$145,연간_세부항목별지출!$C211,'6월'!$R$34:$R$145)</f>
        <v>0</v>
      </c>
      <c r="J211" s="200">
        <f>SUMIF('7월'!$M$34:$M$145,연간_세부항목별지출!$C211,'7월'!$R$34:$R$145)</f>
        <v>0</v>
      </c>
      <c r="K211" s="200">
        <f>SUMIF('8월'!$M$34:$M$145,연간_세부항목별지출!$C211,'8월'!$R$34:$R$145)</f>
        <v>0</v>
      </c>
      <c r="L211" s="200">
        <f>SUMIF('9월'!$M$34:$M$145,연간_세부항목별지출!$C211,'9월'!$R$34:$R$145)</f>
        <v>0</v>
      </c>
      <c r="M211" s="200">
        <f>SUMIF('10월'!$M$34:$M$145,연간_세부항목별지출!$C211,'10월'!$R$34:$R$145)</f>
        <v>0</v>
      </c>
      <c r="N211" s="200">
        <f>SUMIF('11월'!$M$34:$M$145,연간_세부항목별지출!$C211,'11월'!$R$34:$R$145)</f>
        <v>0</v>
      </c>
      <c r="O211" s="200">
        <f>SUMIF('12월'!$M$34:$M$145,연간_세부항목별지출!$C211,'12월'!$R$34:$R$145)</f>
        <v>0</v>
      </c>
      <c r="P211" s="264">
        <f t="shared" si="10"/>
        <v>0</v>
      </c>
      <c r="Q211" s="264">
        <f t="shared" si="11"/>
        <v>0</v>
      </c>
      <c r="R211" s="307" t="str">
        <f t="shared" si="12"/>
        <v/>
      </c>
    </row>
    <row r="212" spans="2:18" ht="18" customHeight="1" x14ac:dyDescent="0.3">
      <c r="B212" s="546"/>
      <c r="C212" s="271" t="str">
        <f>IF(항목!Q14="","",항목!Q14)</f>
        <v/>
      </c>
      <c r="D212" s="200">
        <f>SUMIF('1월'!$M$34:$M$165,연간_세부항목별지출!$C212,'1월'!$T$34:$T$165)</f>
        <v>0</v>
      </c>
      <c r="E212" s="200">
        <f>SUMIF('2월'!$M$34:$M$145,연간_세부항목별지출!$C212,'2월'!$T$34:$T$145)</f>
        <v>0</v>
      </c>
      <c r="F212" s="200">
        <f>SUMIF('3월'!$M$34:$M$145,연간_세부항목별지출!$C212,'3월'!$R$34:$R$145)</f>
        <v>0</v>
      </c>
      <c r="G212" s="200">
        <f>SUMIF('4월'!$M$34:$M$145,연간_세부항목별지출!$C212,'4월'!$R$34:$R$145)</f>
        <v>0</v>
      </c>
      <c r="H212" s="200">
        <f>SUMIF('5월'!$M$34:$M$145,연간_세부항목별지출!$C212,'5월'!$R$34:$R$145)</f>
        <v>0</v>
      </c>
      <c r="I212" s="200">
        <f>SUMIF('6월'!$M$34:$M$145,연간_세부항목별지출!$C212,'6월'!$R$34:$R$145)</f>
        <v>0</v>
      </c>
      <c r="J212" s="200">
        <f>SUMIF('7월'!$M$34:$M$145,연간_세부항목별지출!$C212,'7월'!$R$34:$R$145)</f>
        <v>0</v>
      </c>
      <c r="K212" s="200">
        <f>SUMIF('8월'!$M$34:$M$145,연간_세부항목별지출!$C212,'8월'!$R$34:$R$145)</f>
        <v>0</v>
      </c>
      <c r="L212" s="200">
        <f>SUMIF('9월'!$M$34:$M$145,연간_세부항목별지출!$C212,'9월'!$R$34:$R$145)</f>
        <v>0</v>
      </c>
      <c r="M212" s="200">
        <f>SUMIF('10월'!$M$34:$M$145,연간_세부항목별지출!$C212,'10월'!$R$34:$R$145)</f>
        <v>0</v>
      </c>
      <c r="N212" s="200">
        <f>SUMIF('11월'!$M$34:$M$145,연간_세부항목별지출!$C212,'11월'!$R$34:$R$145)</f>
        <v>0</v>
      </c>
      <c r="O212" s="200">
        <f>SUMIF('12월'!$M$34:$M$145,연간_세부항목별지출!$C212,'12월'!$R$34:$R$145)</f>
        <v>0</v>
      </c>
      <c r="P212" s="264">
        <f t="shared" si="10"/>
        <v>0</v>
      </c>
      <c r="Q212" s="264">
        <f t="shared" si="11"/>
        <v>0</v>
      </c>
      <c r="R212" s="307" t="str">
        <f t="shared" si="12"/>
        <v/>
      </c>
    </row>
    <row r="213" spans="2:18" ht="18" customHeight="1" x14ac:dyDescent="0.3">
      <c r="B213" s="546"/>
      <c r="C213" s="271" t="str">
        <f>IF(항목!Q15="","",항목!Q15)</f>
        <v/>
      </c>
      <c r="D213" s="200">
        <f>SUMIF('1월'!$M$34:$M$165,연간_세부항목별지출!$C213,'1월'!$T$34:$T$165)</f>
        <v>0</v>
      </c>
      <c r="E213" s="200">
        <f>SUMIF('2월'!$M$34:$M$145,연간_세부항목별지출!$C213,'2월'!$T$34:$T$145)</f>
        <v>0</v>
      </c>
      <c r="F213" s="200">
        <f>SUMIF('3월'!$M$34:$M$145,연간_세부항목별지출!$C213,'3월'!$R$34:$R$145)</f>
        <v>0</v>
      </c>
      <c r="G213" s="200">
        <f>SUMIF('4월'!$M$34:$M$145,연간_세부항목별지출!$C213,'4월'!$R$34:$R$145)</f>
        <v>0</v>
      </c>
      <c r="H213" s="200">
        <f>SUMIF('5월'!$M$34:$M$145,연간_세부항목별지출!$C213,'5월'!$R$34:$R$145)</f>
        <v>0</v>
      </c>
      <c r="I213" s="200">
        <f>SUMIF('6월'!$M$34:$M$145,연간_세부항목별지출!$C213,'6월'!$R$34:$R$145)</f>
        <v>0</v>
      </c>
      <c r="J213" s="200">
        <f>SUMIF('7월'!$M$34:$M$145,연간_세부항목별지출!$C213,'7월'!$R$34:$R$145)</f>
        <v>0</v>
      </c>
      <c r="K213" s="200">
        <f>SUMIF('8월'!$M$34:$M$145,연간_세부항목별지출!$C213,'8월'!$R$34:$R$145)</f>
        <v>0</v>
      </c>
      <c r="L213" s="200">
        <f>SUMIF('9월'!$M$34:$M$145,연간_세부항목별지출!$C213,'9월'!$R$34:$R$145)</f>
        <v>0</v>
      </c>
      <c r="M213" s="200">
        <f>SUMIF('10월'!$M$34:$M$145,연간_세부항목별지출!$C213,'10월'!$R$34:$R$145)</f>
        <v>0</v>
      </c>
      <c r="N213" s="200">
        <f>SUMIF('11월'!$M$34:$M$145,연간_세부항목별지출!$C213,'11월'!$R$34:$R$145)</f>
        <v>0</v>
      </c>
      <c r="O213" s="200">
        <f>SUMIF('12월'!$M$34:$M$145,연간_세부항목별지출!$C213,'12월'!$R$34:$R$145)</f>
        <v>0</v>
      </c>
      <c r="P213" s="264">
        <f t="shared" si="10"/>
        <v>0</v>
      </c>
      <c r="Q213" s="264">
        <f t="shared" si="11"/>
        <v>0</v>
      </c>
      <c r="R213" s="307" t="str">
        <f t="shared" si="12"/>
        <v/>
      </c>
    </row>
    <row r="214" spans="2:18" ht="18" customHeight="1" x14ac:dyDescent="0.3">
      <c r="B214" s="546"/>
      <c r="C214" s="271" t="str">
        <f>IF(항목!Q16="","",항목!Q16)</f>
        <v/>
      </c>
      <c r="D214" s="200">
        <f>SUMIF('1월'!$M$34:$M$165,연간_세부항목별지출!$C214,'1월'!$T$34:$T$165)</f>
        <v>0</v>
      </c>
      <c r="E214" s="200">
        <f>SUMIF('2월'!$M$34:$M$145,연간_세부항목별지출!$C214,'2월'!$T$34:$T$145)</f>
        <v>0</v>
      </c>
      <c r="F214" s="200">
        <f>SUMIF('3월'!$M$34:$M$145,연간_세부항목별지출!$C214,'3월'!$R$34:$R$145)</f>
        <v>0</v>
      </c>
      <c r="G214" s="200">
        <f>SUMIF('4월'!$M$34:$M$145,연간_세부항목별지출!$C214,'4월'!$R$34:$R$145)</f>
        <v>0</v>
      </c>
      <c r="H214" s="200">
        <f>SUMIF('5월'!$M$34:$M$145,연간_세부항목별지출!$C214,'5월'!$R$34:$R$145)</f>
        <v>0</v>
      </c>
      <c r="I214" s="200">
        <f>SUMIF('6월'!$M$34:$M$145,연간_세부항목별지출!$C214,'6월'!$R$34:$R$145)</f>
        <v>0</v>
      </c>
      <c r="J214" s="200">
        <f>SUMIF('7월'!$M$34:$M$145,연간_세부항목별지출!$C214,'7월'!$R$34:$R$145)</f>
        <v>0</v>
      </c>
      <c r="K214" s="200">
        <f>SUMIF('8월'!$M$34:$M$145,연간_세부항목별지출!$C214,'8월'!$R$34:$R$145)</f>
        <v>0</v>
      </c>
      <c r="L214" s="200">
        <f>SUMIF('9월'!$M$34:$M$145,연간_세부항목별지출!$C214,'9월'!$R$34:$R$145)</f>
        <v>0</v>
      </c>
      <c r="M214" s="200">
        <f>SUMIF('10월'!$M$34:$M$145,연간_세부항목별지출!$C214,'10월'!$R$34:$R$145)</f>
        <v>0</v>
      </c>
      <c r="N214" s="200">
        <f>SUMIF('11월'!$M$34:$M$145,연간_세부항목별지출!$C214,'11월'!$R$34:$R$145)</f>
        <v>0</v>
      </c>
      <c r="O214" s="200">
        <f>SUMIF('12월'!$M$34:$M$145,연간_세부항목별지출!$C214,'12월'!$R$34:$R$145)</f>
        <v>0</v>
      </c>
      <c r="P214" s="264">
        <f t="shared" si="10"/>
        <v>0</v>
      </c>
      <c r="Q214" s="264">
        <f t="shared" si="11"/>
        <v>0</v>
      </c>
      <c r="R214" s="307" t="str">
        <f t="shared" si="12"/>
        <v/>
      </c>
    </row>
    <row r="215" spans="2:18" ht="18" customHeight="1" x14ac:dyDescent="0.3">
      <c r="B215" s="546"/>
      <c r="C215" s="271" t="str">
        <f>IF(항목!Q17="","",항목!Q17)</f>
        <v/>
      </c>
      <c r="D215" s="200">
        <f>SUMIF('1월'!$M$34:$M$165,연간_세부항목별지출!$C215,'1월'!$T$34:$T$165)</f>
        <v>0</v>
      </c>
      <c r="E215" s="200">
        <f>SUMIF('2월'!$M$34:$M$145,연간_세부항목별지출!$C215,'2월'!$T$34:$T$145)</f>
        <v>0</v>
      </c>
      <c r="F215" s="200">
        <f>SUMIF('3월'!$M$34:$M$145,연간_세부항목별지출!$C215,'3월'!$R$34:$R$145)</f>
        <v>0</v>
      </c>
      <c r="G215" s="200">
        <f>SUMIF('4월'!$M$34:$M$145,연간_세부항목별지출!$C215,'4월'!$R$34:$R$145)</f>
        <v>0</v>
      </c>
      <c r="H215" s="200">
        <f>SUMIF('5월'!$M$34:$M$145,연간_세부항목별지출!$C215,'5월'!$R$34:$R$145)</f>
        <v>0</v>
      </c>
      <c r="I215" s="200">
        <f>SUMIF('6월'!$M$34:$M$145,연간_세부항목별지출!$C215,'6월'!$R$34:$R$145)</f>
        <v>0</v>
      </c>
      <c r="J215" s="200">
        <f>SUMIF('7월'!$M$34:$M$145,연간_세부항목별지출!$C215,'7월'!$R$34:$R$145)</f>
        <v>0</v>
      </c>
      <c r="K215" s="200">
        <f>SUMIF('8월'!$M$34:$M$145,연간_세부항목별지출!$C215,'8월'!$R$34:$R$145)</f>
        <v>0</v>
      </c>
      <c r="L215" s="200">
        <f>SUMIF('9월'!$M$34:$M$145,연간_세부항목별지출!$C215,'9월'!$R$34:$R$145)</f>
        <v>0</v>
      </c>
      <c r="M215" s="200">
        <f>SUMIF('10월'!$M$34:$M$145,연간_세부항목별지출!$C215,'10월'!$R$34:$R$145)</f>
        <v>0</v>
      </c>
      <c r="N215" s="200">
        <f>SUMIF('11월'!$M$34:$M$145,연간_세부항목별지출!$C215,'11월'!$R$34:$R$145)</f>
        <v>0</v>
      </c>
      <c r="O215" s="200">
        <f>SUMIF('12월'!$M$34:$M$145,연간_세부항목별지출!$C215,'12월'!$R$34:$R$145)</f>
        <v>0</v>
      </c>
      <c r="P215" s="264">
        <f t="shared" si="10"/>
        <v>0</v>
      </c>
      <c r="Q215" s="264">
        <f t="shared" si="11"/>
        <v>0</v>
      </c>
      <c r="R215" s="307" t="str">
        <f t="shared" si="12"/>
        <v/>
      </c>
    </row>
    <row r="216" spans="2:18" ht="18" customHeight="1" x14ac:dyDescent="0.3">
      <c r="B216" s="558"/>
      <c r="C216" s="271" t="str">
        <f>IF(항목!Q18="","",항목!Q18)</f>
        <v/>
      </c>
      <c r="D216" s="200">
        <f>SUMIF('1월'!$M$34:$M$165,연간_세부항목별지출!$C216,'1월'!$T$34:$T$165)</f>
        <v>0</v>
      </c>
      <c r="E216" s="200">
        <f>SUMIF('2월'!$M$34:$M$145,연간_세부항목별지출!$C216,'2월'!$T$34:$T$145)</f>
        <v>0</v>
      </c>
      <c r="F216" s="200">
        <f>SUMIF('3월'!$M$34:$M$145,연간_세부항목별지출!$C216,'3월'!$R$34:$R$145)</f>
        <v>0</v>
      </c>
      <c r="G216" s="200">
        <f>SUMIF('4월'!$M$34:$M$145,연간_세부항목별지출!$C216,'4월'!$R$34:$R$145)</f>
        <v>0</v>
      </c>
      <c r="H216" s="200">
        <f>SUMIF('5월'!$M$34:$M$145,연간_세부항목별지출!$C216,'5월'!$R$34:$R$145)</f>
        <v>0</v>
      </c>
      <c r="I216" s="200">
        <f>SUMIF('6월'!$M$34:$M$145,연간_세부항목별지출!$C216,'6월'!$R$34:$R$145)</f>
        <v>0</v>
      </c>
      <c r="J216" s="200">
        <f>SUMIF('7월'!$M$34:$M$145,연간_세부항목별지출!$C216,'7월'!$R$34:$R$145)</f>
        <v>0</v>
      </c>
      <c r="K216" s="200">
        <f>SUMIF('8월'!$M$34:$M$145,연간_세부항목별지출!$C216,'8월'!$R$34:$R$145)</f>
        <v>0</v>
      </c>
      <c r="L216" s="200">
        <f>SUMIF('9월'!$M$34:$M$145,연간_세부항목별지출!$C216,'9월'!$R$34:$R$145)</f>
        <v>0</v>
      </c>
      <c r="M216" s="200">
        <f>SUMIF('10월'!$M$34:$M$145,연간_세부항목별지출!$C216,'10월'!$R$34:$R$145)</f>
        <v>0</v>
      </c>
      <c r="N216" s="200">
        <f>SUMIF('11월'!$M$34:$M$145,연간_세부항목별지출!$C216,'11월'!$R$34:$R$145)</f>
        <v>0</v>
      </c>
      <c r="O216" s="200">
        <f>SUMIF('12월'!$M$34:$M$145,연간_세부항목별지출!$C216,'12월'!$R$34:$R$145)</f>
        <v>0</v>
      </c>
      <c r="P216" s="264">
        <f t="shared" si="10"/>
        <v>0</v>
      </c>
      <c r="Q216" s="264">
        <f t="shared" si="11"/>
        <v>0</v>
      </c>
      <c r="R216" s="307" t="str">
        <f t="shared" si="12"/>
        <v/>
      </c>
    </row>
    <row r="217" spans="2:18" ht="24.95" customHeight="1" x14ac:dyDescent="0.3"/>
  </sheetData>
  <mergeCells count="33">
    <mergeCell ref="B14:C14"/>
    <mergeCell ref="B13:C13"/>
    <mergeCell ref="B12:C12"/>
    <mergeCell ref="B7:C7"/>
    <mergeCell ref="B157:B171"/>
    <mergeCell ref="B10:C10"/>
    <mergeCell ref="B9:C9"/>
    <mergeCell ref="B202:B216"/>
    <mergeCell ref="B172:B186"/>
    <mergeCell ref="B187:B201"/>
    <mergeCell ref="B17:C17"/>
    <mergeCell ref="B16:C16"/>
    <mergeCell ref="B52:B66"/>
    <mergeCell ref="B142:B156"/>
    <mergeCell ref="B67:B81"/>
    <mergeCell ref="B82:B96"/>
    <mergeCell ref="B97:B111"/>
    <mergeCell ref="B1:D1"/>
    <mergeCell ref="B112:B126"/>
    <mergeCell ref="B127:B141"/>
    <mergeCell ref="B5:C5"/>
    <mergeCell ref="B21:C21"/>
    <mergeCell ref="B20:C20"/>
    <mergeCell ref="B19:C19"/>
    <mergeCell ref="B18:C18"/>
    <mergeCell ref="B4:C4"/>
    <mergeCell ref="B8:C8"/>
    <mergeCell ref="B11:C11"/>
    <mergeCell ref="B3:C3"/>
    <mergeCell ref="B6:C6"/>
    <mergeCell ref="B15:C15"/>
    <mergeCell ref="B22:B36"/>
    <mergeCell ref="B37:B5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rowBreaks count="3" manualBreakCount="3">
    <brk id="66" max="18" man="1"/>
    <brk id="126" max="18" man="1"/>
    <brk id="17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7030A0"/>
    <pageSetUpPr autoPageBreaks="0" fitToPage="1"/>
  </sheetPr>
  <dimension ref="A1:AC543"/>
  <sheetViews>
    <sheetView showGridLines="0" topLeftCell="A31" zoomScaleNormal="100" workbookViewId="0">
      <selection activeCell="I58" sqref="I58"/>
    </sheetView>
  </sheetViews>
  <sheetFormatPr defaultColWidth="8.875" defaultRowHeight="11.25" x14ac:dyDescent="0.3"/>
  <cols>
    <col min="1" max="1" width="4.75" style="49" customWidth="1"/>
    <col min="2" max="6" width="11.625" style="48" customWidth="1"/>
    <col min="7" max="7" width="4.75" style="49" customWidth="1"/>
    <col min="8" max="15" width="11.625" style="49" customWidth="1"/>
    <col min="16" max="16" width="4.75" style="49" customWidth="1"/>
    <col min="17" max="16384" width="8.875" style="49"/>
  </cols>
  <sheetData>
    <row r="1" spans="1:29" ht="40.5" customHeight="1" x14ac:dyDescent="0.3">
      <c r="A1" s="50"/>
      <c r="B1" s="543" t="s">
        <v>155</v>
      </c>
      <c r="C1" s="543"/>
      <c r="D1" s="543"/>
      <c r="E1" s="543"/>
      <c r="F1" s="543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29" ht="16.5" customHeight="1" thickBot="1" x14ac:dyDescent="0.35">
      <c r="B2" s="49"/>
      <c r="C2" s="49"/>
      <c r="D2" s="49"/>
    </row>
    <row r="3" spans="1:29" ht="24.95" customHeight="1" thickBot="1" x14ac:dyDescent="0.35">
      <c r="B3" s="170" t="s">
        <v>147</v>
      </c>
      <c r="C3" s="183"/>
      <c r="D3" s="562" t="s">
        <v>158</v>
      </c>
      <c r="E3" s="563"/>
      <c r="F3" s="292" t="e">
        <f ca="1">$E$17</f>
        <v>#REF!</v>
      </c>
      <c r="G3" s="3"/>
      <c r="H3" s="185" t="s">
        <v>210</v>
      </c>
      <c r="I3" s="3"/>
      <c r="R3" s="3"/>
      <c r="S3" s="3"/>
      <c r="T3" s="451"/>
      <c r="U3" s="3"/>
      <c r="V3" s="3"/>
      <c r="W3" s="3"/>
      <c r="X3" s="3"/>
    </row>
    <row r="4" spans="1:29" ht="24.95" customHeight="1" thickBot="1" x14ac:dyDescent="0.35">
      <c r="B4" s="170" t="s">
        <v>148</v>
      </c>
      <c r="C4" s="183"/>
      <c r="D4" s="562" t="s">
        <v>160</v>
      </c>
      <c r="E4" s="563"/>
      <c r="F4" s="292">
        <f>$E$29</f>
        <v>30000000</v>
      </c>
      <c r="G4" s="3"/>
      <c r="H4" s="383" t="s">
        <v>199</v>
      </c>
      <c r="I4" s="384">
        <v>100000000</v>
      </c>
      <c r="J4" s="32" t="s">
        <v>205</v>
      </c>
      <c r="K4" s="349">
        <f>DATEDIF(I7,I8+1,"m")</f>
        <v>4</v>
      </c>
      <c r="R4" s="3"/>
      <c r="S4" s="3"/>
      <c r="T4" s="451"/>
      <c r="U4" s="3"/>
      <c r="V4" s="3"/>
      <c r="W4" s="3"/>
      <c r="X4" s="3"/>
    </row>
    <row r="5" spans="1:29" ht="24.95" customHeight="1" thickBot="1" x14ac:dyDescent="0.35">
      <c r="B5" s="170" t="s">
        <v>146</v>
      </c>
      <c r="C5" s="183"/>
      <c r="D5" s="564" t="s">
        <v>157</v>
      </c>
      <c r="E5" s="565"/>
      <c r="F5" s="293">
        <f ca="1">부채관리!$M$4</f>
        <v>7149519.4357249979</v>
      </c>
      <c r="G5" s="3"/>
      <c r="H5" s="39" t="s">
        <v>200</v>
      </c>
      <c r="I5" s="379">
        <v>62000000</v>
      </c>
      <c r="J5" s="32" t="s">
        <v>51</v>
      </c>
      <c r="K5" s="349" t="e">
        <f ca="1">DATEDIF(I9,I8+1,"m")</f>
        <v>#NUM!</v>
      </c>
      <c r="R5" s="3"/>
      <c r="S5" s="3"/>
      <c r="T5" s="451"/>
      <c r="U5" s="3"/>
      <c r="V5" s="3"/>
      <c r="W5" s="3"/>
      <c r="X5" s="3"/>
    </row>
    <row r="6" spans="1:29" ht="24.95" customHeight="1" thickBot="1" x14ac:dyDescent="0.35">
      <c r="B6" s="170" t="s">
        <v>149</v>
      </c>
      <c r="C6" s="183"/>
      <c r="D6" s="566" t="s">
        <v>161</v>
      </c>
      <c r="E6" s="567"/>
      <c r="F6" s="294" t="e">
        <f ca="1">F3+F4-F5</f>
        <v>#REF!</v>
      </c>
      <c r="G6" s="3"/>
      <c r="H6" s="32" t="s">
        <v>201</v>
      </c>
      <c r="I6" s="380">
        <f>I4-I5</f>
        <v>38000000</v>
      </c>
      <c r="J6" s="32" t="s">
        <v>206</v>
      </c>
      <c r="K6" s="292" t="e">
        <f ca="1">E10-I5</f>
        <v>#REF!</v>
      </c>
      <c r="M6" s="432"/>
      <c r="R6" s="3"/>
      <c r="S6" s="3"/>
      <c r="T6" s="451"/>
      <c r="U6" s="3"/>
      <c r="V6" s="3"/>
      <c r="W6" s="3"/>
      <c r="X6" s="3"/>
    </row>
    <row r="7" spans="1:29" ht="24.95" customHeight="1" thickBot="1" x14ac:dyDescent="0.35">
      <c r="B7" s="170" t="s">
        <v>322</v>
      </c>
      <c r="C7" s="183"/>
      <c r="D7" s="568" t="s">
        <v>351</v>
      </c>
      <c r="E7" s="569"/>
      <c r="F7" s="295" t="e">
        <f ca="1">F5/(F3+F4)</f>
        <v>#REF!</v>
      </c>
      <c r="G7" s="3"/>
      <c r="H7" s="32" t="s">
        <v>202</v>
      </c>
      <c r="I7" s="381">
        <v>45608</v>
      </c>
      <c r="J7" s="32" t="s">
        <v>207</v>
      </c>
      <c r="K7" s="292" t="e">
        <f ca="1">I6-K6</f>
        <v>#REF!</v>
      </c>
      <c r="R7" s="3"/>
      <c r="S7" s="3"/>
      <c r="T7" s="451"/>
      <c r="U7" s="3"/>
      <c r="V7" s="3"/>
      <c r="W7" s="3"/>
      <c r="X7" s="3"/>
    </row>
    <row r="8" spans="1:29" ht="24.95" customHeight="1" thickBot="1" x14ac:dyDescent="0.35">
      <c r="B8" s="170" t="s">
        <v>360</v>
      </c>
      <c r="C8" s="49"/>
      <c r="D8" s="49"/>
      <c r="H8" s="32" t="s">
        <v>203</v>
      </c>
      <c r="I8" s="381">
        <v>45728</v>
      </c>
      <c r="J8" s="34" t="s">
        <v>208</v>
      </c>
      <c r="K8" s="512" t="e">
        <f ca="1">IF((I6-K7)/I6&gt;1,ROUND((I6-K7)/I6,3)*100&amp;"% 초과달성!",(I6-K7)/I6)</f>
        <v>#REF!</v>
      </c>
      <c r="R8" s="3"/>
      <c r="S8" s="3"/>
      <c r="T8" s="451"/>
      <c r="U8" s="3"/>
      <c r="V8" s="3"/>
      <c r="W8" s="3"/>
      <c r="X8" s="3"/>
    </row>
    <row r="9" spans="1:29" ht="24.95" customHeight="1" thickBot="1" x14ac:dyDescent="0.35">
      <c r="B9" s="183"/>
      <c r="C9" s="49"/>
      <c r="D9" s="29" t="s">
        <v>164</v>
      </c>
      <c r="E9" s="30" t="s">
        <v>165</v>
      </c>
      <c r="F9" s="169" t="s">
        <v>163</v>
      </c>
      <c r="H9" s="39" t="s">
        <v>204</v>
      </c>
      <c r="I9" s="382">
        <f ca="1">TODAY()</f>
        <v>45967</v>
      </c>
      <c r="J9" s="385" t="s">
        <v>209</v>
      </c>
      <c r="K9" s="474" t="str">
        <f ca="1">IFERROR(K7/DATEDIF(I9,I8,"m"),"기한도래")</f>
        <v>기한도래</v>
      </c>
      <c r="R9" s="3"/>
      <c r="S9" s="3"/>
      <c r="T9" s="451"/>
      <c r="U9" s="3"/>
      <c r="V9" s="3"/>
      <c r="W9" s="3"/>
      <c r="X9" s="3"/>
    </row>
    <row r="10" spans="1:29" ht="24.95" customHeight="1" x14ac:dyDescent="0.3">
      <c r="C10" s="49"/>
      <c r="D10" s="186">
        <v>62000000</v>
      </c>
      <c r="E10" s="290" t="e">
        <f ca="1">F6</f>
        <v>#REF!</v>
      </c>
      <c r="F10" s="291" t="e">
        <f ca="1">(E10-D10)/E10</f>
        <v>#REF!</v>
      </c>
      <c r="R10" s="3"/>
      <c r="S10" s="3"/>
      <c r="T10" s="451"/>
      <c r="U10" s="3"/>
      <c r="V10" s="3"/>
      <c r="W10" s="3"/>
      <c r="X10" s="3"/>
    </row>
    <row r="11" spans="1:29" ht="24.95" customHeight="1" x14ac:dyDescent="0.3">
      <c r="B11" s="47"/>
      <c r="C11" s="47"/>
      <c r="D11" s="182"/>
      <c r="R11" s="3"/>
      <c r="S11" s="3"/>
      <c r="T11" s="3"/>
      <c r="U11" s="3"/>
      <c r="V11" s="3"/>
      <c r="W11" s="3"/>
      <c r="X11" s="3"/>
    </row>
    <row r="12" spans="1:29" ht="24.95" customHeight="1" thickBot="1" x14ac:dyDescent="0.35">
      <c r="B12" s="185" t="s">
        <v>242</v>
      </c>
      <c r="C12" s="184"/>
      <c r="H12" s="185" t="s">
        <v>245</v>
      </c>
      <c r="R12" s="3"/>
      <c r="S12" s="3"/>
      <c r="T12" s="3"/>
      <c r="U12" s="3"/>
      <c r="V12" s="3"/>
      <c r="W12" s="3"/>
      <c r="X12" s="3"/>
    </row>
    <row r="13" spans="1:29" ht="24.95" customHeight="1" thickBot="1" x14ac:dyDescent="0.35">
      <c r="B13" s="29" t="s">
        <v>75</v>
      </c>
      <c r="C13" s="570" t="s">
        <v>27</v>
      </c>
      <c r="D13" s="559"/>
      <c r="E13" s="30" t="s">
        <v>2</v>
      </c>
      <c r="F13" s="31" t="s">
        <v>78</v>
      </c>
      <c r="H13" s="386"/>
      <c r="I13" s="387"/>
      <c r="J13" s="387"/>
      <c r="K13" s="387"/>
      <c r="L13" s="387"/>
      <c r="M13" s="387"/>
      <c r="N13" s="387"/>
      <c r="O13" s="38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24.95" customHeight="1" x14ac:dyDescent="0.3">
      <c r="B14" s="197" t="s">
        <v>76</v>
      </c>
      <c r="C14" s="571" t="s">
        <v>211</v>
      </c>
      <c r="D14" s="572"/>
      <c r="E14" s="190">
        <f ca="1">SUMIF(예금관리!$G$7:$G$100,자산현황!$B14,예금관리!$J$7:$J$100)+SUMIF(적금관리!$H$7:$H$100,자산현황!$B14,적금관리!$P$7:$P$100)+계좌현황!$K$5</f>
        <v>71100000</v>
      </c>
      <c r="F14" s="373" t="e">
        <f ca="1">E14/$E$17</f>
        <v>#REF!</v>
      </c>
      <c r="H14" s="389"/>
      <c r="O14" s="390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24.95" customHeight="1" x14ac:dyDescent="0.3">
      <c r="B15" s="198" t="s">
        <v>145</v>
      </c>
      <c r="C15" s="573" t="s">
        <v>269</v>
      </c>
      <c r="D15" s="574"/>
      <c r="E15" s="190" t="e">
        <f>SUMIF(예금관리!$G$7:$G$100,자산현황!$B15,예금관리!$J$7:$J$100)+SUMIF(적금관리!$H$7:$H$100,자산현황!$B15,적금관리!$P$7:$P$100)+계좌현황!$K$4+$E$22</f>
        <v>#REF!</v>
      </c>
      <c r="F15" s="373" t="e">
        <f t="shared" ref="F15:F16" ca="1" si="0">E15/$E$17</f>
        <v>#REF!</v>
      </c>
      <c r="H15" s="389"/>
      <c r="O15" s="390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24.95" customHeight="1" thickBot="1" x14ac:dyDescent="0.35">
      <c r="B16" s="298" t="s">
        <v>77</v>
      </c>
      <c r="C16" s="575" t="s">
        <v>154</v>
      </c>
      <c r="D16" s="576"/>
      <c r="E16" s="289" t="e">
        <f>SUMIF(예금관리!$G$7:$G$100,자산현황!$B16,예금관리!$J$7:$J$100)+SUMIF(적금관리!$H$7:$H$100,자산현황!$B16,적금관리!$P$7:$P$100)+계좌현황!$K$3+#REF!+#REF!+#REF!</f>
        <v>#REF!</v>
      </c>
      <c r="F16" s="373" t="e">
        <f t="shared" ca="1" si="0"/>
        <v>#REF!</v>
      </c>
      <c r="H16" s="389"/>
      <c r="O16" s="390"/>
      <c r="P16" s="3"/>
      <c r="Q16" s="3"/>
      <c r="R16" s="372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4.95" customHeight="1" thickBot="1" x14ac:dyDescent="0.35">
      <c r="B17" s="554" t="s">
        <v>4</v>
      </c>
      <c r="C17" s="554"/>
      <c r="D17" s="559"/>
      <c r="E17" s="171" t="e">
        <f ca="1">SUM(E14:E16)</f>
        <v>#REF!</v>
      </c>
      <c r="F17" s="172" t="e">
        <f ca="1">SUM(F14:F16)</f>
        <v>#REF!</v>
      </c>
      <c r="H17" s="389"/>
      <c r="O17" s="390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4.95" customHeight="1" x14ac:dyDescent="0.3">
      <c r="B18" s="49"/>
      <c r="C18" s="49"/>
      <c r="D18" s="49"/>
      <c r="E18" s="49"/>
      <c r="F18" s="49"/>
      <c r="H18" s="389"/>
      <c r="O18" s="390"/>
      <c r="P18" s="3"/>
      <c r="Q18" s="3"/>
      <c r="R18" s="3"/>
      <c r="S18" s="3"/>
      <c r="T18" s="447"/>
      <c r="U18" s="3"/>
      <c r="V18" s="3"/>
      <c r="W18" s="3"/>
      <c r="X18" s="3"/>
      <c r="Y18" s="3"/>
      <c r="Z18" s="3"/>
      <c r="AA18" s="3"/>
      <c r="AB18" s="3"/>
      <c r="AC18" s="3"/>
    </row>
    <row r="19" spans="1:29" ht="24.95" customHeight="1" thickBot="1" x14ac:dyDescent="0.35">
      <c r="B19" s="185" t="s">
        <v>244</v>
      </c>
      <c r="C19" s="184"/>
      <c r="H19" s="389"/>
      <c r="O19" s="390"/>
      <c r="P19" s="3"/>
      <c r="Q19" s="3"/>
      <c r="R19" s="3"/>
      <c r="S19" s="3"/>
      <c r="T19" s="447"/>
      <c r="U19" s="3"/>
      <c r="V19" s="3"/>
      <c r="W19" s="3"/>
      <c r="X19" s="3"/>
      <c r="Y19" s="3"/>
      <c r="Z19" s="3"/>
      <c r="AA19" s="3"/>
      <c r="AB19" s="3"/>
      <c r="AC19" s="3"/>
    </row>
    <row r="20" spans="1:29" ht="24.95" customHeight="1" thickBot="1" x14ac:dyDescent="0.35">
      <c r="B20" s="29" t="s">
        <v>9</v>
      </c>
      <c r="C20" s="570" t="s">
        <v>27</v>
      </c>
      <c r="D20" s="559"/>
      <c r="E20" s="30" t="s">
        <v>2</v>
      </c>
      <c r="F20" s="31" t="s">
        <v>78</v>
      </c>
      <c r="H20" s="389"/>
      <c r="O20" s="390"/>
      <c r="P20" s="3"/>
      <c r="Q20" s="3"/>
      <c r="R20" s="3"/>
      <c r="S20" s="3"/>
      <c r="T20" s="447"/>
      <c r="U20" s="3"/>
      <c r="V20" s="3"/>
      <c r="W20" s="3"/>
      <c r="X20" s="3"/>
      <c r="Y20" s="3"/>
      <c r="Z20" s="3"/>
      <c r="AA20" s="3"/>
      <c r="AB20" s="3"/>
      <c r="AC20" s="3"/>
    </row>
    <row r="21" spans="1:29" ht="24.95" customHeight="1" x14ac:dyDescent="0.3">
      <c r="B21" s="197" t="s">
        <v>238</v>
      </c>
      <c r="C21" s="571" t="s">
        <v>239</v>
      </c>
      <c r="D21" s="572"/>
      <c r="E21" s="190" t="e">
        <f ca="1">계좌현황!#REF!+#REF!+#REF!+#REF!+예금관리!$N$4+적금관리!$R$4</f>
        <v>#REF!</v>
      </c>
      <c r="F21" s="373" t="e">
        <f ca="1">E21/$E$23</f>
        <v>#REF!</v>
      </c>
      <c r="H21" s="389"/>
      <c r="O21" s="390"/>
      <c r="P21" s="3"/>
      <c r="Q21" s="3"/>
      <c r="R21" s="3"/>
      <c r="S21" s="3"/>
      <c r="T21" s="447"/>
      <c r="U21" s="3"/>
      <c r="V21" s="3"/>
      <c r="W21" s="3"/>
      <c r="X21" s="3"/>
      <c r="Y21" s="3"/>
      <c r="Z21" s="3"/>
      <c r="AA21" s="3"/>
      <c r="AB21" s="3"/>
      <c r="AC21" s="3"/>
    </row>
    <row r="22" spans="1:29" ht="24.95" customHeight="1" thickBot="1" x14ac:dyDescent="0.35">
      <c r="B22" s="198" t="s">
        <v>240</v>
      </c>
      <c r="C22" s="575" t="s">
        <v>270</v>
      </c>
      <c r="D22" s="576"/>
      <c r="E22" s="190" t="e">
        <f>#REF!</f>
        <v>#REF!</v>
      </c>
      <c r="F22" s="373" t="e">
        <f ca="1">E22/$E$23</f>
        <v>#REF!</v>
      </c>
      <c r="H22" s="389"/>
      <c r="O22" s="390"/>
      <c r="P22" s="3"/>
      <c r="Q22" s="3"/>
      <c r="R22" s="3"/>
      <c r="S22" s="3"/>
      <c r="T22" s="447"/>
      <c r="U22" s="3"/>
      <c r="V22" s="3"/>
      <c r="W22" s="3"/>
      <c r="X22" s="3"/>
      <c r="Y22" s="3"/>
      <c r="Z22" s="3"/>
      <c r="AA22" s="3"/>
      <c r="AB22" s="3"/>
      <c r="AC22" s="3"/>
    </row>
    <row r="23" spans="1:29" ht="24.95" customHeight="1" thickBot="1" x14ac:dyDescent="0.35">
      <c r="B23" s="554" t="s">
        <v>4</v>
      </c>
      <c r="C23" s="554"/>
      <c r="D23" s="559"/>
      <c r="E23" s="171" t="e">
        <f ca="1">SUM(E21:E22)</f>
        <v>#REF!</v>
      </c>
      <c r="F23" s="172" t="e">
        <f ca="1">SUM(F21:F22)</f>
        <v>#REF!</v>
      </c>
      <c r="H23" s="389"/>
      <c r="O23" s="390"/>
      <c r="P23" s="3"/>
      <c r="Q23" s="3"/>
      <c r="R23" s="3"/>
      <c r="S23" s="3"/>
      <c r="T23" s="447"/>
      <c r="U23" s="3"/>
      <c r="V23" s="3"/>
      <c r="W23" s="3"/>
      <c r="X23" s="3"/>
      <c r="Y23" s="3"/>
      <c r="Z23" s="3"/>
      <c r="AA23" s="3"/>
      <c r="AB23" s="3"/>
      <c r="AC23" s="3"/>
    </row>
    <row r="24" spans="1:29" ht="24.95" customHeight="1" x14ac:dyDescent="0.3">
      <c r="B24" s="47"/>
      <c r="C24" s="47"/>
      <c r="D24" s="47"/>
      <c r="E24" s="122"/>
      <c r="F24" s="370"/>
      <c r="H24" s="389"/>
      <c r="O24" s="390"/>
      <c r="P24" s="3"/>
      <c r="Q24" s="3"/>
      <c r="R24" s="3"/>
      <c r="S24" s="3"/>
      <c r="T24" s="447"/>
      <c r="U24" s="3"/>
      <c r="V24" s="3"/>
      <c r="W24" s="3"/>
      <c r="X24" s="3"/>
      <c r="Y24" s="3"/>
      <c r="Z24" s="3"/>
      <c r="AA24" s="3"/>
      <c r="AB24" s="3"/>
      <c r="AC24" s="3"/>
    </row>
    <row r="25" spans="1:29" ht="24.95" customHeight="1" thickBot="1" x14ac:dyDescent="0.35">
      <c r="B25" s="185" t="s">
        <v>159</v>
      </c>
      <c r="C25" s="184"/>
      <c r="D25" s="49"/>
      <c r="E25" s="49"/>
      <c r="F25" s="49"/>
      <c r="H25" s="389"/>
      <c r="O25" s="390"/>
      <c r="P25" s="3"/>
      <c r="Q25" s="3"/>
      <c r="R25" s="3"/>
      <c r="S25" s="3"/>
      <c r="T25" s="447"/>
      <c r="U25" s="3"/>
      <c r="V25" s="3"/>
      <c r="W25" s="3"/>
      <c r="X25" s="3"/>
      <c r="Y25" s="3"/>
      <c r="Z25" s="3"/>
      <c r="AA25" s="3"/>
      <c r="AB25" s="3"/>
      <c r="AC25" s="3"/>
    </row>
    <row r="26" spans="1:29" ht="24.95" customHeight="1" thickBot="1" x14ac:dyDescent="0.35">
      <c r="A26" s="48"/>
      <c r="B26" s="174" t="s">
        <v>139</v>
      </c>
      <c r="C26" s="570" t="s">
        <v>27</v>
      </c>
      <c r="D26" s="559"/>
      <c r="E26" s="152" t="s">
        <v>2</v>
      </c>
      <c r="F26" s="153" t="s">
        <v>78</v>
      </c>
      <c r="H26" s="389"/>
      <c r="O26" s="390"/>
      <c r="P26" s="3"/>
      <c r="Q26" s="3"/>
      <c r="R26" s="3"/>
      <c r="S26" s="3"/>
      <c r="T26" s="447"/>
      <c r="U26" s="3"/>
      <c r="V26" s="3"/>
      <c r="W26" s="3"/>
      <c r="X26" s="3"/>
      <c r="Y26" s="3"/>
      <c r="Z26" s="3"/>
      <c r="AA26" s="3"/>
      <c r="AB26" s="3"/>
      <c r="AC26" s="3"/>
    </row>
    <row r="27" spans="1:29" ht="24.95" customHeight="1" x14ac:dyDescent="0.3">
      <c r="B27" s="177">
        <v>1</v>
      </c>
      <c r="C27" s="571" t="s">
        <v>162</v>
      </c>
      <c r="D27" s="572"/>
      <c r="E27" s="178">
        <v>30000000</v>
      </c>
      <c r="F27" s="296">
        <f>E27/$E$29</f>
        <v>1</v>
      </c>
      <c r="H27" s="389"/>
      <c r="O27" s="390"/>
      <c r="P27" s="3"/>
      <c r="Q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.95" customHeight="1" thickBot="1" x14ac:dyDescent="0.35">
      <c r="B28" s="173">
        <v>2</v>
      </c>
      <c r="C28" s="575"/>
      <c r="D28" s="576"/>
      <c r="E28" s="180">
        <v>0</v>
      </c>
      <c r="F28" s="297">
        <f>E28/$E$29</f>
        <v>0</v>
      </c>
      <c r="H28" s="389"/>
      <c r="O28" s="390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.95" customHeight="1" thickBot="1" x14ac:dyDescent="0.35">
      <c r="B29" s="560" t="s">
        <v>4</v>
      </c>
      <c r="C29" s="560"/>
      <c r="D29" s="561"/>
      <c r="E29" s="175">
        <f>IF(E27="","",SUM($E$27:$E$28))</f>
        <v>30000000</v>
      </c>
      <c r="F29" s="176">
        <f>SUM(F27:F28)</f>
        <v>1</v>
      </c>
      <c r="H29" s="389"/>
      <c r="O29" s="39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.95" customHeight="1" x14ac:dyDescent="0.3">
      <c r="H30" s="389"/>
      <c r="O30" s="39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4.95" customHeight="1" x14ac:dyDescent="0.3">
      <c r="H31" s="391"/>
      <c r="I31" s="392"/>
      <c r="J31" s="392"/>
      <c r="K31" s="392"/>
      <c r="L31" s="392"/>
      <c r="M31" s="392"/>
      <c r="N31" s="392"/>
      <c r="O31" s="39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24.95" customHeight="1" x14ac:dyDescent="0.3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7:29" ht="24.95" customHeight="1" x14ac:dyDescent="0.3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7:29" ht="24.95" customHeight="1" x14ac:dyDescent="0.3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7:29" ht="24.95" customHeight="1" x14ac:dyDescent="0.3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7:29" x14ac:dyDescent="0.3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7:29" x14ac:dyDescent="0.3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7:29" x14ac:dyDescent="0.3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7:29" x14ac:dyDescent="0.3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7:29" x14ac:dyDescent="0.3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7:29" x14ac:dyDescent="0.3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7:29" x14ac:dyDescent="0.3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7:29" x14ac:dyDescent="0.3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7:29" x14ac:dyDescent="0.3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7:29" x14ac:dyDescent="0.3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7:29" x14ac:dyDescent="0.3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7:29" x14ac:dyDescent="0.3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7:29" x14ac:dyDescent="0.3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7:29" x14ac:dyDescent="0.3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7:29" x14ac:dyDescent="0.3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7:29" x14ac:dyDescent="0.3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7:29" x14ac:dyDescent="0.3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7:29" x14ac:dyDescent="0.3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7:29" x14ac:dyDescent="0.3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7:29" x14ac:dyDescent="0.3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7:29" x14ac:dyDescent="0.3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7:29" x14ac:dyDescent="0.3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7:29" x14ac:dyDescent="0.3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7:29" x14ac:dyDescent="0.3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7:29" x14ac:dyDescent="0.3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7:29" x14ac:dyDescent="0.3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7:29" x14ac:dyDescent="0.3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7:29" x14ac:dyDescent="0.3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7:29" x14ac:dyDescent="0.3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7:29" x14ac:dyDescent="0.3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7:29" x14ac:dyDescent="0.3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7:29" x14ac:dyDescent="0.3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7:29" x14ac:dyDescent="0.3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7:29" x14ac:dyDescent="0.3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7:29" x14ac:dyDescent="0.3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7:29" x14ac:dyDescent="0.3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7:29" x14ac:dyDescent="0.3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7:29" x14ac:dyDescent="0.3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7:29" x14ac:dyDescent="0.3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7:29" x14ac:dyDescent="0.3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7:29" x14ac:dyDescent="0.3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7:29" x14ac:dyDescent="0.3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7:29" x14ac:dyDescent="0.3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7:29" x14ac:dyDescent="0.3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7:29" x14ac:dyDescent="0.3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7:29" x14ac:dyDescent="0.3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7:29" x14ac:dyDescent="0.3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7:29" x14ac:dyDescent="0.3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7:29" x14ac:dyDescent="0.3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7:29" x14ac:dyDescent="0.3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7:29" x14ac:dyDescent="0.3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7:29" x14ac:dyDescent="0.3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7:29" x14ac:dyDescent="0.3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7:29" x14ac:dyDescent="0.3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7:29" x14ac:dyDescent="0.3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7:29" x14ac:dyDescent="0.3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7:29" x14ac:dyDescent="0.3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7:29" x14ac:dyDescent="0.3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7:29" x14ac:dyDescent="0.3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7:29" x14ac:dyDescent="0.3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7:29" x14ac:dyDescent="0.3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7:29" x14ac:dyDescent="0.3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7:29" x14ac:dyDescent="0.3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7:29" x14ac:dyDescent="0.3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7:29" x14ac:dyDescent="0.3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7:29" x14ac:dyDescent="0.3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7:29" x14ac:dyDescent="0.3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7:29" x14ac:dyDescent="0.3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7:29" x14ac:dyDescent="0.3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7:29" x14ac:dyDescent="0.3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7:29" x14ac:dyDescent="0.3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7:29" x14ac:dyDescent="0.3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7:29" x14ac:dyDescent="0.3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7:29" x14ac:dyDescent="0.3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7:29" x14ac:dyDescent="0.3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7:29" x14ac:dyDescent="0.3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7:29" x14ac:dyDescent="0.3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7:29" x14ac:dyDescent="0.3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7:29" x14ac:dyDescent="0.3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7:29" x14ac:dyDescent="0.3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7:29" x14ac:dyDescent="0.3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7:29" x14ac:dyDescent="0.3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7:29" x14ac:dyDescent="0.3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7:29" x14ac:dyDescent="0.3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7:29" x14ac:dyDescent="0.3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7:29" x14ac:dyDescent="0.3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7:29" x14ac:dyDescent="0.3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7:29" x14ac:dyDescent="0.3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7:29" x14ac:dyDescent="0.3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7:29" x14ac:dyDescent="0.3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7:29" x14ac:dyDescent="0.3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7:29" x14ac:dyDescent="0.3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7:29" x14ac:dyDescent="0.3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7:29" x14ac:dyDescent="0.3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7:29" x14ac:dyDescent="0.3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7:29" x14ac:dyDescent="0.3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7:29" x14ac:dyDescent="0.3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7:29" x14ac:dyDescent="0.3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7:29" x14ac:dyDescent="0.3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7:29" x14ac:dyDescent="0.3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7:29" x14ac:dyDescent="0.3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7:29" x14ac:dyDescent="0.3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7:29" x14ac:dyDescent="0.3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7:29" x14ac:dyDescent="0.3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7:29" x14ac:dyDescent="0.3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7:29" x14ac:dyDescent="0.3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7:29" x14ac:dyDescent="0.3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7:29" x14ac:dyDescent="0.3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7:29" x14ac:dyDescent="0.3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7:29" x14ac:dyDescent="0.3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7:29" x14ac:dyDescent="0.3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7:29" x14ac:dyDescent="0.3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7:29" x14ac:dyDescent="0.3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7:29" x14ac:dyDescent="0.3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7:29" x14ac:dyDescent="0.3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7:29" x14ac:dyDescent="0.3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7:29" x14ac:dyDescent="0.3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7:29" x14ac:dyDescent="0.3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7:29" x14ac:dyDescent="0.3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7:29" x14ac:dyDescent="0.3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7:29" x14ac:dyDescent="0.3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7:29" x14ac:dyDescent="0.3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7:29" x14ac:dyDescent="0.3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7:29" x14ac:dyDescent="0.3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7:29" x14ac:dyDescent="0.3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7:29" x14ac:dyDescent="0.3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7:29" x14ac:dyDescent="0.3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7:29" x14ac:dyDescent="0.3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7:29" x14ac:dyDescent="0.3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7:29" x14ac:dyDescent="0.3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7:29" x14ac:dyDescent="0.3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7:29" x14ac:dyDescent="0.3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7:29" x14ac:dyDescent="0.3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7:29" x14ac:dyDescent="0.3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7:29" x14ac:dyDescent="0.3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7:29" x14ac:dyDescent="0.3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7:29" x14ac:dyDescent="0.3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7:29" x14ac:dyDescent="0.3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7:29" x14ac:dyDescent="0.3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7:29" x14ac:dyDescent="0.3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7:29" x14ac:dyDescent="0.3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7:29" x14ac:dyDescent="0.3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7:29" x14ac:dyDescent="0.3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7:29" x14ac:dyDescent="0.3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7:29" x14ac:dyDescent="0.3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7:29" x14ac:dyDescent="0.3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7:29" x14ac:dyDescent="0.3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7:29" x14ac:dyDescent="0.3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7:29" x14ac:dyDescent="0.3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7:29" x14ac:dyDescent="0.3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7:29" x14ac:dyDescent="0.3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7:29" x14ac:dyDescent="0.3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7:29" x14ac:dyDescent="0.3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7:29" x14ac:dyDescent="0.3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7:29" x14ac:dyDescent="0.3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7:29" x14ac:dyDescent="0.3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7:29" x14ac:dyDescent="0.3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7:29" x14ac:dyDescent="0.3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7:29" x14ac:dyDescent="0.3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7:29" x14ac:dyDescent="0.3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7:29" x14ac:dyDescent="0.3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7:29" x14ac:dyDescent="0.3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7:29" x14ac:dyDescent="0.3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7:29" x14ac:dyDescent="0.3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7:29" x14ac:dyDescent="0.3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7:29" x14ac:dyDescent="0.3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7:29" x14ac:dyDescent="0.3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7:29" x14ac:dyDescent="0.3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7:29" x14ac:dyDescent="0.3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7:29" x14ac:dyDescent="0.3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7:29" x14ac:dyDescent="0.3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7:29" x14ac:dyDescent="0.3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7:29" x14ac:dyDescent="0.3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7:29" x14ac:dyDescent="0.3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7:29" x14ac:dyDescent="0.3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7:29" x14ac:dyDescent="0.3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7:29" x14ac:dyDescent="0.3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7:29" x14ac:dyDescent="0.3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7:29" x14ac:dyDescent="0.3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7:29" x14ac:dyDescent="0.3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7:29" x14ac:dyDescent="0.3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7:29" x14ac:dyDescent="0.3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7:29" x14ac:dyDescent="0.3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7:29" x14ac:dyDescent="0.3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7:29" x14ac:dyDescent="0.3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7:29" x14ac:dyDescent="0.3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7:29" x14ac:dyDescent="0.3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7:29" x14ac:dyDescent="0.3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7:29" x14ac:dyDescent="0.3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7:29" x14ac:dyDescent="0.3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7:29" x14ac:dyDescent="0.3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7:29" x14ac:dyDescent="0.3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7:29" x14ac:dyDescent="0.3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7:29" x14ac:dyDescent="0.3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7:29" x14ac:dyDescent="0.3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7:29" x14ac:dyDescent="0.3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7:29" x14ac:dyDescent="0.3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7:29" x14ac:dyDescent="0.3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7:29" x14ac:dyDescent="0.3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7:29" x14ac:dyDescent="0.3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7:29" x14ac:dyDescent="0.3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7:29" x14ac:dyDescent="0.3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7:29" x14ac:dyDescent="0.3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7:29" x14ac:dyDescent="0.3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7:29" x14ac:dyDescent="0.3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7:29" x14ac:dyDescent="0.3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7:29" x14ac:dyDescent="0.3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7:29" x14ac:dyDescent="0.3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7:29" x14ac:dyDescent="0.3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7:29" x14ac:dyDescent="0.3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7:29" x14ac:dyDescent="0.3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7:29" x14ac:dyDescent="0.3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7:29" x14ac:dyDescent="0.3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7:29" x14ac:dyDescent="0.3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7:29" x14ac:dyDescent="0.3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7:29" x14ac:dyDescent="0.3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7:29" x14ac:dyDescent="0.3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7:29" x14ac:dyDescent="0.3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7:29" x14ac:dyDescent="0.3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7:29" x14ac:dyDescent="0.3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7:29" x14ac:dyDescent="0.3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7:29" x14ac:dyDescent="0.3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7:29" x14ac:dyDescent="0.3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7:29" x14ac:dyDescent="0.3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7:29" x14ac:dyDescent="0.3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7:29" x14ac:dyDescent="0.3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7:29" x14ac:dyDescent="0.3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7:29" x14ac:dyDescent="0.3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7:29" x14ac:dyDescent="0.3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7:29" x14ac:dyDescent="0.3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7:29" x14ac:dyDescent="0.3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7:29" x14ac:dyDescent="0.3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7:29" x14ac:dyDescent="0.3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7:29" x14ac:dyDescent="0.3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7:29" x14ac:dyDescent="0.3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7:29" x14ac:dyDescent="0.3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7:29" x14ac:dyDescent="0.3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7:29" x14ac:dyDescent="0.3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7:29" x14ac:dyDescent="0.3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7:29" x14ac:dyDescent="0.3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7:29" x14ac:dyDescent="0.3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7:29" x14ac:dyDescent="0.3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7:29" x14ac:dyDescent="0.3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7:29" x14ac:dyDescent="0.3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7:29" x14ac:dyDescent="0.3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7:29" x14ac:dyDescent="0.3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7:29" x14ac:dyDescent="0.3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7:29" x14ac:dyDescent="0.3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7:29" x14ac:dyDescent="0.3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7:29" x14ac:dyDescent="0.3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7:29" x14ac:dyDescent="0.3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7:29" x14ac:dyDescent="0.3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7:29" x14ac:dyDescent="0.3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7:29" x14ac:dyDescent="0.3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7:29" x14ac:dyDescent="0.3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7:29" x14ac:dyDescent="0.3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7:29" x14ac:dyDescent="0.3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7:29" x14ac:dyDescent="0.3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7:29" x14ac:dyDescent="0.3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7:29" x14ac:dyDescent="0.3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7:29" x14ac:dyDescent="0.3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7:29" x14ac:dyDescent="0.3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7:29" x14ac:dyDescent="0.3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7:29" x14ac:dyDescent="0.3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7:29" x14ac:dyDescent="0.3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7:29" x14ac:dyDescent="0.3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7:29" x14ac:dyDescent="0.3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7:29" x14ac:dyDescent="0.3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7:29" x14ac:dyDescent="0.3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7:29" x14ac:dyDescent="0.3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7:29" x14ac:dyDescent="0.3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7:29" x14ac:dyDescent="0.3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7:29" x14ac:dyDescent="0.3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7:29" x14ac:dyDescent="0.3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7:29" x14ac:dyDescent="0.3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7:29" x14ac:dyDescent="0.3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7:29" x14ac:dyDescent="0.3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7:29" x14ac:dyDescent="0.3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7:29" x14ac:dyDescent="0.3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7:29" x14ac:dyDescent="0.3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7:29" x14ac:dyDescent="0.3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7:29" x14ac:dyDescent="0.3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7:29" x14ac:dyDescent="0.3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7:29" x14ac:dyDescent="0.3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7:29" x14ac:dyDescent="0.3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7:29" x14ac:dyDescent="0.3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7:29" x14ac:dyDescent="0.3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7:29" x14ac:dyDescent="0.3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7:29" x14ac:dyDescent="0.3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7:29" x14ac:dyDescent="0.3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7:29" x14ac:dyDescent="0.3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7:29" x14ac:dyDescent="0.3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7:29" x14ac:dyDescent="0.3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7:29" x14ac:dyDescent="0.3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7:29" x14ac:dyDescent="0.3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7:29" x14ac:dyDescent="0.3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7:29" x14ac:dyDescent="0.3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7:29" x14ac:dyDescent="0.3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7:29" x14ac:dyDescent="0.3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7:29" x14ac:dyDescent="0.3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7:29" x14ac:dyDescent="0.3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7:29" x14ac:dyDescent="0.3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7:29" x14ac:dyDescent="0.3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7:29" x14ac:dyDescent="0.3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7:29" x14ac:dyDescent="0.3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7:29" x14ac:dyDescent="0.3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7:29" x14ac:dyDescent="0.3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7:29" x14ac:dyDescent="0.3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7:29" x14ac:dyDescent="0.3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7:29" x14ac:dyDescent="0.3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7:29" x14ac:dyDescent="0.3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7:29" x14ac:dyDescent="0.3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7:29" x14ac:dyDescent="0.3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7:29" x14ac:dyDescent="0.3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7:29" x14ac:dyDescent="0.3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7:29" x14ac:dyDescent="0.3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7:29" x14ac:dyDescent="0.3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7:29" x14ac:dyDescent="0.3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7:29" x14ac:dyDescent="0.3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7:29" x14ac:dyDescent="0.3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7:29" x14ac:dyDescent="0.3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7:29" x14ac:dyDescent="0.3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7:29" x14ac:dyDescent="0.3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7:29" x14ac:dyDescent="0.3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7:29" x14ac:dyDescent="0.3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7:29" x14ac:dyDescent="0.3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7:29" x14ac:dyDescent="0.3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7:29" x14ac:dyDescent="0.3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7:29" x14ac:dyDescent="0.3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7:29" x14ac:dyDescent="0.3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7:29" x14ac:dyDescent="0.3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7:29" x14ac:dyDescent="0.3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7:29" x14ac:dyDescent="0.3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7:29" x14ac:dyDescent="0.3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7:29" x14ac:dyDescent="0.3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7:29" x14ac:dyDescent="0.3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7:29" x14ac:dyDescent="0.3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7:29" x14ac:dyDescent="0.3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7:29" x14ac:dyDescent="0.3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7:29" x14ac:dyDescent="0.3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7:29" x14ac:dyDescent="0.3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7:29" x14ac:dyDescent="0.3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7:29" x14ac:dyDescent="0.3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7:29" x14ac:dyDescent="0.3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7:29" x14ac:dyDescent="0.3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7:29" x14ac:dyDescent="0.3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7:29" x14ac:dyDescent="0.3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7:29" x14ac:dyDescent="0.3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7:29" x14ac:dyDescent="0.3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7:29" x14ac:dyDescent="0.3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7:29" x14ac:dyDescent="0.3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7:29" x14ac:dyDescent="0.3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7:29" x14ac:dyDescent="0.3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7:29" x14ac:dyDescent="0.3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7:29" x14ac:dyDescent="0.3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7:29" x14ac:dyDescent="0.3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7:29" x14ac:dyDescent="0.3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7:29" x14ac:dyDescent="0.3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7:29" x14ac:dyDescent="0.3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7:29" x14ac:dyDescent="0.3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7:29" x14ac:dyDescent="0.3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7:29" x14ac:dyDescent="0.3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7:29" x14ac:dyDescent="0.3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7:29" x14ac:dyDescent="0.3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7:29" x14ac:dyDescent="0.3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7:29" x14ac:dyDescent="0.3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7:29" x14ac:dyDescent="0.3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7:29" x14ac:dyDescent="0.3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7:29" x14ac:dyDescent="0.3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7:29" x14ac:dyDescent="0.3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7:29" x14ac:dyDescent="0.3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7:29" x14ac:dyDescent="0.3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7:29" x14ac:dyDescent="0.3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7:29" x14ac:dyDescent="0.3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7:29" x14ac:dyDescent="0.3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7:29" x14ac:dyDescent="0.3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7:29" x14ac:dyDescent="0.3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7:29" x14ac:dyDescent="0.3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7:29" x14ac:dyDescent="0.3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7:29" x14ac:dyDescent="0.3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7:29" x14ac:dyDescent="0.3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7:29" x14ac:dyDescent="0.3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7:29" x14ac:dyDescent="0.3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7:29" x14ac:dyDescent="0.3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7:29" x14ac:dyDescent="0.3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7:29" x14ac:dyDescent="0.3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7:29" x14ac:dyDescent="0.3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7:29" x14ac:dyDescent="0.3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7:29" x14ac:dyDescent="0.3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7:29" x14ac:dyDescent="0.3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7:29" x14ac:dyDescent="0.3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7:29" x14ac:dyDescent="0.3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7:29" x14ac:dyDescent="0.3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7:29" x14ac:dyDescent="0.3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7:29" x14ac:dyDescent="0.3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7:29" x14ac:dyDescent="0.3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7:29" x14ac:dyDescent="0.3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7:29" x14ac:dyDescent="0.3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7:29" x14ac:dyDescent="0.3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7:29" x14ac:dyDescent="0.3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7:29" x14ac:dyDescent="0.3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7:29" x14ac:dyDescent="0.3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7:29" x14ac:dyDescent="0.3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7:29" x14ac:dyDescent="0.3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7:29" x14ac:dyDescent="0.3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7:29" x14ac:dyDescent="0.3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7:29" x14ac:dyDescent="0.3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7:29" x14ac:dyDescent="0.3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7:29" x14ac:dyDescent="0.3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7:29" x14ac:dyDescent="0.3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7:29" x14ac:dyDescent="0.3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7:29" x14ac:dyDescent="0.3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7:29" x14ac:dyDescent="0.3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7:29" x14ac:dyDescent="0.3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7:29" x14ac:dyDescent="0.3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7:29" x14ac:dyDescent="0.3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7:29" x14ac:dyDescent="0.3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7:29" x14ac:dyDescent="0.3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7:29" x14ac:dyDescent="0.3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7:29" x14ac:dyDescent="0.3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7:29" x14ac:dyDescent="0.3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7:29" x14ac:dyDescent="0.3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7:29" x14ac:dyDescent="0.3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7:29" x14ac:dyDescent="0.3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7:29" x14ac:dyDescent="0.3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7:29" x14ac:dyDescent="0.3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7:29" x14ac:dyDescent="0.3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7:29" x14ac:dyDescent="0.3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7:29" x14ac:dyDescent="0.3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7:29" x14ac:dyDescent="0.3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7:29" x14ac:dyDescent="0.3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7:29" x14ac:dyDescent="0.3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7:29" x14ac:dyDescent="0.3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7:29" x14ac:dyDescent="0.3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7:29" x14ac:dyDescent="0.3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7:29" x14ac:dyDescent="0.3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7:29" x14ac:dyDescent="0.3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7:29" x14ac:dyDescent="0.3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7:29" x14ac:dyDescent="0.3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7:29" x14ac:dyDescent="0.3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7:29" x14ac:dyDescent="0.3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7:29" x14ac:dyDescent="0.3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7:29" x14ac:dyDescent="0.3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7:29" x14ac:dyDescent="0.3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7:29" x14ac:dyDescent="0.3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7:29" x14ac:dyDescent="0.3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7:29" x14ac:dyDescent="0.3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7:29" x14ac:dyDescent="0.3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7:29" x14ac:dyDescent="0.3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7:29" x14ac:dyDescent="0.3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7:29" x14ac:dyDescent="0.3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7:29" x14ac:dyDescent="0.3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7:29" x14ac:dyDescent="0.3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7:29" x14ac:dyDescent="0.3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7:29" x14ac:dyDescent="0.3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7:29" x14ac:dyDescent="0.3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7:29" x14ac:dyDescent="0.3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7:29" x14ac:dyDescent="0.3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7:29" x14ac:dyDescent="0.3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7:29" x14ac:dyDescent="0.3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7:29" x14ac:dyDescent="0.3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7:29" x14ac:dyDescent="0.3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7:29" x14ac:dyDescent="0.3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7:29" x14ac:dyDescent="0.3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7:29" x14ac:dyDescent="0.3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7:29" x14ac:dyDescent="0.3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7:29" x14ac:dyDescent="0.3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7:29" x14ac:dyDescent="0.3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7:29" x14ac:dyDescent="0.3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7:29" x14ac:dyDescent="0.3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7:29" x14ac:dyDescent="0.3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7:29" x14ac:dyDescent="0.3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7:29" x14ac:dyDescent="0.3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7:29" x14ac:dyDescent="0.3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7:29" x14ac:dyDescent="0.3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7:29" x14ac:dyDescent="0.3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7:29" x14ac:dyDescent="0.3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7:29" x14ac:dyDescent="0.3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7:29" x14ac:dyDescent="0.3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7:29" x14ac:dyDescent="0.3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7:29" x14ac:dyDescent="0.3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7:29" x14ac:dyDescent="0.3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7:29" x14ac:dyDescent="0.3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7:29" x14ac:dyDescent="0.3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7:29" x14ac:dyDescent="0.3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7:29" x14ac:dyDescent="0.3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7:29" x14ac:dyDescent="0.3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7:29" x14ac:dyDescent="0.3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7:29" x14ac:dyDescent="0.3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7:29" x14ac:dyDescent="0.3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7:29" x14ac:dyDescent="0.3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7:29" x14ac:dyDescent="0.3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7:29" x14ac:dyDescent="0.3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7:29" x14ac:dyDescent="0.3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7:29" x14ac:dyDescent="0.3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7:29" x14ac:dyDescent="0.3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7:29" x14ac:dyDescent="0.3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7:29" x14ac:dyDescent="0.3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7:29" x14ac:dyDescent="0.3"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7:29" x14ac:dyDescent="0.3"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7:29" x14ac:dyDescent="0.3"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7:29" x14ac:dyDescent="0.3"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7:29" x14ac:dyDescent="0.3"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7:29" x14ac:dyDescent="0.3"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7:29" x14ac:dyDescent="0.3"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7:29" x14ac:dyDescent="0.3"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7:29" x14ac:dyDescent="0.3"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7:29" x14ac:dyDescent="0.3"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</sheetData>
  <mergeCells count="19">
    <mergeCell ref="C20:D20"/>
    <mergeCell ref="C21:D21"/>
    <mergeCell ref="C22:D22"/>
    <mergeCell ref="B23:D23"/>
    <mergeCell ref="B1:F1"/>
    <mergeCell ref="B17:D17"/>
    <mergeCell ref="B29:D29"/>
    <mergeCell ref="D3:E3"/>
    <mergeCell ref="D4:E4"/>
    <mergeCell ref="D5:E5"/>
    <mergeCell ref="D6:E6"/>
    <mergeCell ref="D7:E7"/>
    <mergeCell ref="C13:D13"/>
    <mergeCell ref="C14:D14"/>
    <mergeCell ref="C15:D15"/>
    <mergeCell ref="C16:D16"/>
    <mergeCell ref="C26:D26"/>
    <mergeCell ref="C27:D27"/>
    <mergeCell ref="C28:D28"/>
  </mergeCells>
  <phoneticPr fontId="3" type="noConversion"/>
  <conditionalFormatting sqref="F7">
    <cfRule type="expression" dxfId="45" priority="2">
      <formula>OR($F$7&gt;50%,$F$7&lt;0%)</formula>
    </cfRule>
  </conditionalFormatting>
  <conditionalFormatting sqref="K8">
    <cfRule type="expression" dxfId="44" priority="1">
      <formula>($I$6-$K$6)&lt;1</formula>
    </cfRule>
  </conditionalFormatting>
  <dataValidations disablePrompts="1" count="3">
    <dataValidation allowBlank="1" showInputMessage="1" showErrorMessage="1" prompt="목표 금액 입력" sqref="I4"/>
    <dataValidation allowBlank="1" showInputMessage="1" showErrorMessage="1" prompt="시작일 입력 년-월-일 순" sqref="I7"/>
    <dataValidation allowBlank="1" showInputMessage="1" showErrorMessage="1" prompt="목표일 입력 년-월-일 순" sqref="I8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-0.499984740745262"/>
  </sheetPr>
  <dimension ref="A1:AT382"/>
  <sheetViews>
    <sheetView showGridLines="0" workbookViewId="0">
      <selection activeCell="P22" sqref="P22"/>
    </sheetView>
  </sheetViews>
  <sheetFormatPr defaultRowHeight="16.5" x14ac:dyDescent="0.3"/>
  <cols>
    <col min="1" max="1" width="4.75" customWidth="1"/>
    <col min="2" max="2" width="4.625" style="25" customWidth="1"/>
    <col min="3" max="3" width="10.625" style="25" customWidth="1"/>
    <col min="4" max="4" width="20.625" style="25" customWidth="1"/>
    <col min="5" max="6" width="10.625" style="147" customWidth="1"/>
    <col min="7" max="13" width="10.625" style="150" customWidth="1"/>
    <col min="14" max="14" width="4.75" customWidth="1"/>
    <col min="15" max="46" width="9.375" customWidth="1"/>
    <col min="47" max="47" width="4.75" customWidth="1"/>
  </cols>
  <sheetData>
    <row r="1" spans="1:35" ht="40.5" customHeight="1" x14ac:dyDescent="0.3">
      <c r="A1" s="10"/>
      <c r="B1" s="543" t="s">
        <v>323</v>
      </c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10"/>
    </row>
    <row r="2" spans="1:35" ht="16.5" customHeight="1" thickBot="1" x14ac:dyDescent="0.35"/>
    <row r="3" spans="1:35" ht="24.95" customHeight="1" x14ac:dyDescent="0.3">
      <c r="K3" s="584" t="s">
        <v>57</v>
      </c>
      <c r="L3" s="156" t="s">
        <v>324</v>
      </c>
      <c r="M3" s="155" t="s">
        <v>325</v>
      </c>
    </row>
    <row r="4" spans="1:35" ht="24.95" customHeight="1" thickBot="1" x14ac:dyDescent="0.35">
      <c r="K4" s="585"/>
      <c r="L4" s="163">
        <f ca="1">SUM($L$7:$L$93)</f>
        <v>22850480.564274997</v>
      </c>
      <c r="M4" s="162">
        <f ca="1">SUM($M$7:$M$93)</f>
        <v>7149519.4357249979</v>
      </c>
    </row>
    <row r="5" spans="1:35" ht="16.5" customHeight="1" thickBot="1" x14ac:dyDescent="0.35"/>
    <row r="6" spans="1:35" ht="24.95" customHeight="1" thickBot="1" x14ac:dyDescent="0.35">
      <c r="B6" s="29" t="s">
        <v>139</v>
      </c>
      <c r="C6" s="29" t="s">
        <v>326</v>
      </c>
      <c r="D6" s="29" t="s">
        <v>327</v>
      </c>
      <c r="E6" s="30" t="s">
        <v>328</v>
      </c>
      <c r="F6" s="30" t="s">
        <v>74</v>
      </c>
      <c r="G6" s="30" t="s">
        <v>48</v>
      </c>
      <c r="H6" s="30" t="s">
        <v>51</v>
      </c>
      <c r="I6" s="30" t="s">
        <v>329</v>
      </c>
      <c r="J6" s="30" t="s">
        <v>330</v>
      </c>
      <c r="K6" s="30" t="s">
        <v>331</v>
      </c>
      <c r="L6" s="30" t="s">
        <v>324</v>
      </c>
      <c r="M6" s="31" t="s">
        <v>325</v>
      </c>
    </row>
    <row r="7" spans="1:35" ht="24.95" customHeight="1" x14ac:dyDescent="0.3">
      <c r="B7" s="475">
        <v>1</v>
      </c>
      <c r="C7" s="476" t="str">
        <f>대출1!$B$4</f>
        <v>00은행</v>
      </c>
      <c r="D7" s="476" t="str">
        <f>대출1!$C$4</f>
        <v>00대출</v>
      </c>
      <c r="E7" s="477">
        <f>대출1!$G$4</f>
        <v>44549</v>
      </c>
      <c r="F7" s="478">
        <f>대출1!$H$4</f>
        <v>46375</v>
      </c>
      <c r="G7" s="479">
        <f>IF(F7="","",DATEDIF(E7,F7+1,"m"))</f>
        <v>60</v>
      </c>
      <c r="H7" s="479">
        <f ca="1">IF(F7="","",IF(F7&lt;TODAY(),0,DATEDIF(TODAY(),F7,"m")))</f>
        <v>13</v>
      </c>
      <c r="I7" s="480">
        <f>대출1!$D$4</f>
        <v>30000000</v>
      </c>
      <c r="J7" s="481">
        <f>대출1!$E$6</f>
        <v>3968220.5592196789</v>
      </c>
      <c r="K7" s="482">
        <f>대출1!$F$6</f>
        <v>33968220.559219658</v>
      </c>
      <c r="L7" s="506">
        <f ca="1">대출1!$G$6</f>
        <v>22850480.564274997</v>
      </c>
      <c r="M7" s="483">
        <f ca="1">대출1!$H$6</f>
        <v>7149519.4357249979</v>
      </c>
    </row>
    <row r="8" spans="1:35" ht="24.95" customHeight="1" x14ac:dyDescent="0.2">
      <c r="B8" s="466">
        <v>2</v>
      </c>
      <c r="C8" s="471">
        <f>대출2!$B$4</f>
        <v>0</v>
      </c>
      <c r="D8" s="484">
        <f>대출2!C$4</f>
        <v>0</v>
      </c>
      <c r="E8" s="485">
        <f>대출2!G$4</f>
        <v>0</v>
      </c>
      <c r="F8" s="486">
        <f>대출2!H$4</f>
        <v>0</v>
      </c>
      <c r="G8" s="468">
        <f>IF(F8="","",DATEDIF(E8,F8+1,"m"))</f>
        <v>0</v>
      </c>
      <c r="H8" s="468">
        <f ca="1">IF(F8="","",IF(F8&lt;TODAY(),0,DATEDIF(TODAY(),F8,"m")))</f>
        <v>0</v>
      </c>
      <c r="I8" s="487">
        <f>대출2!$D$4</f>
        <v>0</v>
      </c>
      <c r="J8" s="195">
        <f>대출2!$E$6</f>
        <v>0</v>
      </c>
      <c r="K8" s="488">
        <f>대출2!F$6</f>
        <v>0</v>
      </c>
      <c r="L8" s="472" t="str">
        <f ca="1">대출2!$G$6</f>
        <v/>
      </c>
      <c r="M8" s="191" t="str">
        <f ca="1">대출2!$H$6</f>
        <v/>
      </c>
      <c r="Z8" s="28"/>
      <c r="AI8" s="43"/>
    </row>
    <row r="9" spans="1:35" ht="24.95" customHeight="1" x14ac:dyDescent="0.3">
      <c r="B9" s="140">
        <v>3</v>
      </c>
      <c r="C9" s="471">
        <f>대출3!$B$4</f>
        <v>0</v>
      </c>
      <c r="D9" s="484">
        <f>대출3!$C$4</f>
        <v>0</v>
      </c>
      <c r="E9" s="485">
        <f>대출3!$G$4</f>
        <v>0</v>
      </c>
      <c r="F9" s="486">
        <f>대출3!$H$4</f>
        <v>0</v>
      </c>
      <c r="G9" s="468">
        <f>IF(F9="","",DATEDIF(E9,F9+1,"m"))</f>
        <v>0</v>
      </c>
      <c r="H9" s="468">
        <f ca="1">IF(F9="","",IF(F9&lt;TODAY(),0,DATEDIF(TODAY(),F9,"m")))</f>
        <v>0</v>
      </c>
      <c r="I9" s="487">
        <f>대출3!$D$4</f>
        <v>0</v>
      </c>
      <c r="J9" s="195">
        <f>대출3!$E$6</f>
        <v>0</v>
      </c>
      <c r="K9" s="488">
        <f>대출3!$F$6</f>
        <v>0</v>
      </c>
      <c r="L9" s="472" t="str">
        <f ca="1">대출3!$G$6</f>
        <v/>
      </c>
      <c r="M9" s="191" t="str">
        <f ca="1">대출3!$H$6</f>
        <v/>
      </c>
    </row>
    <row r="10" spans="1:35" ht="24.95" customHeight="1" x14ac:dyDescent="0.3">
      <c r="B10" s="47"/>
      <c r="C10" s="47"/>
      <c r="D10" s="47"/>
      <c r="E10" s="507"/>
      <c r="F10" s="507"/>
      <c r="G10" s="507"/>
      <c r="H10" s="507"/>
      <c r="I10" s="507"/>
      <c r="J10" s="507"/>
      <c r="K10" s="508"/>
      <c r="L10" s="508"/>
      <c r="M10" s="507"/>
    </row>
    <row r="11" spans="1:35" ht="24.95" customHeight="1" x14ac:dyDescent="0.3">
      <c r="B11" s="47"/>
      <c r="D11" s="47"/>
      <c r="E11" s="507"/>
      <c r="F11" s="507"/>
      <c r="G11" s="507"/>
      <c r="H11" s="507"/>
      <c r="I11" s="507"/>
      <c r="J11" s="507"/>
      <c r="K11" s="509"/>
      <c r="L11" s="509"/>
      <c r="M11" s="507"/>
    </row>
    <row r="12" spans="1:35" ht="24.95" customHeight="1" x14ac:dyDescent="0.3">
      <c r="B12" s="47"/>
      <c r="D12" s="47"/>
      <c r="E12" s="507"/>
      <c r="F12" s="507"/>
      <c r="G12" s="507"/>
      <c r="H12" s="507"/>
      <c r="I12" s="507"/>
      <c r="J12" s="507"/>
      <c r="K12" s="509"/>
      <c r="L12" s="509"/>
      <c r="M12" s="507"/>
    </row>
    <row r="13" spans="1:35" ht="24.95" customHeight="1" x14ac:dyDescent="0.3">
      <c r="B13" s="47"/>
      <c r="D13" s="47"/>
      <c r="E13" s="507"/>
      <c r="F13" s="507"/>
      <c r="G13" s="507"/>
      <c r="H13" s="507"/>
      <c r="I13" s="507"/>
      <c r="J13" s="507"/>
      <c r="K13" s="509"/>
      <c r="L13" s="509"/>
      <c r="M13" s="507"/>
    </row>
    <row r="14" spans="1:35" ht="24.95" customHeight="1" x14ac:dyDescent="0.3">
      <c r="B14" s="47"/>
      <c r="D14" s="47"/>
      <c r="E14" s="507"/>
      <c r="F14" s="507"/>
      <c r="G14" s="507"/>
      <c r="H14" s="507"/>
      <c r="I14" s="507"/>
      <c r="J14" s="507"/>
      <c r="K14" s="509"/>
      <c r="L14" s="509"/>
      <c r="M14" s="507"/>
    </row>
    <row r="15" spans="1:35" ht="24.95" customHeight="1" x14ac:dyDescent="0.3">
      <c r="B15" s="47"/>
      <c r="D15" s="47"/>
      <c r="E15" s="507"/>
      <c r="F15" s="507"/>
      <c r="G15" s="507"/>
      <c r="H15" s="507"/>
      <c r="I15" s="507"/>
      <c r="J15" s="507"/>
      <c r="K15" s="509"/>
      <c r="L15" s="509"/>
      <c r="M15" s="507"/>
      <c r="Q15" s="1"/>
      <c r="R15" s="1"/>
      <c r="S15" s="1"/>
    </row>
    <row r="16" spans="1:35" ht="24.95" customHeight="1" x14ac:dyDescent="0.3">
      <c r="B16" s="47"/>
      <c r="D16" s="47"/>
      <c r="E16" s="507"/>
      <c r="F16" s="507"/>
      <c r="G16" s="507"/>
      <c r="H16" s="507"/>
      <c r="I16" s="507"/>
      <c r="J16" s="507"/>
      <c r="K16" s="509"/>
      <c r="L16" s="509"/>
      <c r="M16" s="507"/>
      <c r="Q16" s="1"/>
      <c r="R16" s="1"/>
      <c r="S16" s="1"/>
    </row>
    <row r="17" spans="2:46" ht="24.95" customHeight="1" x14ac:dyDescent="0.3">
      <c r="B17" s="47"/>
      <c r="C17" s="47"/>
      <c r="D17" s="47"/>
      <c r="E17" s="507"/>
      <c r="F17" s="507"/>
      <c r="G17" s="507"/>
      <c r="H17" s="507"/>
      <c r="I17" s="507"/>
      <c r="J17" s="507"/>
      <c r="K17" s="509"/>
      <c r="L17" s="509"/>
      <c r="M17" s="507"/>
      <c r="Q17" s="1"/>
      <c r="R17" s="1"/>
      <c r="S17" s="1"/>
      <c r="W17" s="45"/>
      <c r="X17" s="1"/>
      <c r="Y17" s="1"/>
      <c r="AC17" s="1"/>
      <c r="AD17" s="1"/>
      <c r="AE17" s="1"/>
      <c r="AL17" s="45"/>
      <c r="AM17" s="1"/>
      <c r="AN17" s="1"/>
      <c r="AR17" s="1"/>
      <c r="AS17" s="1"/>
      <c r="AT17" s="1"/>
    </row>
    <row r="18" spans="2:46" ht="24.95" customHeight="1" x14ac:dyDescent="0.3">
      <c r="B18" s="47"/>
      <c r="C18" s="47"/>
      <c r="D18" s="47"/>
      <c r="E18" s="507"/>
      <c r="F18" s="507"/>
      <c r="G18" s="507"/>
      <c r="H18" s="507"/>
      <c r="I18" s="507"/>
      <c r="J18" s="507"/>
      <c r="K18" s="509"/>
      <c r="L18" s="509"/>
      <c r="M18" s="507"/>
      <c r="N18" s="47"/>
      <c r="Q18" s="44"/>
      <c r="T18" s="44"/>
      <c r="W18" s="44"/>
      <c r="Z18" s="44"/>
      <c r="AC18" s="44"/>
      <c r="AF18" s="44"/>
      <c r="AI18" s="44"/>
      <c r="AL18" s="44"/>
      <c r="AO18" s="44"/>
      <c r="AR18" s="44"/>
    </row>
    <row r="19" spans="2:46" ht="24.95" customHeight="1" x14ac:dyDescent="0.3">
      <c r="B19" s="47"/>
      <c r="C19" s="47"/>
      <c r="D19" s="47"/>
      <c r="E19" s="507"/>
      <c r="F19" s="507"/>
      <c r="G19" s="507"/>
      <c r="H19" s="507"/>
      <c r="I19" s="507"/>
      <c r="J19" s="507"/>
      <c r="K19" s="509"/>
      <c r="L19" s="509"/>
      <c r="M19" s="507"/>
      <c r="N19" s="586"/>
      <c r="O19" s="586"/>
      <c r="Q19" s="578"/>
      <c r="R19" s="578"/>
      <c r="T19" s="578"/>
      <c r="U19" s="578"/>
      <c r="W19" s="578"/>
      <c r="X19" s="578"/>
      <c r="Z19" s="578"/>
      <c r="AA19" s="578"/>
      <c r="AC19" s="578"/>
      <c r="AD19" s="578"/>
      <c r="AE19" s="46"/>
      <c r="AF19" s="578"/>
      <c r="AG19" s="578"/>
      <c r="AH19" s="46"/>
      <c r="AI19" s="578"/>
      <c r="AJ19" s="578"/>
      <c r="AK19" s="46"/>
      <c r="AL19" s="578"/>
      <c r="AM19" s="578"/>
      <c r="AN19" s="46"/>
      <c r="AO19" s="578"/>
      <c r="AP19" s="578"/>
      <c r="AQ19" s="46"/>
      <c r="AR19" s="578"/>
      <c r="AS19" s="578"/>
      <c r="AT19" s="46"/>
    </row>
    <row r="20" spans="2:46" ht="24.95" customHeight="1" x14ac:dyDescent="0.3">
      <c r="B20" s="47"/>
      <c r="C20" s="47"/>
      <c r="D20" s="47"/>
      <c r="E20" s="507"/>
      <c r="F20" s="507"/>
      <c r="G20" s="507"/>
      <c r="H20" s="507"/>
      <c r="I20" s="507"/>
      <c r="J20" s="507"/>
      <c r="K20" s="509"/>
      <c r="L20" s="509"/>
      <c r="M20" s="507"/>
    </row>
    <row r="21" spans="2:46" ht="24.95" customHeight="1" x14ac:dyDescent="0.3">
      <c r="B21" s="4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90"/>
    </row>
    <row r="22" spans="2:46" ht="24.95" customHeight="1" x14ac:dyDescent="0.3">
      <c r="B22" s="4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90"/>
    </row>
    <row r="23" spans="2:46" ht="24.95" customHeight="1" x14ac:dyDescent="0.3">
      <c r="B23" s="4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90"/>
    </row>
    <row r="24" spans="2:46" ht="24.95" customHeight="1" x14ac:dyDescent="0.3">
      <c r="B24" s="4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90"/>
    </row>
    <row r="25" spans="2:46" ht="24.95" customHeight="1" x14ac:dyDescent="0.3">
      <c r="B25" s="4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90"/>
    </row>
    <row r="26" spans="2:46" ht="24.95" customHeight="1" x14ac:dyDescent="0.3">
      <c r="B26" s="4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90"/>
    </row>
    <row r="27" spans="2:46" ht="24.95" customHeight="1" x14ac:dyDescent="0.3">
      <c r="B27" s="4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90"/>
    </row>
    <row r="28" spans="2:46" ht="24.95" customHeight="1" x14ac:dyDescent="0.3">
      <c r="B28" s="4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90"/>
    </row>
    <row r="29" spans="2:46" ht="24.95" customHeight="1" x14ac:dyDescent="0.3">
      <c r="B29" s="47"/>
      <c r="C29" s="47"/>
      <c r="D29" s="47"/>
      <c r="E29" s="507"/>
      <c r="F29" s="507"/>
      <c r="G29" s="507"/>
      <c r="H29" s="507"/>
      <c r="I29" s="507"/>
      <c r="J29" s="507"/>
      <c r="K29" s="509"/>
      <c r="L29" s="509"/>
      <c r="M29" s="507"/>
    </row>
    <row r="30" spans="2:46" ht="24.95" customHeight="1" x14ac:dyDescent="0.3">
      <c r="B30" s="47"/>
      <c r="C30" s="47"/>
      <c r="D30" s="47"/>
      <c r="E30" s="507"/>
      <c r="F30" s="507"/>
      <c r="G30" s="507"/>
      <c r="H30" s="507"/>
      <c r="I30" s="507"/>
      <c r="J30" s="507"/>
      <c r="K30" s="509"/>
      <c r="L30" s="509"/>
      <c r="M30" s="507"/>
    </row>
    <row r="31" spans="2:46" ht="24.95" customHeight="1" x14ac:dyDescent="0.3">
      <c r="B31" s="47"/>
      <c r="C31" s="47"/>
      <c r="D31" s="47"/>
      <c r="E31" s="507"/>
      <c r="F31" s="507"/>
      <c r="G31" s="507"/>
      <c r="H31" s="507"/>
      <c r="I31" s="507"/>
      <c r="J31" s="507"/>
      <c r="K31" s="509"/>
      <c r="L31" s="509"/>
      <c r="M31" s="507"/>
    </row>
    <row r="32" spans="2:46" ht="24.95" customHeight="1" x14ac:dyDescent="0.3">
      <c r="B32" s="47"/>
      <c r="C32" s="47"/>
      <c r="D32" s="47"/>
      <c r="E32" s="507"/>
      <c r="F32" s="507"/>
      <c r="G32" s="507"/>
      <c r="H32" s="507"/>
      <c r="I32" s="507"/>
      <c r="J32" s="507"/>
      <c r="K32" s="509"/>
      <c r="L32" s="509"/>
      <c r="M32" s="507"/>
    </row>
    <row r="33" spans="2:13" ht="24.95" customHeight="1" x14ac:dyDescent="0.3">
      <c r="B33" s="47"/>
      <c r="C33" s="47"/>
      <c r="D33" s="47"/>
      <c r="E33" s="507"/>
      <c r="F33" s="507"/>
      <c r="G33" s="507"/>
      <c r="H33" s="507"/>
      <c r="I33" s="507"/>
      <c r="J33" s="507"/>
      <c r="K33" s="509"/>
      <c r="L33" s="509"/>
      <c r="M33" s="507"/>
    </row>
    <row r="34" spans="2:13" ht="24.95" customHeight="1" x14ac:dyDescent="0.3">
      <c r="B34" s="47"/>
      <c r="C34" s="47"/>
      <c r="D34" s="47"/>
      <c r="E34" s="507"/>
      <c r="F34" s="507"/>
      <c r="G34" s="507"/>
      <c r="H34" s="507"/>
      <c r="I34" s="507"/>
      <c r="J34" s="507"/>
      <c r="K34" s="509"/>
      <c r="L34" s="509"/>
      <c r="M34" s="507"/>
    </row>
    <row r="35" spans="2:13" ht="24.95" customHeight="1" x14ac:dyDescent="0.3">
      <c r="B35" s="47"/>
      <c r="C35" s="47"/>
      <c r="D35" s="47"/>
      <c r="E35" s="507"/>
      <c r="F35" s="507"/>
      <c r="G35" s="507"/>
      <c r="H35" s="507"/>
      <c r="I35" s="507"/>
      <c r="J35" s="507"/>
      <c r="K35" s="509"/>
      <c r="L35" s="509"/>
      <c r="M35" s="507"/>
    </row>
    <row r="36" spans="2:13" ht="24.95" customHeight="1" x14ac:dyDescent="0.3">
      <c r="B36" s="44"/>
      <c r="C36" s="44"/>
      <c r="D36" s="44"/>
      <c r="E36" s="149"/>
      <c r="F36" s="149"/>
      <c r="G36" s="151"/>
      <c r="H36" s="151"/>
      <c r="I36" s="151"/>
      <c r="J36" s="151"/>
      <c r="K36" s="489"/>
      <c r="L36" s="489"/>
      <c r="M36" s="151"/>
    </row>
    <row r="37" spans="2:13" ht="24.95" customHeight="1" x14ac:dyDescent="0.3">
      <c r="B37" s="44"/>
      <c r="C37" s="44"/>
      <c r="D37" s="44"/>
      <c r="E37" s="149"/>
      <c r="F37" s="149"/>
      <c r="G37" s="151"/>
      <c r="H37" s="151"/>
      <c r="I37" s="151"/>
      <c r="J37" s="151"/>
      <c r="K37" s="489"/>
      <c r="L37" s="489"/>
      <c r="M37" s="151"/>
    </row>
    <row r="38" spans="2:13" ht="24.95" customHeight="1" x14ac:dyDescent="0.3">
      <c r="B38" s="44"/>
      <c r="C38" s="44"/>
      <c r="D38" s="44"/>
      <c r="E38" s="149"/>
      <c r="F38" s="149"/>
      <c r="G38" s="151"/>
      <c r="H38" s="151"/>
      <c r="I38" s="151"/>
      <c r="J38" s="151"/>
      <c r="K38" s="489"/>
      <c r="L38" s="489"/>
      <c r="M38" s="151"/>
    </row>
    <row r="39" spans="2:13" ht="24.95" customHeight="1" x14ac:dyDescent="0.3">
      <c r="B39" s="44"/>
      <c r="C39" s="44"/>
      <c r="D39" s="44"/>
      <c r="E39" s="149"/>
      <c r="F39" s="149"/>
      <c r="G39" s="151"/>
      <c r="H39" s="151"/>
      <c r="I39" s="151"/>
      <c r="J39" s="151"/>
      <c r="K39" s="151"/>
      <c r="L39" s="151"/>
      <c r="M39" s="151"/>
    </row>
    <row r="40" spans="2:13" ht="24.95" customHeight="1" x14ac:dyDescent="0.3">
      <c r="B40" s="44"/>
      <c r="C40" s="44"/>
      <c r="D40" s="44"/>
      <c r="E40" s="149"/>
      <c r="F40" s="149"/>
      <c r="G40" s="151"/>
      <c r="H40" s="151"/>
      <c r="I40" s="151"/>
      <c r="J40" s="151"/>
      <c r="K40" s="151"/>
      <c r="L40" s="151"/>
      <c r="M40" s="151"/>
    </row>
    <row r="41" spans="2:13" ht="24.95" customHeight="1" x14ac:dyDescent="0.3">
      <c r="B41" s="44"/>
      <c r="C41" s="44"/>
      <c r="D41" s="44"/>
      <c r="E41" s="149"/>
      <c r="F41" s="149"/>
      <c r="G41" s="151"/>
      <c r="H41" s="151"/>
      <c r="I41" s="151"/>
      <c r="J41" s="151"/>
      <c r="K41" s="151"/>
      <c r="L41" s="151"/>
      <c r="M41" s="151"/>
    </row>
    <row r="42" spans="2:13" ht="24.95" customHeight="1" x14ac:dyDescent="0.3">
      <c r="B42" s="44"/>
      <c r="C42" s="44"/>
      <c r="D42" s="44"/>
      <c r="E42" s="149"/>
      <c r="F42" s="149"/>
      <c r="G42" s="151"/>
      <c r="H42" s="151"/>
      <c r="I42" s="151"/>
      <c r="J42" s="151"/>
      <c r="K42" s="151"/>
      <c r="L42" s="151"/>
      <c r="M42" s="151"/>
    </row>
    <row r="43" spans="2:13" ht="24.95" customHeight="1" x14ac:dyDescent="0.3">
      <c r="B43" s="44"/>
      <c r="C43" s="44"/>
      <c r="D43" s="44"/>
      <c r="E43" s="149"/>
      <c r="F43" s="149"/>
      <c r="G43" s="151"/>
      <c r="H43" s="151"/>
      <c r="I43" s="151"/>
      <c r="J43" s="151"/>
      <c r="K43" s="151"/>
      <c r="L43" s="151"/>
      <c r="M43" s="151"/>
    </row>
    <row r="44" spans="2:13" ht="24.95" customHeight="1" x14ac:dyDescent="0.3">
      <c r="B44" s="44"/>
      <c r="C44" s="44"/>
      <c r="D44" s="44"/>
      <c r="E44" s="149"/>
      <c r="F44" s="149"/>
      <c r="G44" s="151"/>
      <c r="H44" s="151"/>
      <c r="I44" s="151"/>
      <c r="J44" s="151"/>
      <c r="K44" s="151"/>
      <c r="L44" s="151"/>
      <c r="M44" s="151"/>
    </row>
    <row r="45" spans="2:13" ht="24.95" customHeight="1" x14ac:dyDescent="0.3">
      <c r="B45" s="44"/>
      <c r="C45" s="44"/>
      <c r="D45" s="44"/>
      <c r="E45" s="149"/>
      <c r="F45" s="149"/>
      <c r="G45" s="151"/>
      <c r="H45" s="151"/>
      <c r="I45" s="151"/>
      <c r="J45" s="151"/>
      <c r="K45" s="151"/>
      <c r="L45" s="151"/>
      <c r="M45" s="151"/>
    </row>
    <row r="46" spans="2:13" ht="24.95" customHeight="1" x14ac:dyDescent="0.3">
      <c r="B46" s="44"/>
      <c r="C46" s="44"/>
      <c r="D46" s="44"/>
      <c r="E46" s="149"/>
      <c r="F46" s="149"/>
      <c r="G46" s="151"/>
      <c r="H46" s="151"/>
      <c r="I46" s="151"/>
      <c r="J46" s="151"/>
      <c r="K46" s="151"/>
      <c r="L46" s="151"/>
      <c r="M46" s="151"/>
    </row>
    <row r="47" spans="2:13" ht="24.95" customHeight="1" x14ac:dyDescent="0.3">
      <c r="B47" s="44"/>
      <c r="C47" s="44"/>
      <c r="D47" s="44"/>
      <c r="E47" s="149"/>
      <c r="F47" s="149"/>
      <c r="G47" s="151"/>
      <c r="H47" s="151"/>
      <c r="I47" s="151"/>
      <c r="J47" s="151"/>
      <c r="K47" s="151"/>
      <c r="L47" s="151"/>
      <c r="M47" s="151"/>
    </row>
    <row r="48" spans="2:13" ht="24.95" customHeight="1" x14ac:dyDescent="0.3">
      <c r="B48" s="44"/>
      <c r="C48" s="44"/>
      <c r="D48" s="44"/>
      <c r="E48" s="149"/>
      <c r="F48" s="149"/>
      <c r="G48" s="151"/>
      <c r="H48" s="151"/>
      <c r="I48" s="151"/>
      <c r="J48" s="151"/>
      <c r="K48" s="151"/>
      <c r="L48" s="151"/>
      <c r="M48" s="151"/>
    </row>
    <row r="49" spans="2:22" ht="24.95" customHeight="1" x14ac:dyDescent="0.3">
      <c r="B49" s="44"/>
      <c r="C49" s="44"/>
      <c r="D49" s="44"/>
      <c r="E49" s="149"/>
      <c r="F49" s="149"/>
      <c r="G49" s="151"/>
      <c r="H49" s="151"/>
      <c r="I49" s="151"/>
      <c r="J49" s="151"/>
      <c r="K49" s="151"/>
      <c r="L49" s="151"/>
      <c r="M49" s="151"/>
    </row>
    <row r="50" spans="2:22" x14ac:dyDescent="0.3">
      <c r="B50" s="44"/>
      <c r="C50" s="44"/>
      <c r="D50" s="44"/>
      <c r="E50" s="149"/>
      <c r="F50" s="149"/>
      <c r="G50" s="151"/>
      <c r="H50" s="151"/>
      <c r="I50" s="151"/>
      <c r="J50" s="151"/>
      <c r="K50" s="151"/>
      <c r="L50" s="151"/>
      <c r="M50" s="151"/>
    </row>
    <row r="51" spans="2:22" x14ac:dyDescent="0.3">
      <c r="B51" s="44"/>
      <c r="C51" s="44"/>
      <c r="D51" s="44"/>
      <c r="E51" s="149"/>
      <c r="F51" s="149"/>
      <c r="G51" s="151"/>
      <c r="H51" s="151"/>
      <c r="I51" s="151"/>
      <c r="J51" s="151"/>
      <c r="K51" s="151"/>
      <c r="L51" s="151"/>
      <c r="M51" s="151"/>
    </row>
    <row r="52" spans="2:22" x14ac:dyDescent="0.3">
      <c r="B52" s="44"/>
      <c r="C52" s="44"/>
      <c r="D52" s="44"/>
      <c r="E52" s="149"/>
      <c r="F52" s="149"/>
      <c r="G52" s="151"/>
      <c r="H52" s="151"/>
      <c r="I52" s="151"/>
      <c r="J52" s="151"/>
      <c r="K52" s="151"/>
      <c r="L52" s="151"/>
      <c r="M52" s="151"/>
    </row>
    <row r="53" spans="2:22" x14ac:dyDescent="0.2">
      <c r="B53" s="44"/>
      <c r="C53" s="44"/>
      <c r="D53" s="44"/>
      <c r="E53" s="149"/>
      <c r="F53" s="149"/>
      <c r="G53" s="151"/>
      <c r="H53" s="151"/>
      <c r="I53" s="151"/>
      <c r="J53" s="151"/>
      <c r="K53" s="151"/>
      <c r="L53" s="151"/>
      <c r="M53" s="151"/>
      <c r="Q53" s="1"/>
      <c r="R53" s="579"/>
      <c r="S53" s="580"/>
      <c r="T53" s="581"/>
      <c r="U53" s="1"/>
      <c r="V53" s="1"/>
    </row>
    <row r="54" spans="2:22" x14ac:dyDescent="0.3">
      <c r="B54" s="44"/>
      <c r="C54" s="44"/>
      <c r="D54" s="44"/>
      <c r="E54" s="149"/>
      <c r="F54" s="149"/>
      <c r="G54" s="151"/>
      <c r="H54" s="151"/>
      <c r="I54" s="151"/>
      <c r="J54" s="151"/>
      <c r="K54" s="151"/>
      <c r="L54" s="151"/>
      <c r="M54" s="151"/>
      <c r="Q54" s="1"/>
      <c r="R54" s="1"/>
      <c r="S54" s="1"/>
      <c r="T54" s="1"/>
      <c r="U54" s="1"/>
      <c r="V54" s="1"/>
    </row>
    <row r="55" spans="2:22" x14ac:dyDescent="0.3">
      <c r="B55" s="44"/>
      <c r="C55" s="44"/>
      <c r="D55" s="44"/>
      <c r="E55" s="149"/>
      <c r="F55" s="149"/>
      <c r="G55" s="151"/>
      <c r="H55" s="151"/>
      <c r="I55" s="151"/>
      <c r="J55" s="151"/>
      <c r="K55" s="151"/>
      <c r="L55" s="151"/>
      <c r="M55" s="151"/>
      <c r="Q55" s="1"/>
      <c r="R55" s="1"/>
      <c r="S55" s="1"/>
      <c r="T55" s="1"/>
      <c r="U55" s="1"/>
      <c r="V55" s="1"/>
    </row>
    <row r="56" spans="2:22" x14ac:dyDescent="0.3">
      <c r="B56" s="44"/>
      <c r="C56" s="44"/>
      <c r="D56" s="44"/>
      <c r="E56" s="149"/>
      <c r="F56" s="149"/>
      <c r="G56" s="151"/>
      <c r="H56" s="151"/>
      <c r="I56" s="151"/>
      <c r="J56" s="151"/>
      <c r="K56" s="151"/>
      <c r="L56" s="151"/>
      <c r="M56" s="151"/>
      <c r="Q56" s="1"/>
      <c r="R56" s="1"/>
      <c r="S56" s="1"/>
      <c r="T56" s="1"/>
      <c r="U56" s="1"/>
      <c r="V56" s="1"/>
    </row>
    <row r="57" spans="2:22" x14ac:dyDescent="0.3">
      <c r="B57" s="44"/>
      <c r="C57" s="44"/>
      <c r="D57" s="44"/>
      <c r="E57" s="149"/>
      <c r="F57" s="149"/>
      <c r="G57" s="151"/>
      <c r="H57" s="151"/>
      <c r="I57" s="151"/>
      <c r="J57" s="151"/>
      <c r="K57" s="151"/>
      <c r="L57" s="151"/>
      <c r="M57" s="151"/>
      <c r="Q57" s="1"/>
      <c r="R57" s="1"/>
      <c r="S57" s="1"/>
      <c r="T57" s="1"/>
      <c r="U57" s="1"/>
      <c r="V57" s="1"/>
    </row>
    <row r="58" spans="2:22" x14ac:dyDescent="0.3">
      <c r="B58" s="44"/>
      <c r="C58" s="44"/>
      <c r="D58" s="44"/>
      <c r="E58" s="149"/>
      <c r="F58" s="149"/>
      <c r="G58" s="151"/>
      <c r="H58" s="151"/>
      <c r="I58" s="151"/>
      <c r="J58" s="151"/>
      <c r="K58" s="151"/>
      <c r="L58" s="151"/>
      <c r="M58" s="151"/>
      <c r="Q58" s="1"/>
      <c r="R58" s="1"/>
      <c r="S58" s="1"/>
      <c r="T58" s="1"/>
      <c r="U58" s="1"/>
      <c r="V58" s="1"/>
    </row>
    <row r="59" spans="2:22" x14ac:dyDescent="0.3">
      <c r="B59" s="44"/>
      <c r="C59" s="44"/>
      <c r="D59" s="44"/>
      <c r="E59" s="149"/>
      <c r="F59" s="149"/>
      <c r="G59" s="151"/>
      <c r="H59" s="151"/>
      <c r="I59" s="151"/>
      <c r="J59" s="151"/>
      <c r="K59" s="151"/>
      <c r="L59" s="151"/>
      <c r="M59" s="151"/>
      <c r="Q59" s="1"/>
      <c r="R59" s="1"/>
      <c r="S59" s="1"/>
      <c r="T59" s="1"/>
      <c r="U59" s="1"/>
      <c r="V59" s="1"/>
    </row>
    <row r="60" spans="2:22" x14ac:dyDescent="0.3">
      <c r="B60" s="44"/>
      <c r="C60" s="44"/>
      <c r="D60" s="44"/>
      <c r="E60" s="149"/>
      <c r="F60" s="149"/>
      <c r="G60" s="151"/>
      <c r="H60" s="151"/>
      <c r="I60" s="151"/>
      <c r="J60" s="151"/>
      <c r="K60" s="151"/>
      <c r="L60" s="151"/>
      <c r="M60" s="151"/>
      <c r="Q60" s="1"/>
      <c r="R60" s="1"/>
      <c r="S60" s="1"/>
      <c r="T60" s="1"/>
      <c r="U60" s="1"/>
      <c r="V60" s="1"/>
    </row>
    <row r="61" spans="2:22" x14ac:dyDescent="0.3">
      <c r="B61" s="44"/>
      <c r="C61" s="44"/>
      <c r="D61" s="44"/>
      <c r="E61" s="149"/>
      <c r="F61" s="149"/>
      <c r="G61" s="151"/>
      <c r="H61" s="151"/>
      <c r="I61" s="151"/>
      <c r="J61" s="151"/>
      <c r="K61" s="151"/>
      <c r="L61" s="151"/>
      <c r="M61" s="151"/>
      <c r="Q61" s="1"/>
      <c r="R61" s="1"/>
      <c r="S61" s="1"/>
      <c r="T61" s="1"/>
      <c r="U61" s="1"/>
      <c r="V61" s="1"/>
    </row>
    <row r="62" spans="2:22" x14ac:dyDescent="0.3">
      <c r="B62" s="44"/>
      <c r="C62" s="44"/>
      <c r="D62" s="44"/>
      <c r="E62" s="149"/>
      <c r="F62" s="149"/>
      <c r="G62" s="151"/>
      <c r="H62" s="151"/>
      <c r="I62" s="151"/>
      <c r="J62" s="151"/>
      <c r="K62" s="151"/>
      <c r="L62" s="151"/>
      <c r="M62" s="151"/>
      <c r="Q62" s="1"/>
      <c r="R62" s="1"/>
      <c r="S62" s="1"/>
      <c r="T62" s="1"/>
      <c r="U62" s="1"/>
      <c r="V62" s="1"/>
    </row>
    <row r="63" spans="2:22" x14ac:dyDescent="0.3">
      <c r="B63" s="44"/>
      <c r="C63" s="44"/>
      <c r="D63" s="44"/>
      <c r="E63" s="149"/>
      <c r="F63" s="149"/>
      <c r="G63" s="151"/>
      <c r="H63" s="151"/>
      <c r="I63" s="151"/>
      <c r="J63" s="151"/>
      <c r="K63" s="151"/>
      <c r="L63" s="151"/>
      <c r="M63" s="151"/>
      <c r="Q63" s="1"/>
      <c r="R63" s="1"/>
      <c r="S63" s="1"/>
      <c r="T63" s="1"/>
      <c r="U63" s="1"/>
      <c r="V63" s="1"/>
    </row>
    <row r="64" spans="2:22" x14ac:dyDescent="0.3">
      <c r="B64" s="44"/>
      <c r="C64" s="44"/>
      <c r="D64" s="44"/>
      <c r="E64" s="149"/>
      <c r="F64" s="149"/>
      <c r="G64" s="151"/>
      <c r="H64" s="151"/>
      <c r="I64" s="151"/>
      <c r="J64" s="151"/>
      <c r="K64" s="151"/>
      <c r="L64" s="151"/>
      <c r="M64" s="151"/>
      <c r="Q64" s="1"/>
      <c r="R64" s="1"/>
      <c r="S64" s="1"/>
      <c r="T64" s="1"/>
      <c r="U64" s="1"/>
      <c r="V64" s="1"/>
    </row>
    <row r="65" spans="2:22" x14ac:dyDescent="0.3">
      <c r="B65" s="44"/>
      <c r="C65" s="44"/>
      <c r="D65" s="44"/>
      <c r="E65" s="149"/>
      <c r="F65" s="149"/>
      <c r="G65" s="151"/>
      <c r="H65" s="151"/>
      <c r="I65" s="151"/>
      <c r="J65" s="151"/>
      <c r="K65" s="151"/>
      <c r="L65" s="151"/>
      <c r="M65" s="151"/>
      <c r="Q65" s="1"/>
      <c r="R65" s="1"/>
      <c r="S65" s="1"/>
      <c r="T65" s="1"/>
      <c r="U65" s="1"/>
      <c r="V65" s="1"/>
    </row>
    <row r="66" spans="2:22" x14ac:dyDescent="0.3">
      <c r="B66" s="44"/>
      <c r="C66" s="44"/>
      <c r="D66" s="44"/>
      <c r="E66" s="149"/>
      <c r="F66" s="149"/>
      <c r="G66" s="151"/>
      <c r="H66" s="151"/>
      <c r="I66" s="151"/>
      <c r="J66" s="151"/>
      <c r="K66" s="151"/>
      <c r="L66" s="151"/>
      <c r="M66" s="151"/>
      <c r="Q66" s="1"/>
      <c r="R66" s="1"/>
      <c r="S66" s="1"/>
      <c r="T66" s="1"/>
      <c r="U66" s="1"/>
      <c r="V66" s="1"/>
    </row>
    <row r="67" spans="2:22" x14ac:dyDescent="0.3">
      <c r="B67" s="44"/>
      <c r="C67" s="44"/>
      <c r="D67" s="44"/>
      <c r="E67" s="149"/>
      <c r="F67" s="149"/>
      <c r="G67" s="151"/>
      <c r="H67" s="151"/>
      <c r="I67" s="151"/>
      <c r="J67" s="151"/>
      <c r="K67" s="151"/>
      <c r="L67" s="151"/>
      <c r="M67" s="151"/>
      <c r="Q67" s="1"/>
      <c r="R67" s="1"/>
      <c r="S67" s="1"/>
      <c r="T67" s="1"/>
      <c r="U67" s="1"/>
      <c r="V67" s="1"/>
    </row>
    <row r="68" spans="2:22" x14ac:dyDescent="0.3">
      <c r="B68" s="44"/>
      <c r="C68" s="44"/>
      <c r="D68" s="44"/>
      <c r="E68" s="149"/>
      <c r="F68" s="149"/>
      <c r="G68" s="151"/>
      <c r="H68" s="151"/>
      <c r="I68" s="151"/>
      <c r="J68" s="151"/>
      <c r="K68" s="151"/>
      <c r="L68" s="151"/>
      <c r="M68" s="151"/>
      <c r="Q68" s="1"/>
      <c r="R68" s="1"/>
      <c r="S68" s="1"/>
      <c r="T68" s="1"/>
      <c r="U68" s="1"/>
      <c r="V68" s="1"/>
    </row>
    <row r="69" spans="2:22" x14ac:dyDescent="0.3">
      <c r="B69" s="44"/>
      <c r="C69" s="44"/>
      <c r="D69" s="44"/>
      <c r="E69" s="149"/>
      <c r="F69" s="149"/>
      <c r="G69" s="151"/>
      <c r="H69" s="151"/>
      <c r="I69" s="151"/>
      <c r="J69" s="151"/>
      <c r="K69" s="151"/>
      <c r="L69" s="151"/>
      <c r="M69" s="151"/>
      <c r="Q69" s="1"/>
      <c r="R69" s="1"/>
      <c r="S69" s="1"/>
      <c r="T69" s="1"/>
      <c r="U69" s="1"/>
      <c r="V69" s="1"/>
    </row>
    <row r="70" spans="2:22" x14ac:dyDescent="0.3">
      <c r="B70" s="44"/>
      <c r="C70" s="44"/>
      <c r="D70" s="44"/>
      <c r="E70" s="149"/>
      <c r="F70" s="149"/>
      <c r="G70" s="151"/>
      <c r="H70" s="151"/>
      <c r="I70" s="151"/>
      <c r="J70" s="151"/>
      <c r="K70" s="151"/>
      <c r="L70" s="151"/>
      <c r="M70" s="151"/>
      <c r="Q70" s="1"/>
      <c r="R70" s="1"/>
      <c r="S70" s="1"/>
      <c r="T70" s="1"/>
      <c r="U70" s="1"/>
      <c r="V70" s="1"/>
    </row>
    <row r="71" spans="2:22" x14ac:dyDescent="0.3">
      <c r="B71" s="44"/>
      <c r="C71" s="44"/>
      <c r="D71" s="44"/>
      <c r="E71" s="149"/>
      <c r="F71" s="149"/>
      <c r="G71" s="151"/>
      <c r="H71" s="151"/>
      <c r="I71" s="151"/>
      <c r="J71" s="151"/>
      <c r="K71" s="151"/>
      <c r="L71" s="151"/>
      <c r="M71" s="151"/>
      <c r="Q71" s="1"/>
      <c r="R71" s="1"/>
      <c r="S71" s="1"/>
      <c r="T71" s="1"/>
      <c r="U71" s="1"/>
      <c r="V71" s="1"/>
    </row>
    <row r="72" spans="2:22" x14ac:dyDescent="0.3">
      <c r="B72" s="44"/>
      <c r="C72" s="44"/>
      <c r="D72" s="44"/>
      <c r="E72" s="149"/>
      <c r="F72" s="149"/>
      <c r="G72" s="151"/>
      <c r="H72" s="151"/>
      <c r="I72" s="151"/>
      <c r="J72" s="151"/>
      <c r="K72" s="151"/>
      <c r="L72" s="151"/>
      <c r="M72" s="151"/>
      <c r="Q72" s="1"/>
      <c r="R72" s="1"/>
      <c r="S72" s="1"/>
      <c r="T72" s="1"/>
      <c r="U72" s="1"/>
      <c r="V72" s="1"/>
    </row>
    <row r="73" spans="2:22" x14ac:dyDescent="0.3">
      <c r="B73" s="44"/>
      <c r="C73" s="44"/>
      <c r="D73" s="44"/>
      <c r="E73" s="149"/>
      <c r="F73" s="149"/>
      <c r="G73" s="151"/>
      <c r="H73" s="151"/>
      <c r="I73" s="151"/>
      <c r="J73" s="151"/>
      <c r="K73" s="151"/>
      <c r="L73" s="151"/>
      <c r="M73" s="151"/>
      <c r="Q73" s="1"/>
      <c r="R73" s="1"/>
      <c r="S73" s="1"/>
      <c r="T73" s="1"/>
      <c r="U73" s="1"/>
      <c r="V73" s="1"/>
    </row>
    <row r="74" spans="2:22" x14ac:dyDescent="0.3">
      <c r="B74" s="44"/>
      <c r="C74" s="44"/>
      <c r="D74" s="44"/>
      <c r="E74" s="149"/>
      <c r="F74" s="149"/>
      <c r="G74" s="151"/>
      <c r="H74" s="151"/>
      <c r="I74" s="151"/>
      <c r="J74" s="151"/>
      <c r="K74" s="151"/>
      <c r="L74" s="151"/>
      <c r="M74" s="151"/>
      <c r="Q74" s="1"/>
      <c r="R74" s="1"/>
      <c r="S74" s="1"/>
      <c r="T74" s="1"/>
      <c r="U74" s="1"/>
      <c r="V74" s="1"/>
    </row>
    <row r="75" spans="2:22" x14ac:dyDescent="0.3">
      <c r="B75" s="44"/>
      <c r="C75" s="44"/>
      <c r="D75" s="44"/>
      <c r="E75" s="149"/>
      <c r="F75" s="149"/>
      <c r="G75" s="151"/>
      <c r="H75" s="151"/>
      <c r="I75" s="151"/>
      <c r="J75" s="151"/>
      <c r="K75" s="151"/>
      <c r="L75" s="151"/>
      <c r="M75" s="151"/>
      <c r="Q75" s="1"/>
      <c r="R75" s="1"/>
      <c r="S75" s="1"/>
      <c r="T75" s="1"/>
      <c r="U75" s="1"/>
      <c r="V75" s="1"/>
    </row>
    <row r="76" spans="2:22" x14ac:dyDescent="0.3">
      <c r="B76" s="44"/>
      <c r="C76" s="44"/>
      <c r="D76" s="44"/>
      <c r="E76" s="149"/>
      <c r="F76" s="149"/>
      <c r="G76" s="151"/>
      <c r="H76" s="151"/>
      <c r="I76" s="151"/>
      <c r="J76" s="151"/>
      <c r="K76" s="151"/>
      <c r="L76" s="151"/>
      <c r="M76" s="151"/>
      <c r="Q76" s="1"/>
      <c r="R76" s="1"/>
      <c r="S76" s="1"/>
      <c r="T76" s="1"/>
      <c r="U76" s="1"/>
      <c r="V76" s="1"/>
    </row>
    <row r="77" spans="2:22" x14ac:dyDescent="0.3">
      <c r="B77" s="44"/>
      <c r="C77" s="44"/>
      <c r="D77" s="44"/>
      <c r="E77" s="149"/>
      <c r="F77" s="149"/>
      <c r="G77" s="151"/>
      <c r="H77" s="151"/>
      <c r="I77" s="151"/>
      <c r="J77" s="151"/>
      <c r="K77" s="151"/>
      <c r="L77" s="151"/>
      <c r="M77" s="151"/>
      <c r="Q77" s="1"/>
      <c r="R77" s="1"/>
      <c r="S77" s="1"/>
      <c r="T77" s="1"/>
      <c r="U77" s="1"/>
      <c r="V77" s="1"/>
    </row>
    <row r="78" spans="2:22" x14ac:dyDescent="0.3">
      <c r="B78" s="44"/>
      <c r="C78" s="44"/>
      <c r="D78" s="44"/>
      <c r="E78" s="149"/>
      <c r="F78" s="149"/>
      <c r="G78" s="151"/>
      <c r="H78" s="151"/>
      <c r="I78" s="151"/>
      <c r="J78" s="151"/>
      <c r="K78" s="151"/>
      <c r="L78" s="151"/>
      <c r="M78" s="151"/>
      <c r="Q78" s="1"/>
      <c r="R78" s="1"/>
      <c r="S78" s="1"/>
      <c r="T78" s="1"/>
      <c r="U78" s="1"/>
      <c r="V78" s="1"/>
    </row>
    <row r="79" spans="2:22" x14ac:dyDescent="0.3">
      <c r="B79" s="44"/>
      <c r="C79" s="44"/>
      <c r="D79" s="44"/>
      <c r="E79" s="149"/>
      <c r="F79" s="149"/>
      <c r="G79" s="151"/>
      <c r="H79" s="151"/>
      <c r="I79" s="151"/>
      <c r="J79" s="151"/>
      <c r="K79" s="151"/>
      <c r="L79" s="151"/>
      <c r="M79" s="151"/>
      <c r="Q79" s="1"/>
      <c r="R79" s="1"/>
      <c r="S79" s="1"/>
      <c r="T79" s="1"/>
      <c r="U79" s="1"/>
      <c r="V79" s="1"/>
    </row>
    <row r="80" spans="2:22" x14ac:dyDescent="0.3">
      <c r="B80" s="44"/>
      <c r="C80" s="44"/>
      <c r="D80" s="44"/>
      <c r="E80" s="149"/>
      <c r="F80" s="149"/>
      <c r="G80" s="151"/>
      <c r="H80" s="151"/>
      <c r="I80" s="151"/>
      <c r="J80" s="151"/>
      <c r="K80" s="151"/>
      <c r="L80" s="151"/>
      <c r="M80" s="151"/>
      <c r="Q80" s="1"/>
      <c r="R80" s="1"/>
      <c r="S80" s="1"/>
      <c r="T80" s="1"/>
      <c r="U80" s="1"/>
      <c r="V80" s="1"/>
    </row>
    <row r="81" spans="2:22" x14ac:dyDescent="0.3">
      <c r="B81" s="44"/>
      <c r="C81" s="44"/>
      <c r="D81" s="44"/>
      <c r="E81" s="149"/>
      <c r="F81" s="149"/>
      <c r="G81" s="151"/>
      <c r="H81" s="151"/>
      <c r="I81" s="151"/>
      <c r="J81" s="151"/>
      <c r="K81" s="151"/>
      <c r="L81" s="151"/>
      <c r="M81" s="151"/>
      <c r="Q81" s="1"/>
      <c r="R81" s="1"/>
      <c r="S81" s="1"/>
      <c r="T81" s="1"/>
      <c r="U81" s="1"/>
      <c r="V81" s="1"/>
    </row>
    <row r="82" spans="2:22" x14ac:dyDescent="0.3">
      <c r="B82" s="44"/>
      <c r="C82" s="44"/>
      <c r="D82" s="44"/>
      <c r="E82" s="149"/>
      <c r="F82" s="149"/>
      <c r="G82" s="151"/>
      <c r="H82" s="151"/>
      <c r="I82" s="151"/>
      <c r="J82" s="151"/>
      <c r="K82" s="151"/>
      <c r="L82" s="151"/>
      <c r="M82" s="151"/>
      <c r="Q82" s="1"/>
      <c r="R82" s="1"/>
      <c r="S82" s="1"/>
      <c r="T82" s="1"/>
      <c r="U82" s="1"/>
      <c r="V82" s="1"/>
    </row>
    <row r="83" spans="2:22" x14ac:dyDescent="0.3">
      <c r="B83" s="44"/>
      <c r="C83" s="44"/>
      <c r="D83" s="44"/>
      <c r="E83" s="149"/>
      <c r="F83" s="149"/>
      <c r="G83" s="151"/>
      <c r="H83" s="151"/>
      <c r="I83" s="151"/>
      <c r="J83" s="151"/>
      <c r="K83" s="151"/>
      <c r="L83" s="151"/>
      <c r="M83" s="151"/>
      <c r="Q83" s="1"/>
      <c r="R83" s="1"/>
      <c r="S83" s="1"/>
      <c r="T83" s="1"/>
      <c r="U83" s="1"/>
      <c r="V83" s="1"/>
    </row>
    <row r="84" spans="2:22" x14ac:dyDescent="0.3">
      <c r="B84" s="44"/>
      <c r="C84" s="44"/>
      <c r="D84" s="44"/>
      <c r="E84" s="149"/>
      <c r="F84" s="149"/>
      <c r="G84" s="151"/>
      <c r="H84" s="151"/>
      <c r="I84" s="151"/>
      <c r="J84" s="151"/>
      <c r="K84" s="151"/>
      <c r="L84" s="151"/>
      <c r="M84" s="151"/>
      <c r="Q84" s="1"/>
      <c r="R84" s="1"/>
      <c r="S84" s="1"/>
      <c r="T84" s="1"/>
      <c r="U84" s="1"/>
      <c r="V84" s="1"/>
    </row>
    <row r="85" spans="2:22" x14ac:dyDescent="0.3">
      <c r="B85" s="44"/>
      <c r="C85" s="44"/>
      <c r="D85" s="44"/>
      <c r="E85" s="149"/>
      <c r="F85" s="149"/>
      <c r="G85" s="151"/>
      <c r="H85" s="151"/>
      <c r="I85" s="151"/>
      <c r="J85" s="151"/>
      <c r="K85" s="151"/>
      <c r="L85" s="151"/>
      <c r="M85" s="151"/>
      <c r="Q85" s="1"/>
      <c r="R85" s="1"/>
      <c r="S85" s="1"/>
      <c r="T85" s="1"/>
      <c r="U85" s="1"/>
      <c r="V85" s="1"/>
    </row>
    <row r="86" spans="2:22" x14ac:dyDescent="0.3">
      <c r="B86" s="44"/>
      <c r="C86" s="44"/>
      <c r="D86" s="44"/>
      <c r="E86" s="149"/>
      <c r="F86" s="149"/>
      <c r="G86" s="151"/>
      <c r="H86" s="151"/>
      <c r="I86" s="151"/>
      <c r="J86" s="151"/>
      <c r="K86" s="151"/>
      <c r="L86" s="151"/>
      <c r="M86" s="151"/>
    </row>
    <row r="87" spans="2:22" x14ac:dyDescent="0.3">
      <c r="B87" s="44"/>
      <c r="C87" s="44"/>
      <c r="D87" s="44"/>
      <c r="E87" s="149"/>
      <c r="F87" s="149"/>
      <c r="G87" s="151"/>
      <c r="H87" s="151"/>
      <c r="I87" s="151"/>
      <c r="J87" s="151"/>
      <c r="K87" s="151"/>
      <c r="L87" s="151"/>
      <c r="M87" s="151"/>
    </row>
    <row r="88" spans="2:22" x14ac:dyDescent="0.3">
      <c r="B88" s="44"/>
      <c r="C88" s="44"/>
      <c r="D88" s="44"/>
      <c r="E88" s="149"/>
      <c r="F88" s="149"/>
      <c r="G88" s="151"/>
      <c r="H88" s="151"/>
      <c r="I88" s="151"/>
      <c r="J88" s="151"/>
      <c r="K88" s="151"/>
      <c r="L88" s="151"/>
      <c r="M88" s="151"/>
    </row>
    <row r="89" spans="2:22" x14ac:dyDescent="0.3">
      <c r="B89" s="44"/>
      <c r="C89" s="44"/>
      <c r="D89" s="44"/>
      <c r="E89" s="149"/>
      <c r="F89" s="149"/>
      <c r="G89" s="151"/>
      <c r="H89" s="151"/>
      <c r="I89" s="151"/>
      <c r="J89" s="151"/>
      <c r="K89" s="151"/>
      <c r="L89" s="151"/>
      <c r="M89" s="151"/>
    </row>
    <row r="90" spans="2:22" x14ac:dyDescent="0.3">
      <c r="B90" s="44"/>
      <c r="C90" s="44"/>
      <c r="D90" s="44"/>
      <c r="E90" s="149"/>
      <c r="F90" s="149"/>
      <c r="G90" s="151"/>
      <c r="H90" s="151"/>
      <c r="I90" s="151"/>
      <c r="J90" s="151"/>
      <c r="K90" s="151"/>
      <c r="L90" s="151"/>
      <c r="M90" s="151"/>
    </row>
    <row r="91" spans="2:22" x14ac:dyDescent="0.3">
      <c r="B91" s="44"/>
      <c r="C91" s="44"/>
      <c r="D91" s="44"/>
      <c r="E91" s="149"/>
      <c r="F91" s="149"/>
      <c r="G91" s="151"/>
      <c r="H91" s="151"/>
      <c r="I91" s="151"/>
      <c r="J91" s="151"/>
      <c r="K91" s="151"/>
      <c r="L91" s="151"/>
      <c r="M91" s="151"/>
    </row>
    <row r="92" spans="2:22" x14ac:dyDescent="0.3">
      <c r="B92" s="44"/>
      <c r="C92" s="44"/>
      <c r="D92" s="44"/>
      <c r="E92" s="149"/>
      <c r="F92" s="149"/>
      <c r="G92" s="151"/>
      <c r="H92" s="151"/>
      <c r="I92" s="151"/>
      <c r="J92" s="151"/>
      <c r="K92" s="151"/>
      <c r="L92" s="151"/>
      <c r="M92" s="151"/>
    </row>
    <row r="93" spans="2:22" x14ac:dyDescent="0.3">
      <c r="B93" s="44"/>
      <c r="C93" s="44"/>
      <c r="D93" s="44"/>
      <c r="E93" s="149"/>
      <c r="F93" s="149"/>
      <c r="G93" s="151"/>
      <c r="H93" s="151"/>
      <c r="I93" s="151"/>
      <c r="J93" s="151"/>
      <c r="K93" s="151"/>
      <c r="L93" s="151"/>
      <c r="M93" s="151"/>
    </row>
    <row r="94" spans="2:22" x14ac:dyDescent="0.3">
      <c r="B94" s="44"/>
      <c r="C94" s="44"/>
      <c r="D94" s="44"/>
      <c r="E94" s="149"/>
      <c r="F94" s="149"/>
      <c r="G94" s="151"/>
      <c r="H94" s="151"/>
      <c r="I94" s="151"/>
      <c r="J94" s="151"/>
      <c r="K94" s="151"/>
      <c r="L94" s="151"/>
      <c r="M94" s="151"/>
    </row>
    <row r="95" spans="2:22" x14ac:dyDescent="0.3">
      <c r="B95" s="44"/>
      <c r="C95" s="44"/>
      <c r="D95" s="44"/>
      <c r="E95" s="149"/>
      <c r="F95" s="149"/>
      <c r="G95" s="151"/>
      <c r="H95" s="151"/>
      <c r="I95" s="151"/>
      <c r="J95" s="151"/>
      <c r="K95" s="151"/>
      <c r="L95" s="151"/>
      <c r="M95" s="151"/>
    </row>
    <row r="96" spans="2:22" x14ac:dyDescent="0.3">
      <c r="B96" s="44"/>
      <c r="C96" s="44"/>
      <c r="D96" s="44"/>
      <c r="E96" s="149"/>
      <c r="F96" s="149"/>
      <c r="G96" s="151"/>
      <c r="H96" s="151"/>
      <c r="I96" s="151"/>
      <c r="J96" s="151"/>
      <c r="K96" s="151"/>
      <c r="L96" s="151"/>
      <c r="M96" s="151"/>
    </row>
    <row r="97" spans="2:13" x14ac:dyDescent="0.3">
      <c r="B97" s="44"/>
      <c r="C97" s="44"/>
      <c r="D97" s="44"/>
      <c r="E97" s="149"/>
      <c r="F97" s="149"/>
      <c r="G97" s="151"/>
      <c r="H97" s="151"/>
      <c r="I97" s="151"/>
      <c r="J97" s="151"/>
      <c r="K97" s="151"/>
      <c r="L97" s="151"/>
      <c r="M97" s="151"/>
    </row>
    <row r="98" spans="2:13" x14ac:dyDescent="0.3">
      <c r="B98" s="44"/>
      <c r="C98" s="44"/>
      <c r="D98" s="44"/>
      <c r="E98" s="149"/>
      <c r="F98" s="149"/>
      <c r="G98" s="151"/>
      <c r="H98" s="151"/>
      <c r="I98" s="151"/>
      <c r="J98" s="151"/>
      <c r="K98" s="151"/>
      <c r="L98" s="151"/>
      <c r="M98" s="151"/>
    </row>
    <row r="99" spans="2:13" x14ac:dyDescent="0.3">
      <c r="B99" s="44"/>
      <c r="C99" s="44"/>
      <c r="D99" s="44"/>
      <c r="E99" s="149"/>
      <c r="F99" s="149"/>
      <c r="G99" s="151"/>
      <c r="H99" s="151"/>
      <c r="I99" s="151"/>
      <c r="J99" s="151"/>
      <c r="K99" s="151"/>
      <c r="L99" s="151"/>
      <c r="M99" s="151"/>
    </row>
    <row r="100" spans="2:13" x14ac:dyDescent="0.3">
      <c r="B100" s="44"/>
      <c r="C100" s="44"/>
      <c r="D100" s="44"/>
      <c r="E100" s="149"/>
      <c r="F100" s="149"/>
      <c r="G100" s="151"/>
      <c r="H100" s="151"/>
      <c r="I100" s="151"/>
      <c r="J100" s="151"/>
      <c r="K100" s="151"/>
      <c r="L100" s="151"/>
      <c r="M100" s="151"/>
    </row>
    <row r="101" spans="2:13" x14ac:dyDescent="0.3">
      <c r="B101" s="44"/>
      <c r="C101" s="44"/>
      <c r="D101" s="44"/>
      <c r="E101" s="149"/>
      <c r="F101" s="149"/>
      <c r="G101" s="151"/>
      <c r="H101" s="151"/>
      <c r="I101" s="151"/>
      <c r="J101" s="151"/>
      <c r="K101" s="151"/>
      <c r="L101" s="151"/>
      <c r="M101" s="151"/>
    </row>
    <row r="102" spans="2:13" x14ac:dyDescent="0.3">
      <c r="B102" s="44"/>
      <c r="C102" s="44"/>
      <c r="D102" s="44"/>
      <c r="E102" s="149"/>
      <c r="F102" s="149"/>
      <c r="G102" s="151"/>
      <c r="H102" s="151"/>
      <c r="I102" s="151"/>
      <c r="J102" s="151"/>
      <c r="K102" s="151"/>
      <c r="L102" s="151"/>
      <c r="M102" s="151"/>
    </row>
    <row r="103" spans="2:13" x14ac:dyDescent="0.3">
      <c r="B103" s="44"/>
      <c r="C103" s="44"/>
      <c r="D103" s="44"/>
      <c r="E103" s="149"/>
      <c r="F103" s="149"/>
      <c r="G103" s="151"/>
      <c r="H103" s="151"/>
      <c r="I103" s="151"/>
      <c r="J103" s="151"/>
      <c r="K103" s="151"/>
      <c r="L103" s="151"/>
      <c r="M103" s="151"/>
    </row>
    <row r="104" spans="2:13" x14ac:dyDescent="0.3">
      <c r="B104" s="44"/>
      <c r="C104" s="44"/>
      <c r="D104" s="44"/>
      <c r="E104" s="149"/>
      <c r="F104" s="149"/>
      <c r="G104" s="151"/>
      <c r="H104" s="151"/>
      <c r="I104" s="151"/>
      <c r="J104" s="151"/>
      <c r="K104" s="151"/>
      <c r="L104" s="151"/>
      <c r="M104" s="151"/>
    </row>
    <row r="105" spans="2:13" x14ac:dyDescent="0.3">
      <c r="B105" s="44"/>
      <c r="C105" s="44"/>
      <c r="D105" s="44"/>
      <c r="E105" s="149"/>
      <c r="F105" s="149"/>
      <c r="G105" s="151"/>
      <c r="H105" s="151"/>
      <c r="I105" s="151"/>
      <c r="J105" s="151"/>
      <c r="K105" s="151"/>
      <c r="L105" s="151"/>
      <c r="M105" s="151"/>
    </row>
    <row r="106" spans="2:13" x14ac:dyDescent="0.3">
      <c r="B106" s="44"/>
      <c r="C106" s="44"/>
      <c r="D106" s="44"/>
      <c r="E106" s="149"/>
      <c r="F106" s="149"/>
      <c r="G106" s="151"/>
      <c r="H106" s="151"/>
      <c r="I106" s="151"/>
      <c r="J106" s="151"/>
      <c r="K106" s="151"/>
      <c r="L106" s="151"/>
      <c r="M106" s="151"/>
    </row>
    <row r="107" spans="2:13" x14ac:dyDescent="0.3">
      <c r="B107" s="44"/>
      <c r="C107" s="44"/>
      <c r="D107" s="44"/>
      <c r="E107" s="149"/>
      <c r="F107" s="149"/>
      <c r="G107" s="151"/>
      <c r="H107" s="151"/>
      <c r="I107" s="151"/>
      <c r="J107" s="151"/>
      <c r="K107" s="151"/>
      <c r="L107" s="151"/>
      <c r="M107" s="151"/>
    </row>
    <row r="108" spans="2:13" x14ac:dyDescent="0.3">
      <c r="B108" s="44"/>
      <c r="C108" s="44"/>
      <c r="D108" s="44"/>
      <c r="E108" s="149"/>
      <c r="F108" s="149"/>
      <c r="G108" s="151"/>
      <c r="H108" s="151"/>
      <c r="I108" s="151"/>
      <c r="J108" s="151"/>
      <c r="K108" s="151"/>
      <c r="L108" s="151"/>
      <c r="M108" s="151"/>
    </row>
    <row r="109" spans="2:13" x14ac:dyDescent="0.3">
      <c r="B109" s="44"/>
      <c r="C109" s="44"/>
      <c r="D109" s="44"/>
      <c r="E109" s="149"/>
      <c r="F109" s="149"/>
      <c r="G109" s="151"/>
      <c r="H109" s="151"/>
      <c r="I109" s="151"/>
      <c r="J109" s="151"/>
      <c r="K109" s="151"/>
      <c r="L109" s="151"/>
      <c r="M109" s="151"/>
    </row>
    <row r="110" spans="2:13" x14ac:dyDescent="0.3">
      <c r="B110" s="44"/>
      <c r="C110" s="44"/>
      <c r="D110" s="44"/>
      <c r="E110" s="149"/>
      <c r="F110" s="149"/>
      <c r="G110" s="151"/>
      <c r="H110" s="151"/>
      <c r="I110" s="151"/>
      <c r="J110" s="151"/>
      <c r="K110" s="151"/>
      <c r="L110" s="151"/>
      <c r="M110" s="151"/>
    </row>
    <row r="111" spans="2:13" x14ac:dyDescent="0.3">
      <c r="B111" s="44"/>
      <c r="C111" s="44"/>
      <c r="D111" s="44"/>
      <c r="E111" s="149"/>
      <c r="F111" s="149"/>
      <c r="G111" s="151"/>
      <c r="H111" s="151"/>
      <c r="I111" s="151"/>
      <c r="J111" s="151"/>
      <c r="K111" s="151"/>
      <c r="L111" s="151"/>
      <c r="M111" s="151"/>
    </row>
    <row r="112" spans="2:13" x14ac:dyDescent="0.3">
      <c r="B112" s="44"/>
      <c r="C112" s="44"/>
      <c r="D112" s="44"/>
      <c r="E112" s="149"/>
      <c r="F112" s="149"/>
      <c r="G112" s="151"/>
      <c r="H112" s="151"/>
      <c r="I112" s="151"/>
      <c r="J112" s="151"/>
      <c r="K112" s="151"/>
      <c r="L112" s="151"/>
      <c r="M112" s="151"/>
    </row>
    <row r="113" spans="2:13" x14ac:dyDescent="0.3">
      <c r="B113" s="44"/>
      <c r="C113" s="44"/>
      <c r="D113" s="44"/>
      <c r="E113" s="149"/>
      <c r="F113" s="149"/>
      <c r="G113" s="151"/>
      <c r="H113" s="151"/>
      <c r="I113" s="151"/>
      <c r="J113" s="151"/>
      <c r="K113" s="151"/>
      <c r="L113" s="151"/>
      <c r="M113" s="151"/>
    </row>
    <row r="114" spans="2:13" x14ac:dyDescent="0.3">
      <c r="B114" s="44"/>
      <c r="C114" s="44"/>
      <c r="D114" s="44"/>
      <c r="E114" s="149"/>
      <c r="F114" s="149"/>
      <c r="G114" s="151"/>
      <c r="H114" s="151"/>
      <c r="I114" s="151"/>
      <c r="J114" s="151"/>
      <c r="K114" s="151"/>
      <c r="L114" s="151"/>
      <c r="M114" s="151"/>
    </row>
    <row r="115" spans="2:13" x14ac:dyDescent="0.3">
      <c r="B115" s="44"/>
      <c r="C115" s="44"/>
      <c r="D115" s="44"/>
      <c r="E115" s="149"/>
      <c r="F115" s="149"/>
      <c r="G115" s="151"/>
      <c r="H115" s="151"/>
      <c r="I115" s="151"/>
      <c r="J115" s="151"/>
      <c r="K115" s="151"/>
      <c r="L115" s="151"/>
      <c r="M115" s="151"/>
    </row>
    <row r="116" spans="2:13" x14ac:dyDescent="0.3">
      <c r="B116" s="44"/>
      <c r="C116" s="44"/>
      <c r="D116" s="44"/>
      <c r="E116" s="149"/>
      <c r="F116" s="149"/>
      <c r="G116" s="151"/>
      <c r="H116" s="151"/>
      <c r="I116" s="151"/>
      <c r="J116" s="151"/>
      <c r="K116" s="151"/>
      <c r="L116" s="151"/>
      <c r="M116" s="151"/>
    </row>
    <row r="117" spans="2:13" x14ac:dyDescent="0.3">
      <c r="B117" s="44"/>
      <c r="C117" s="44"/>
      <c r="D117" s="44"/>
      <c r="E117" s="149"/>
      <c r="F117" s="149"/>
      <c r="G117" s="151"/>
      <c r="H117" s="151"/>
      <c r="I117" s="151"/>
      <c r="J117" s="151"/>
      <c r="K117" s="151"/>
      <c r="L117" s="151"/>
      <c r="M117" s="151"/>
    </row>
    <row r="118" spans="2:13" x14ac:dyDescent="0.3">
      <c r="B118" s="44"/>
      <c r="C118" s="44"/>
      <c r="D118" s="44"/>
      <c r="E118" s="149"/>
      <c r="F118" s="149"/>
      <c r="G118" s="151"/>
      <c r="H118" s="151"/>
      <c r="I118" s="151"/>
      <c r="J118" s="151"/>
      <c r="K118" s="151"/>
      <c r="L118" s="151"/>
      <c r="M118" s="151"/>
    </row>
    <row r="119" spans="2:13" x14ac:dyDescent="0.3">
      <c r="B119" s="44"/>
      <c r="C119" s="44"/>
      <c r="D119" s="44"/>
      <c r="E119" s="149"/>
      <c r="F119" s="149"/>
      <c r="G119" s="151"/>
      <c r="H119" s="151"/>
      <c r="I119" s="151"/>
      <c r="J119" s="151"/>
      <c r="K119" s="151"/>
      <c r="L119" s="151"/>
      <c r="M119" s="151"/>
    </row>
    <row r="120" spans="2:13" x14ac:dyDescent="0.3">
      <c r="B120" s="44"/>
      <c r="C120" s="44"/>
      <c r="D120" s="44"/>
      <c r="E120" s="149"/>
      <c r="F120" s="149"/>
      <c r="G120" s="151"/>
      <c r="H120" s="151"/>
      <c r="I120" s="151"/>
      <c r="J120" s="151"/>
      <c r="K120" s="151"/>
      <c r="L120" s="151"/>
      <c r="M120" s="151"/>
    </row>
    <row r="121" spans="2:13" x14ac:dyDescent="0.3">
      <c r="B121" s="44"/>
      <c r="C121" s="44"/>
      <c r="D121" s="44"/>
      <c r="E121" s="149"/>
      <c r="F121" s="149"/>
      <c r="G121" s="151"/>
      <c r="H121" s="151"/>
      <c r="I121" s="151"/>
      <c r="J121" s="151"/>
      <c r="K121" s="151"/>
      <c r="L121" s="151"/>
      <c r="M121" s="151"/>
    </row>
    <row r="122" spans="2:13" x14ac:dyDescent="0.3">
      <c r="B122" s="44"/>
      <c r="C122" s="44"/>
      <c r="D122" s="44"/>
      <c r="E122" s="149"/>
      <c r="F122" s="149"/>
      <c r="G122" s="151"/>
      <c r="H122" s="151"/>
      <c r="I122" s="151"/>
      <c r="J122" s="151"/>
      <c r="K122" s="151"/>
      <c r="L122" s="151"/>
      <c r="M122" s="151"/>
    </row>
    <row r="123" spans="2:13" x14ac:dyDescent="0.3">
      <c r="B123" s="44"/>
      <c r="C123" s="44"/>
      <c r="D123" s="44"/>
      <c r="E123" s="149"/>
      <c r="F123" s="149"/>
      <c r="G123" s="151"/>
      <c r="H123" s="151"/>
      <c r="I123" s="151"/>
      <c r="J123" s="151"/>
      <c r="K123" s="151"/>
      <c r="L123" s="151"/>
      <c r="M123" s="151"/>
    </row>
    <row r="124" spans="2:13" x14ac:dyDescent="0.3">
      <c r="B124" s="44"/>
      <c r="C124" s="44"/>
      <c r="D124" s="44"/>
      <c r="E124" s="149"/>
      <c r="F124" s="149"/>
      <c r="G124" s="151"/>
      <c r="H124" s="151"/>
      <c r="I124" s="151"/>
      <c r="J124" s="151"/>
      <c r="K124" s="151"/>
      <c r="L124" s="151"/>
      <c r="M124" s="151"/>
    </row>
    <row r="125" spans="2:13" x14ac:dyDescent="0.3">
      <c r="B125" s="44"/>
      <c r="C125" s="44"/>
      <c r="D125" s="44"/>
      <c r="E125" s="149"/>
      <c r="F125" s="149"/>
      <c r="G125" s="151"/>
      <c r="H125" s="151"/>
      <c r="I125" s="151"/>
      <c r="J125" s="151"/>
      <c r="K125" s="151"/>
      <c r="L125" s="151"/>
      <c r="M125" s="151"/>
    </row>
    <row r="126" spans="2:13" x14ac:dyDescent="0.3">
      <c r="B126" s="44"/>
      <c r="C126" s="44"/>
      <c r="D126" s="44"/>
      <c r="E126" s="149"/>
      <c r="F126" s="149"/>
      <c r="G126" s="151"/>
      <c r="H126" s="151"/>
      <c r="I126" s="151"/>
      <c r="J126" s="151"/>
      <c r="K126" s="151"/>
      <c r="L126" s="151"/>
      <c r="M126" s="151"/>
    </row>
    <row r="127" spans="2:13" x14ac:dyDescent="0.3">
      <c r="B127" s="44"/>
      <c r="C127" s="44"/>
      <c r="D127" s="44"/>
      <c r="E127" s="149"/>
      <c r="F127" s="149"/>
      <c r="G127" s="151"/>
      <c r="H127" s="151"/>
      <c r="I127" s="151"/>
      <c r="J127" s="151"/>
      <c r="K127" s="151"/>
      <c r="L127" s="151"/>
      <c r="M127" s="151"/>
    </row>
    <row r="128" spans="2:13" x14ac:dyDescent="0.3">
      <c r="B128" s="44"/>
      <c r="C128" s="44"/>
      <c r="D128" s="44"/>
      <c r="E128" s="149"/>
      <c r="F128" s="149"/>
      <c r="G128" s="151"/>
      <c r="H128" s="151"/>
      <c r="I128" s="151"/>
      <c r="J128" s="151"/>
      <c r="K128" s="151"/>
      <c r="L128" s="151"/>
      <c r="M128" s="151"/>
    </row>
    <row r="129" spans="2:13" x14ac:dyDescent="0.3">
      <c r="B129" s="44"/>
      <c r="C129" s="44"/>
      <c r="D129" s="44"/>
      <c r="E129" s="149"/>
      <c r="F129" s="149"/>
      <c r="G129" s="151"/>
      <c r="H129" s="151"/>
      <c r="I129" s="151"/>
      <c r="J129" s="151"/>
      <c r="K129" s="151"/>
      <c r="L129" s="151"/>
      <c r="M129" s="151"/>
    </row>
    <row r="130" spans="2:13" x14ac:dyDescent="0.3">
      <c r="B130" s="44"/>
      <c r="C130" s="44"/>
      <c r="D130" s="44"/>
      <c r="E130" s="149"/>
      <c r="F130" s="149"/>
      <c r="G130" s="151"/>
      <c r="H130" s="151"/>
      <c r="I130" s="151"/>
      <c r="J130" s="151"/>
      <c r="K130" s="151"/>
      <c r="L130" s="151"/>
      <c r="M130" s="151"/>
    </row>
    <row r="131" spans="2:13" x14ac:dyDescent="0.3">
      <c r="B131" s="44"/>
      <c r="C131" s="44"/>
      <c r="D131" s="44"/>
      <c r="E131" s="149"/>
      <c r="F131" s="149"/>
      <c r="G131" s="151"/>
      <c r="H131" s="151"/>
      <c r="I131" s="151"/>
      <c r="J131" s="151"/>
      <c r="K131" s="151"/>
      <c r="L131" s="151"/>
      <c r="M131" s="151"/>
    </row>
    <row r="132" spans="2:13" x14ac:dyDescent="0.3">
      <c r="B132" s="44"/>
      <c r="C132" s="44"/>
      <c r="D132" s="44"/>
      <c r="E132" s="149"/>
      <c r="F132" s="149"/>
      <c r="G132" s="151"/>
      <c r="H132" s="151"/>
      <c r="I132" s="151"/>
      <c r="J132" s="151"/>
      <c r="K132" s="151"/>
      <c r="L132" s="151"/>
      <c r="M132" s="151"/>
    </row>
    <row r="133" spans="2:13" x14ac:dyDescent="0.3">
      <c r="B133" s="44"/>
      <c r="C133" s="44"/>
      <c r="D133" s="44"/>
      <c r="E133" s="149"/>
      <c r="F133" s="149"/>
      <c r="G133" s="151"/>
      <c r="H133" s="151"/>
      <c r="I133" s="151"/>
      <c r="J133" s="151"/>
      <c r="K133" s="151"/>
      <c r="L133" s="151"/>
      <c r="M133" s="151"/>
    </row>
    <row r="134" spans="2:13" x14ac:dyDescent="0.3">
      <c r="B134" s="44"/>
      <c r="C134" s="44"/>
      <c r="D134" s="44"/>
      <c r="E134" s="149"/>
      <c r="F134" s="149"/>
      <c r="G134" s="151"/>
      <c r="H134" s="151"/>
      <c r="I134" s="151"/>
      <c r="J134" s="151"/>
      <c r="K134" s="151"/>
      <c r="L134" s="151"/>
      <c r="M134" s="151"/>
    </row>
    <row r="135" spans="2:13" x14ac:dyDescent="0.3">
      <c r="B135" s="44"/>
      <c r="C135" s="44"/>
      <c r="D135" s="44"/>
      <c r="E135" s="149"/>
      <c r="F135" s="149"/>
      <c r="G135" s="151"/>
      <c r="H135" s="151"/>
      <c r="I135" s="151"/>
      <c r="J135" s="151"/>
      <c r="K135" s="151"/>
      <c r="L135" s="151"/>
      <c r="M135" s="151"/>
    </row>
    <row r="136" spans="2:13" x14ac:dyDescent="0.3">
      <c r="B136" s="44"/>
      <c r="C136" s="44"/>
      <c r="D136" s="44"/>
      <c r="E136" s="149"/>
      <c r="F136" s="149"/>
      <c r="G136" s="151"/>
      <c r="H136" s="151"/>
      <c r="I136" s="151"/>
      <c r="J136" s="151"/>
      <c r="K136" s="151"/>
      <c r="L136" s="151"/>
      <c r="M136" s="151"/>
    </row>
    <row r="137" spans="2:13" x14ac:dyDescent="0.3">
      <c r="B137" s="44"/>
      <c r="C137" s="44"/>
      <c r="D137" s="44"/>
      <c r="E137" s="149"/>
      <c r="F137" s="149"/>
      <c r="G137" s="151"/>
      <c r="H137" s="151"/>
      <c r="I137" s="151"/>
      <c r="J137" s="151"/>
      <c r="K137" s="151"/>
      <c r="L137" s="151"/>
      <c r="M137" s="151"/>
    </row>
    <row r="138" spans="2:13" x14ac:dyDescent="0.3">
      <c r="B138" s="44"/>
      <c r="C138" s="44"/>
      <c r="D138" s="44"/>
      <c r="E138" s="149"/>
      <c r="F138" s="149"/>
      <c r="G138" s="151"/>
      <c r="H138" s="151"/>
      <c r="I138" s="151"/>
      <c r="J138" s="151"/>
      <c r="K138" s="151"/>
      <c r="L138" s="151"/>
      <c r="M138" s="151"/>
    </row>
    <row r="139" spans="2:13" x14ac:dyDescent="0.3">
      <c r="B139" s="44"/>
      <c r="C139" s="44"/>
      <c r="D139" s="44"/>
      <c r="E139" s="149"/>
      <c r="F139" s="149"/>
      <c r="G139" s="151"/>
      <c r="H139" s="151"/>
      <c r="I139" s="151"/>
      <c r="J139" s="151"/>
      <c r="K139" s="151"/>
      <c r="L139" s="151"/>
      <c r="M139" s="151"/>
    </row>
    <row r="140" spans="2:13" x14ac:dyDescent="0.3">
      <c r="B140" s="44"/>
      <c r="C140" s="44"/>
      <c r="D140" s="44"/>
      <c r="E140" s="149"/>
      <c r="F140" s="149"/>
      <c r="G140" s="151"/>
      <c r="H140" s="151"/>
      <c r="I140" s="151"/>
      <c r="J140" s="151"/>
      <c r="K140" s="151"/>
      <c r="L140" s="151"/>
      <c r="M140" s="151"/>
    </row>
    <row r="141" spans="2:13" x14ac:dyDescent="0.3">
      <c r="B141" s="44"/>
      <c r="C141" s="44"/>
      <c r="D141" s="44"/>
      <c r="E141" s="149"/>
      <c r="F141" s="149"/>
      <c r="G141" s="151"/>
      <c r="H141" s="151"/>
      <c r="I141" s="151"/>
      <c r="J141" s="151"/>
      <c r="K141" s="151"/>
      <c r="L141" s="151"/>
      <c r="M141" s="151"/>
    </row>
    <row r="142" spans="2:13" x14ac:dyDescent="0.3">
      <c r="B142" s="44"/>
      <c r="C142" s="44"/>
      <c r="D142" s="44"/>
      <c r="E142" s="149"/>
      <c r="F142" s="149"/>
      <c r="G142" s="151"/>
      <c r="H142" s="151"/>
      <c r="I142" s="151"/>
      <c r="J142" s="151"/>
      <c r="K142" s="151"/>
      <c r="L142" s="151"/>
      <c r="M142" s="151"/>
    </row>
    <row r="143" spans="2:13" x14ac:dyDescent="0.3">
      <c r="B143" s="44"/>
      <c r="C143" s="44"/>
      <c r="D143" s="44"/>
      <c r="E143" s="149"/>
      <c r="F143" s="149"/>
      <c r="G143" s="151"/>
      <c r="H143" s="151"/>
      <c r="I143" s="151"/>
      <c r="J143" s="151"/>
      <c r="K143" s="151"/>
      <c r="L143" s="151"/>
      <c r="M143" s="151"/>
    </row>
    <row r="144" spans="2:13" x14ac:dyDescent="0.3">
      <c r="B144" s="44"/>
      <c r="C144" s="44"/>
      <c r="D144" s="44"/>
      <c r="E144" s="149"/>
      <c r="F144" s="149"/>
      <c r="G144" s="151"/>
      <c r="H144" s="151"/>
      <c r="I144" s="151"/>
      <c r="J144" s="151"/>
      <c r="K144" s="151"/>
      <c r="L144" s="151"/>
      <c r="M144" s="151"/>
    </row>
    <row r="145" spans="2:13" x14ac:dyDescent="0.3">
      <c r="B145" s="44"/>
      <c r="C145" s="44"/>
      <c r="D145" s="44"/>
      <c r="E145" s="149"/>
      <c r="F145" s="149"/>
      <c r="G145" s="151"/>
      <c r="H145" s="151"/>
      <c r="I145" s="151"/>
      <c r="J145" s="151"/>
      <c r="K145" s="151"/>
      <c r="L145" s="151"/>
      <c r="M145" s="151"/>
    </row>
    <row r="146" spans="2:13" x14ac:dyDescent="0.3">
      <c r="B146" s="44"/>
      <c r="C146" s="44"/>
      <c r="D146" s="44"/>
      <c r="E146" s="149"/>
      <c r="F146" s="149"/>
      <c r="G146" s="151"/>
      <c r="H146" s="151"/>
      <c r="I146" s="151"/>
      <c r="J146" s="151"/>
      <c r="K146" s="151"/>
      <c r="L146" s="151"/>
      <c r="M146" s="151"/>
    </row>
    <row r="147" spans="2:13" x14ac:dyDescent="0.3">
      <c r="B147" s="44"/>
      <c r="C147" s="44"/>
      <c r="D147" s="44"/>
      <c r="E147" s="149"/>
      <c r="F147" s="149"/>
      <c r="G147" s="151"/>
      <c r="H147" s="151"/>
      <c r="I147" s="151"/>
      <c r="J147" s="151"/>
      <c r="K147" s="151"/>
      <c r="L147" s="151"/>
      <c r="M147" s="151"/>
    </row>
    <row r="148" spans="2:13" x14ac:dyDescent="0.3">
      <c r="B148" s="44"/>
      <c r="C148" s="44"/>
      <c r="D148" s="44"/>
      <c r="E148" s="149"/>
      <c r="F148" s="149"/>
      <c r="G148" s="151"/>
      <c r="H148" s="151"/>
      <c r="I148" s="151"/>
      <c r="J148" s="151"/>
      <c r="K148" s="151"/>
      <c r="L148" s="151"/>
      <c r="M148" s="151"/>
    </row>
    <row r="149" spans="2:13" x14ac:dyDescent="0.3">
      <c r="B149" s="44"/>
      <c r="C149" s="44"/>
      <c r="D149" s="44"/>
      <c r="E149" s="149"/>
      <c r="F149" s="149"/>
      <c r="G149" s="151"/>
      <c r="H149" s="151"/>
      <c r="I149" s="151"/>
      <c r="J149" s="151"/>
      <c r="K149" s="151"/>
      <c r="L149" s="151"/>
      <c r="M149" s="151"/>
    </row>
    <row r="150" spans="2:13" x14ac:dyDescent="0.3">
      <c r="B150" s="44"/>
      <c r="C150" s="44"/>
      <c r="D150" s="44"/>
      <c r="E150" s="149"/>
      <c r="F150" s="149"/>
      <c r="G150" s="151"/>
      <c r="H150" s="151"/>
      <c r="I150" s="151"/>
      <c r="J150" s="151"/>
      <c r="K150" s="151"/>
      <c r="L150" s="151"/>
      <c r="M150" s="151"/>
    </row>
    <row r="151" spans="2:13" x14ac:dyDescent="0.3">
      <c r="B151" s="44"/>
      <c r="C151" s="44"/>
      <c r="D151" s="44"/>
      <c r="E151" s="149"/>
      <c r="F151" s="149"/>
      <c r="G151" s="151"/>
      <c r="H151" s="151"/>
      <c r="I151" s="151"/>
      <c r="J151" s="151"/>
      <c r="K151" s="151"/>
      <c r="L151" s="151"/>
      <c r="M151" s="151"/>
    </row>
    <row r="152" spans="2:13" x14ac:dyDescent="0.3">
      <c r="B152" s="44"/>
      <c r="C152" s="44"/>
      <c r="D152" s="44"/>
      <c r="E152" s="149"/>
      <c r="F152" s="149"/>
      <c r="G152" s="151"/>
      <c r="H152" s="151"/>
      <c r="I152" s="151"/>
      <c r="J152" s="151"/>
      <c r="K152" s="151"/>
      <c r="L152" s="151"/>
      <c r="M152" s="151"/>
    </row>
    <row r="153" spans="2:13" x14ac:dyDescent="0.3">
      <c r="B153" s="44"/>
      <c r="C153" s="44"/>
      <c r="D153" s="44"/>
      <c r="E153" s="149"/>
      <c r="F153" s="149"/>
      <c r="G153" s="151"/>
      <c r="H153" s="151"/>
      <c r="I153" s="151"/>
      <c r="J153" s="151"/>
      <c r="K153" s="151"/>
      <c r="L153" s="151"/>
      <c r="M153" s="151"/>
    </row>
    <row r="154" spans="2:13" x14ac:dyDescent="0.3">
      <c r="B154" s="44"/>
      <c r="C154" s="44"/>
      <c r="D154" s="44"/>
      <c r="E154" s="149"/>
      <c r="F154" s="149"/>
      <c r="G154" s="151"/>
      <c r="H154" s="151"/>
      <c r="I154" s="151"/>
      <c r="J154" s="151"/>
      <c r="K154" s="151"/>
      <c r="L154" s="151"/>
      <c r="M154" s="151"/>
    </row>
    <row r="155" spans="2:13" x14ac:dyDescent="0.3">
      <c r="B155" s="44"/>
      <c r="C155" s="44"/>
      <c r="D155" s="44"/>
      <c r="E155" s="149"/>
      <c r="F155" s="149"/>
      <c r="G155" s="151"/>
      <c r="H155" s="151"/>
      <c r="I155" s="151"/>
      <c r="J155" s="151"/>
      <c r="K155" s="151"/>
      <c r="L155" s="151"/>
      <c r="M155" s="151"/>
    </row>
    <row r="156" spans="2:13" x14ac:dyDescent="0.3">
      <c r="B156" s="44"/>
      <c r="C156" s="44"/>
      <c r="D156" s="44"/>
      <c r="E156" s="149"/>
      <c r="F156" s="149"/>
      <c r="G156" s="151"/>
      <c r="H156" s="151"/>
      <c r="I156" s="151"/>
      <c r="J156" s="151"/>
      <c r="K156" s="151"/>
      <c r="L156" s="151"/>
      <c r="M156" s="151"/>
    </row>
    <row r="157" spans="2:13" x14ac:dyDescent="0.3">
      <c r="B157" s="44"/>
      <c r="C157" s="44"/>
      <c r="D157" s="44"/>
      <c r="E157" s="149"/>
      <c r="F157" s="149"/>
      <c r="G157" s="151"/>
      <c r="H157" s="151"/>
      <c r="I157" s="151"/>
      <c r="J157" s="151"/>
      <c r="K157" s="151"/>
      <c r="L157" s="151"/>
      <c r="M157" s="151"/>
    </row>
    <row r="158" spans="2:13" x14ac:dyDescent="0.3">
      <c r="B158" s="44"/>
      <c r="C158" s="44"/>
      <c r="D158" s="44"/>
      <c r="E158" s="149"/>
      <c r="F158" s="149"/>
      <c r="G158" s="151"/>
      <c r="H158" s="151"/>
      <c r="I158" s="151"/>
      <c r="J158" s="151"/>
      <c r="K158" s="151"/>
      <c r="L158" s="151"/>
      <c r="M158" s="151"/>
    </row>
    <row r="159" spans="2:13" x14ac:dyDescent="0.3">
      <c r="B159" s="44"/>
      <c r="C159" s="44"/>
      <c r="D159" s="44"/>
      <c r="E159" s="149"/>
      <c r="F159" s="149"/>
      <c r="G159" s="151"/>
      <c r="H159" s="151"/>
      <c r="I159" s="151"/>
      <c r="J159" s="151"/>
      <c r="K159" s="151"/>
      <c r="L159" s="151"/>
      <c r="M159" s="151"/>
    </row>
    <row r="160" spans="2:13" x14ac:dyDescent="0.3">
      <c r="B160" s="44"/>
      <c r="C160" s="44"/>
      <c r="D160" s="44"/>
      <c r="E160" s="149"/>
      <c r="F160" s="149"/>
      <c r="G160" s="151"/>
      <c r="H160" s="151"/>
      <c r="I160" s="151"/>
      <c r="J160" s="151"/>
      <c r="K160" s="151"/>
      <c r="L160" s="151"/>
      <c r="M160" s="151"/>
    </row>
    <row r="161" spans="2:13" x14ac:dyDescent="0.3">
      <c r="B161" s="44"/>
      <c r="C161" s="44"/>
      <c r="D161" s="44"/>
      <c r="E161" s="149"/>
      <c r="F161" s="149"/>
      <c r="G161" s="151"/>
      <c r="H161" s="151"/>
      <c r="I161" s="151"/>
      <c r="J161" s="151"/>
      <c r="K161" s="151"/>
      <c r="L161" s="151"/>
      <c r="M161" s="151"/>
    </row>
    <row r="162" spans="2:13" x14ac:dyDescent="0.3">
      <c r="B162" s="44"/>
      <c r="C162" s="44"/>
      <c r="D162" s="44"/>
      <c r="E162" s="149"/>
      <c r="F162" s="149"/>
      <c r="G162" s="151"/>
      <c r="H162" s="151"/>
      <c r="I162" s="151"/>
      <c r="J162" s="151"/>
      <c r="K162" s="151"/>
      <c r="L162" s="151"/>
      <c r="M162" s="151"/>
    </row>
    <row r="163" spans="2:13" x14ac:dyDescent="0.3">
      <c r="B163" s="44"/>
      <c r="C163" s="44"/>
      <c r="D163" s="44"/>
      <c r="E163" s="149"/>
      <c r="F163" s="149"/>
      <c r="G163" s="151"/>
      <c r="H163" s="151"/>
      <c r="I163" s="151"/>
      <c r="J163" s="151"/>
      <c r="K163" s="151"/>
      <c r="L163" s="151"/>
      <c r="M163" s="151"/>
    </row>
    <row r="164" spans="2:13" x14ac:dyDescent="0.3">
      <c r="B164" s="44"/>
      <c r="C164" s="44"/>
      <c r="D164" s="44"/>
      <c r="E164" s="149"/>
      <c r="F164" s="149"/>
      <c r="G164" s="151"/>
      <c r="H164" s="151"/>
      <c r="I164" s="151"/>
      <c r="J164" s="151"/>
      <c r="K164" s="151"/>
      <c r="L164" s="151"/>
      <c r="M164" s="151"/>
    </row>
    <row r="165" spans="2:13" x14ac:dyDescent="0.3">
      <c r="B165" s="44"/>
      <c r="C165" s="44"/>
      <c r="D165" s="44"/>
      <c r="E165" s="149"/>
      <c r="F165" s="149"/>
      <c r="G165" s="151"/>
      <c r="H165" s="151"/>
      <c r="I165" s="151"/>
      <c r="J165" s="151"/>
      <c r="K165" s="151"/>
      <c r="L165" s="151"/>
      <c r="M165" s="151"/>
    </row>
    <row r="166" spans="2:13" x14ac:dyDescent="0.3">
      <c r="B166" s="44"/>
      <c r="C166" s="44"/>
      <c r="D166" s="44"/>
      <c r="E166" s="149"/>
      <c r="F166" s="149"/>
      <c r="G166" s="151"/>
      <c r="H166" s="151"/>
      <c r="I166" s="151"/>
      <c r="J166" s="151"/>
      <c r="K166" s="151"/>
      <c r="L166" s="151"/>
      <c r="M166" s="151"/>
    </row>
    <row r="167" spans="2:13" x14ac:dyDescent="0.3">
      <c r="B167" s="44"/>
      <c r="C167" s="44"/>
      <c r="D167" s="44"/>
      <c r="E167" s="149"/>
      <c r="F167" s="149"/>
      <c r="G167" s="151"/>
      <c r="H167" s="151"/>
      <c r="I167" s="151"/>
      <c r="J167" s="151"/>
      <c r="K167" s="151"/>
      <c r="L167" s="151"/>
      <c r="M167" s="151"/>
    </row>
    <row r="168" spans="2:13" x14ac:dyDescent="0.3">
      <c r="B168" s="44"/>
      <c r="C168" s="44"/>
      <c r="D168" s="44"/>
      <c r="E168" s="149"/>
      <c r="F168" s="149"/>
      <c r="G168" s="151"/>
      <c r="H168" s="151"/>
      <c r="I168" s="151"/>
      <c r="J168" s="151"/>
      <c r="K168" s="151"/>
      <c r="L168" s="151"/>
      <c r="M168" s="151"/>
    </row>
    <row r="169" spans="2:13" x14ac:dyDescent="0.3">
      <c r="B169" s="44"/>
      <c r="C169" s="44"/>
      <c r="D169" s="44"/>
      <c r="E169" s="149"/>
      <c r="F169" s="149"/>
      <c r="G169" s="151"/>
      <c r="H169" s="151"/>
      <c r="I169" s="151"/>
      <c r="J169" s="151"/>
      <c r="K169" s="151"/>
      <c r="L169" s="151"/>
      <c r="M169" s="151"/>
    </row>
    <row r="170" spans="2:13" x14ac:dyDescent="0.3">
      <c r="B170" s="44"/>
      <c r="C170" s="44"/>
      <c r="D170" s="44"/>
      <c r="E170" s="149"/>
      <c r="F170" s="149"/>
      <c r="G170" s="151"/>
      <c r="H170" s="151"/>
      <c r="I170" s="151"/>
      <c r="J170" s="151"/>
      <c r="K170" s="151"/>
      <c r="L170" s="151"/>
      <c r="M170" s="151"/>
    </row>
    <row r="171" spans="2:13" x14ac:dyDescent="0.3">
      <c r="B171" s="44"/>
      <c r="C171" s="44"/>
      <c r="D171" s="44"/>
      <c r="E171" s="149"/>
      <c r="F171" s="149"/>
      <c r="G171" s="151"/>
      <c r="H171" s="151"/>
      <c r="I171" s="151"/>
      <c r="J171" s="151"/>
      <c r="K171" s="151"/>
      <c r="L171" s="151"/>
      <c r="M171" s="151"/>
    </row>
    <row r="172" spans="2:13" x14ac:dyDescent="0.3">
      <c r="B172" s="44"/>
      <c r="C172" s="44"/>
      <c r="D172" s="44"/>
      <c r="E172" s="149"/>
      <c r="F172" s="149"/>
      <c r="G172" s="151"/>
      <c r="H172" s="151"/>
      <c r="I172" s="151"/>
      <c r="J172" s="151"/>
      <c r="K172" s="151"/>
      <c r="L172" s="151"/>
      <c r="M172" s="151"/>
    </row>
    <row r="173" spans="2:13" x14ac:dyDescent="0.3">
      <c r="B173" s="44"/>
      <c r="C173" s="44"/>
      <c r="D173" s="44"/>
      <c r="E173" s="149"/>
      <c r="F173" s="149"/>
      <c r="G173" s="151"/>
      <c r="H173" s="151"/>
      <c r="I173" s="151"/>
      <c r="J173" s="151"/>
      <c r="K173" s="151"/>
      <c r="L173" s="151"/>
      <c r="M173" s="151"/>
    </row>
    <row r="174" spans="2:13" x14ac:dyDescent="0.3">
      <c r="B174" s="44"/>
      <c r="C174" s="44"/>
      <c r="D174" s="44"/>
      <c r="E174" s="149"/>
      <c r="F174" s="149"/>
      <c r="G174" s="151"/>
      <c r="H174" s="151"/>
      <c r="I174" s="151"/>
      <c r="J174" s="151"/>
      <c r="K174" s="151"/>
      <c r="L174" s="151"/>
      <c r="M174" s="151"/>
    </row>
    <row r="175" spans="2:13" x14ac:dyDescent="0.3">
      <c r="B175" s="44"/>
      <c r="C175" s="44"/>
      <c r="D175" s="44"/>
      <c r="E175" s="149"/>
      <c r="F175" s="149"/>
      <c r="G175" s="151"/>
      <c r="H175" s="151"/>
      <c r="I175" s="151"/>
      <c r="J175" s="151"/>
      <c r="K175" s="151"/>
      <c r="L175" s="151"/>
      <c r="M175" s="151"/>
    </row>
    <row r="176" spans="2:13" x14ac:dyDescent="0.3">
      <c r="B176" s="44"/>
      <c r="C176" s="44"/>
      <c r="D176" s="44"/>
      <c r="E176" s="149"/>
      <c r="F176" s="149"/>
      <c r="G176" s="151"/>
      <c r="H176" s="151"/>
      <c r="I176" s="151"/>
      <c r="J176" s="151"/>
      <c r="K176" s="151"/>
      <c r="L176" s="151"/>
      <c r="M176" s="151"/>
    </row>
    <row r="177" spans="2:13" x14ac:dyDescent="0.3">
      <c r="B177" s="44"/>
      <c r="C177" s="44"/>
      <c r="D177" s="44"/>
      <c r="E177" s="149"/>
      <c r="F177" s="149"/>
      <c r="G177" s="151"/>
      <c r="H177" s="151"/>
      <c r="I177" s="151"/>
      <c r="J177" s="151"/>
      <c r="K177" s="151"/>
      <c r="L177" s="151"/>
      <c r="M177" s="151"/>
    </row>
    <row r="178" spans="2:13" x14ac:dyDescent="0.3">
      <c r="B178" s="44"/>
      <c r="C178" s="44"/>
      <c r="D178" s="44"/>
      <c r="E178" s="149"/>
      <c r="F178" s="149"/>
      <c r="G178" s="151"/>
      <c r="H178" s="151"/>
      <c r="I178" s="151"/>
      <c r="J178" s="151"/>
      <c r="K178" s="151"/>
      <c r="L178" s="151"/>
      <c r="M178" s="151"/>
    </row>
    <row r="179" spans="2:13" x14ac:dyDescent="0.3">
      <c r="B179" s="44"/>
      <c r="C179" s="44"/>
      <c r="D179" s="44"/>
      <c r="E179" s="149"/>
      <c r="F179" s="149"/>
      <c r="G179" s="151"/>
      <c r="H179" s="151"/>
      <c r="I179" s="151"/>
      <c r="J179" s="151"/>
      <c r="K179" s="151"/>
      <c r="L179" s="151"/>
      <c r="M179" s="151"/>
    </row>
    <row r="180" spans="2:13" x14ac:dyDescent="0.3">
      <c r="B180" s="44"/>
      <c r="C180" s="44"/>
      <c r="D180" s="44"/>
      <c r="E180" s="149"/>
      <c r="F180" s="149"/>
      <c r="G180" s="151"/>
      <c r="H180" s="151"/>
      <c r="I180" s="151"/>
      <c r="J180" s="151"/>
      <c r="K180" s="151"/>
      <c r="L180" s="151"/>
      <c r="M180" s="151"/>
    </row>
    <row r="181" spans="2:13" x14ac:dyDescent="0.3">
      <c r="B181" s="44"/>
      <c r="C181" s="44"/>
      <c r="D181" s="44"/>
      <c r="E181" s="149"/>
      <c r="F181" s="149"/>
      <c r="G181" s="151"/>
      <c r="H181" s="151"/>
      <c r="I181" s="151"/>
      <c r="J181" s="151"/>
      <c r="K181" s="151"/>
      <c r="L181" s="151"/>
      <c r="M181" s="151"/>
    </row>
    <row r="182" spans="2:13" x14ac:dyDescent="0.3">
      <c r="B182" s="44"/>
      <c r="C182" s="44"/>
      <c r="D182" s="44"/>
      <c r="E182" s="149"/>
      <c r="F182" s="149"/>
      <c r="G182" s="151"/>
      <c r="H182" s="151"/>
      <c r="I182" s="151"/>
      <c r="J182" s="151"/>
      <c r="K182" s="151"/>
      <c r="L182" s="151"/>
      <c r="M182" s="151"/>
    </row>
    <row r="183" spans="2:13" x14ac:dyDescent="0.3">
      <c r="B183" s="44"/>
      <c r="C183" s="44"/>
      <c r="D183" s="44"/>
      <c r="E183" s="149"/>
      <c r="F183" s="149"/>
      <c r="G183" s="151"/>
      <c r="H183" s="151"/>
      <c r="I183" s="151"/>
      <c r="J183" s="151"/>
      <c r="K183" s="151"/>
      <c r="L183" s="151"/>
      <c r="M183" s="151"/>
    </row>
    <row r="184" spans="2:13" x14ac:dyDescent="0.3">
      <c r="B184" s="44"/>
      <c r="C184" s="44"/>
      <c r="D184" s="44"/>
      <c r="E184" s="149"/>
      <c r="F184" s="149"/>
      <c r="G184" s="151"/>
      <c r="H184" s="151"/>
      <c r="I184" s="151"/>
      <c r="J184" s="151"/>
      <c r="K184" s="151"/>
      <c r="L184" s="151"/>
      <c r="M184" s="151"/>
    </row>
    <row r="185" spans="2:13" x14ac:dyDescent="0.3">
      <c r="B185" s="44"/>
      <c r="C185" s="44"/>
      <c r="D185" s="44"/>
      <c r="E185" s="149"/>
      <c r="F185" s="149"/>
      <c r="G185" s="151"/>
      <c r="H185" s="151"/>
      <c r="I185" s="151"/>
      <c r="J185" s="151"/>
      <c r="K185" s="151"/>
      <c r="L185" s="151"/>
      <c r="M185" s="151"/>
    </row>
    <row r="186" spans="2:13" x14ac:dyDescent="0.3">
      <c r="B186" s="44"/>
      <c r="C186" s="44"/>
      <c r="D186" s="44"/>
      <c r="E186" s="149"/>
      <c r="F186" s="149"/>
      <c r="G186" s="151"/>
      <c r="H186" s="151"/>
      <c r="I186" s="151"/>
      <c r="J186" s="151"/>
      <c r="K186" s="151"/>
      <c r="L186" s="151"/>
      <c r="M186" s="151"/>
    </row>
    <row r="187" spans="2:13" x14ac:dyDescent="0.3">
      <c r="B187" s="44"/>
      <c r="C187" s="44"/>
      <c r="D187" s="44"/>
      <c r="E187" s="149"/>
      <c r="F187" s="149"/>
      <c r="G187" s="151"/>
      <c r="H187" s="151"/>
      <c r="I187" s="151"/>
      <c r="J187" s="151"/>
      <c r="K187" s="151"/>
      <c r="L187" s="151"/>
      <c r="M187" s="151"/>
    </row>
    <row r="188" spans="2:13" x14ac:dyDescent="0.3">
      <c r="B188" s="44"/>
      <c r="C188" s="44"/>
      <c r="D188" s="44"/>
      <c r="E188" s="149"/>
      <c r="F188" s="149"/>
      <c r="G188" s="151"/>
      <c r="H188" s="151"/>
      <c r="I188" s="151"/>
      <c r="J188" s="151"/>
      <c r="K188" s="151"/>
      <c r="L188" s="151"/>
      <c r="M188" s="151"/>
    </row>
    <row r="189" spans="2:13" x14ac:dyDescent="0.3">
      <c r="B189" s="44"/>
      <c r="C189" s="44"/>
      <c r="D189" s="44"/>
      <c r="E189" s="149"/>
      <c r="F189" s="149"/>
      <c r="G189" s="151"/>
      <c r="H189" s="151"/>
      <c r="I189" s="151"/>
      <c r="J189" s="151"/>
      <c r="K189" s="151"/>
      <c r="L189" s="151"/>
      <c r="M189" s="151"/>
    </row>
    <row r="190" spans="2:13" x14ac:dyDescent="0.3">
      <c r="B190" s="44"/>
      <c r="C190" s="44"/>
      <c r="D190" s="44"/>
      <c r="E190" s="149"/>
      <c r="F190" s="149"/>
      <c r="G190" s="151"/>
      <c r="H190" s="151"/>
      <c r="I190" s="151"/>
      <c r="J190" s="151"/>
      <c r="K190" s="151"/>
      <c r="L190" s="151"/>
      <c r="M190" s="151"/>
    </row>
    <row r="191" spans="2:13" x14ac:dyDescent="0.3">
      <c r="B191" s="44"/>
      <c r="C191" s="44"/>
      <c r="D191" s="44"/>
      <c r="E191" s="149"/>
      <c r="F191" s="149"/>
      <c r="G191" s="151"/>
      <c r="H191" s="151"/>
      <c r="I191" s="151"/>
      <c r="J191" s="151"/>
      <c r="K191" s="151"/>
      <c r="L191" s="151"/>
      <c r="M191" s="151"/>
    </row>
    <row r="192" spans="2:13" x14ac:dyDescent="0.3">
      <c r="B192" s="44"/>
      <c r="C192" s="44"/>
      <c r="D192" s="44"/>
      <c r="E192" s="149"/>
      <c r="F192" s="149"/>
      <c r="G192" s="151"/>
      <c r="H192" s="151"/>
      <c r="I192" s="151"/>
      <c r="J192" s="151"/>
      <c r="K192" s="151"/>
      <c r="L192" s="151"/>
      <c r="M192" s="151"/>
    </row>
    <row r="193" spans="2:13" x14ac:dyDescent="0.3">
      <c r="B193" s="44"/>
      <c r="C193" s="44"/>
      <c r="D193" s="44"/>
      <c r="E193" s="149"/>
      <c r="F193" s="149"/>
      <c r="G193" s="151"/>
      <c r="H193" s="151"/>
      <c r="I193" s="151"/>
      <c r="J193" s="151"/>
      <c r="K193" s="151"/>
      <c r="L193" s="151"/>
      <c r="M193" s="151"/>
    </row>
    <row r="194" spans="2:13" x14ac:dyDescent="0.3">
      <c r="B194" s="44"/>
      <c r="C194" s="44"/>
      <c r="D194" s="44"/>
      <c r="E194" s="149"/>
      <c r="F194" s="149"/>
      <c r="G194" s="151"/>
      <c r="H194" s="151"/>
      <c r="I194" s="151"/>
      <c r="J194" s="151"/>
      <c r="K194" s="151"/>
      <c r="L194" s="151"/>
      <c r="M194" s="151"/>
    </row>
    <row r="195" spans="2:13" x14ac:dyDescent="0.3">
      <c r="B195" s="44"/>
      <c r="C195" s="44"/>
      <c r="D195" s="44"/>
      <c r="E195" s="149"/>
      <c r="F195" s="149"/>
      <c r="G195" s="151"/>
      <c r="H195" s="151"/>
      <c r="I195" s="151"/>
      <c r="J195" s="151"/>
      <c r="K195" s="151"/>
      <c r="L195" s="151"/>
      <c r="M195" s="151"/>
    </row>
    <row r="196" spans="2:13" x14ac:dyDescent="0.3">
      <c r="B196" s="44"/>
      <c r="C196" s="44"/>
      <c r="D196" s="44"/>
      <c r="E196" s="149"/>
      <c r="F196" s="149"/>
      <c r="G196" s="151"/>
      <c r="H196" s="151"/>
      <c r="I196" s="151"/>
      <c r="J196" s="151"/>
      <c r="K196" s="151"/>
      <c r="L196" s="151"/>
      <c r="M196" s="151"/>
    </row>
    <row r="197" spans="2:13" x14ac:dyDescent="0.3">
      <c r="B197" s="44"/>
      <c r="C197" s="44"/>
      <c r="D197" s="44"/>
      <c r="E197" s="149"/>
      <c r="F197" s="149"/>
      <c r="G197" s="151"/>
      <c r="H197" s="151"/>
      <c r="I197" s="151"/>
      <c r="J197" s="151"/>
      <c r="K197" s="151"/>
      <c r="L197" s="151"/>
      <c r="M197" s="151"/>
    </row>
    <row r="198" spans="2:13" x14ac:dyDescent="0.3">
      <c r="B198" s="44"/>
      <c r="C198" s="44"/>
      <c r="D198" s="44"/>
      <c r="E198" s="149"/>
      <c r="F198" s="149"/>
      <c r="G198" s="151"/>
      <c r="H198" s="151"/>
      <c r="I198" s="151"/>
      <c r="J198" s="151"/>
      <c r="K198" s="151"/>
      <c r="L198" s="151"/>
      <c r="M198" s="151"/>
    </row>
    <row r="199" spans="2:13" x14ac:dyDescent="0.3">
      <c r="B199" s="44"/>
      <c r="C199" s="44"/>
      <c r="D199" s="44"/>
      <c r="E199" s="149"/>
      <c r="F199" s="149"/>
      <c r="G199" s="151"/>
      <c r="H199" s="151"/>
      <c r="I199" s="151"/>
      <c r="J199" s="151"/>
      <c r="K199" s="151"/>
      <c r="L199" s="151"/>
      <c r="M199" s="151"/>
    </row>
    <row r="200" spans="2:13" x14ac:dyDescent="0.3">
      <c r="B200" s="44"/>
      <c r="C200" s="44"/>
      <c r="D200" s="44"/>
      <c r="E200" s="149"/>
      <c r="F200" s="149"/>
      <c r="G200" s="151"/>
      <c r="H200" s="151"/>
      <c r="I200" s="151"/>
      <c r="J200" s="151"/>
      <c r="K200" s="151"/>
      <c r="L200" s="151"/>
      <c r="M200" s="151"/>
    </row>
    <row r="201" spans="2:13" x14ac:dyDescent="0.3">
      <c r="B201" s="44"/>
      <c r="C201" s="44"/>
      <c r="D201" s="44"/>
      <c r="E201" s="149"/>
      <c r="F201" s="149"/>
      <c r="G201" s="151"/>
      <c r="H201" s="151"/>
      <c r="I201" s="151"/>
      <c r="J201" s="151"/>
      <c r="K201" s="151"/>
      <c r="L201" s="151"/>
      <c r="M201" s="151"/>
    </row>
    <row r="202" spans="2:13" x14ac:dyDescent="0.3">
      <c r="B202" s="44"/>
      <c r="C202" s="44"/>
      <c r="D202" s="44"/>
      <c r="E202" s="149"/>
      <c r="F202" s="149"/>
      <c r="G202" s="151"/>
      <c r="H202" s="151"/>
      <c r="I202" s="151"/>
      <c r="J202" s="151"/>
      <c r="K202" s="151"/>
      <c r="L202" s="151"/>
      <c r="M202" s="151"/>
    </row>
    <row r="203" spans="2:13" x14ac:dyDescent="0.3">
      <c r="B203" s="44"/>
      <c r="C203" s="44"/>
      <c r="D203" s="44"/>
      <c r="E203" s="149"/>
      <c r="F203" s="149"/>
      <c r="G203" s="151"/>
      <c r="H203" s="151"/>
      <c r="I203" s="151"/>
      <c r="J203" s="151"/>
      <c r="K203" s="151"/>
      <c r="L203" s="151"/>
      <c r="M203" s="151"/>
    </row>
    <row r="204" spans="2:13" x14ac:dyDescent="0.3">
      <c r="B204" s="44"/>
      <c r="C204" s="44"/>
      <c r="D204" s="44"/>
      <c r="E204" s="149"/>
      <c r="F204" s="149"/>
      <c r="G204" s="151"/>
      <c r="H204" s="151"/>
      <c r="I204" s="151"/>
      <c r="J204" s="151"/>
      <c r="K204" s="151"/>
      <c r="L204" s="151"/>
      <c r="M204" s="151"/>
    </row>
    <row r="205" spans="2:13" x14ac:dyDescent="0.3">
      <c r="B205" s="44"/>
      <c r="C205" s="44"/>
      <c r="D205" s="44"/>
      <c r="E205" s="149"/>
      <c r="F205" s="149"/>
      <c r="G205" s="151"/>
      <c r="H205" s="151"/>
      <c r="I205" s="151"/>
      <c r="J205" s="151"/>
      <c r="K205" s="151"/>
      <c r="L205" s="151"/>
      <c r="M205" s="151"/>
    </row>
    <row r="206" spans="2:13" x14ac:dyDescent="0.3">
      <c r="B206" s="44"/>
      <c r="C206" s="44"/>
      <c r="D206" s="44"/>
      <c r="E206" s="149"/>
      <c r="F206" s="149"/>
      <c r="G206" s="151"/>
      <c r="H206" s="151"/>
      <c r="I206" s="151"/>
      <c r="J206" s="151"/>
      <c r="K206" s="151"/>
      <c r="L206" s="151"/>
      <c r="M206" s="151"/>
    </row>
    <row r="207" spans="2:13" x14ac:dyDescent="0.3">
      <c r="B207" s="44"/>
      <c r="C207" s="44"/>
      <c r="D207" s="44"/>
      <c r="E207" s="149"/>
      <c r="F207" s="149"/>
      <c r="G207" s="151"/>
      <c r="H207" s="151"/>
      <c r="I207" s="151"/>
      <c r="J207" s="151"/>
      <c r="K207" s="151"/>
      <c r="L207" s="151"/>
      <c r="M207" s="151"/>
    </row>
    <row r="208" spans="2:13" x14ac:dyDescent="0.3">
      <c r="B208" s="44"/>
      <c r="C208" s="44"/>
      <c r="D208" s="44"/>
      <c r="E208" s="149"/>
      <c r="F208" s="149"/>
      <c r="G208" s="151"/>
      <c r="H208" s="151"/>
      <c r="I208" s="151"/>
      <c r="J208" s="151"/>
      <c r="K208" s="151"/>
      <c r="L208" s="151"/>
      <c r="M208" s="151"/>
    </row>
    <row r="209" spans="2:13" x14ac:dyDescent="0.3">
      <c r="B209" s="44"/>
      <c r="C209" s="44"/>
      <c r="D209" s="44"/>
      <c r="E209" s="149"/>
      <c r="F209" s="149"/>
      <c r="G209" s="151"/>
      <c r="H209" s="151"/>
      <c r="I209" s="151"/>
      <c r="J209" s="151"/>
      <c r="K209" s="151"/>
      <c r="L209" s="151"/>
      <c r="M209" s="151"/>
    </row>
    <row r="210" spans="2:13" x14ac:dyDescent="0.3">
      <c r="B210" s="44"/>
      <c r="C210" s="44"/>
      <c r="D210" s="44"/>
      <c r="E210" s="149"/>
      <c r="F210" s="149"/>
      <c r="G210" s="151"/>
      <c r="H210" s="151"/>
      <c r="I210" s="151"/>
      <c r="J210" s="151"/>
      <c r="K210" s="151"/>
      <c r="L210" s="151"/>
      <c r="M210" s="151"/>
    </row>
    <row r="211" spans="2:13" x14ac:dyDescent="0.3">
      <c r="B211" s="44"/>
      <c r="C211" s="44"/>
      <c r="D211" s="44"/>
      <c r="E211" s="149"/>
      <c r="F211" s="149"/>
      <c r="G211" s="151"/>
      <c r="H211" s="151"/>
      <c r="I211" s="151"/>
      <c r="J211" s="151"/>
      <c r="K211" s="151"/>
      <c r="L211" s="151"/>
      <c r="M211" s="151"/>
    </row>
    <row r="212" spans="2:13" x14ac:dyDescent="0.3">
      <c r="B212" s="44"/>
      <c r="C212" s="44"/>
      <c r="D212" s="44"/>
      <c r="E212" s="149"/>
      <c r="F212" s="149"/>
      <c r="G212" s="151"/>
      <c r="H212" s="151"/>
      <c r="I212" s="151"/>
      <c r="J212" s="151"/>
      <c r="K212" s="151"/>
      <c r="L212" s="151"/>
      <c r="M212" s="151"/>
    </row>
    <row r="213" spans="2:13" x14ac:dyDescent="0.3">
      <c r="B213" s="44"/>
      <c r="C213" s="44"/>
      <c r="D213" s="44"/>
      <c r="E213" s="149"/>
      <c r="F213" s="149"/>
      <c r="G213" s="151"/>
      <c r="H213" s="151"/>
      <c r="I213" s="151"/>
      <c r="J213" s="151"/>
      <c r="K213" s="151"/>
      <c r="L213" s="151"/>
      <c r="M213" s="151"/>
    </row>
    <row r="214" spans="2:13" x14ac:dyDescent="0.3">
      <c r="B214" s="44"/>
      <c r="C214" s="44"/>
      <c r="D214" s="44"/>
      <c r="E214" s="149"/>
      <c r="F214" s="149"/>
      <c r="G214" s="151"/>
      <c r="H214" s="151"/>
      <c r="I214" s="151"/>
      <c r="J214" s="151"/>
      <c r="K214" s="151"/>
      <c r="L214" s="151"/>
      <c r="M214" s="151"/>
    </row>
    <row r="215" spans="2:13" x14ac:dyDescent="0.3">
      <c r="B215" s="44"/>
      <c r="C215" s="44"/>
      <c r="D215" s="44"/>
      <c r="E215" s="149"/>
      <c r="F215" s="149"/>
      <c r="G215" s="151"/>
      <c r="H215" s="151"/>
      <c r="I215" s="151"/>
      <c r="J215" s="151"/>
      <c r="K215" s="151"/>
      <c r="L215" s="151"/>
      <c r="M215" s="151"/>
    </row>
    <row r="216" spans="2:13" x14ac:dyDescent="0.3">
      <c r="B216" s="44"/>
      <c r="C216" s="44"/>
      <c r="D216" s="44"/>
      <c r="E216" s="149"/>
      <c r="F216" s="149"/>
      <c r="G216" s="151"/>
      <c r="H216" s="151"/>
      <c r="I216" s="151"/>
      <c r="J216" s="151"/>
      <c r="K216" s="151"/>
      <c r="L216" s="151"/>
      <c r="M216" s="151"/>
    </row>
    <row r="217" spans="2:13" x14ac:dyDescent="0.3">
      <c r="B217" s="44"/>
      <c r="C217" s="44"/>
      <c r="D217" s="44"/>
      <c r="E217" s="149"/>
      <c r="F217" s="149"/>
      <c r="G217" s="151"/>
      <c r="H217" s="151"/>
      <c r="I217" s="151"/>
      <c r="J217" s="151"/>
      <c r="K217" s="151"/>
      <c r="L217" s="151"/>
      <c r="M217" s="151"/>
    </row>
    <row r="218" spans="2:13" x14ac:dyDescent="0.3">
      <c r="B218" s="44"/>
      <c r="C218" s="44"/>
      <c r="D218" s="44"/>
      <c r="E218" s="149"/>
      <c r="F218" s="149"/>
      <c r="G218" s="151"/>
      <c r="H218" s="151"/>
      <c r="I218" s="151"/>
      <c r="J218" s="151"/>
      <c r="K218" s="151"/>
      <c r="L218" s="151"/>
      <c r="M218" s="151"/>
    </row>
    <row r="219" spans="2:13" x14ac:dyDescent="0.3">
      <c r="B219" s="44"/>
      <c r="C219" s="44"/>
      <c r="D219" s="44"/>
      <c r="E219" s="149"/>
      <c r="F219" s="149"/>
      <c r="G219" s="151"/>
      <c r="H219" s="151"/>
      <c r="I219" s="151"/>
      <c r="J219" s="151"/>
      <c r="K219" s="151"/>
      <c r="L219" s="151"/>
      <c r="M219" s="151"/>
    </row>
    <row r="220" spans="2:13" x14ac:dyDescent="0.3">
      <c r="B220" s="44"/>
      <c r="C220" s="44"/>
      <c r="D220" s="44"/>
      <c r="E220" s="149"/>
      <c r="F220" s="149"/>
      <c r="G220" s="151"/>
      <c r="H220" s="151"/>
      <c r="I220" s="151"/>
      <c r="J220" s="151"/>
      <c r="K220" s="151"/>
      <c r="L220" s="151"/>
      <c r="M220" s="151"/>
    </row>
    <row r="221" spans="2:13" x14ac:dyDescent="0.3">
      <c r="B221" s="44"/>
      <c r="C221" s="44"/>
      <c r="D221" s="44"/>
      <c r="E221" s="149"/>
      <c r="F221" s="149"/>
      <c r="G221" s="151"/>
      <c r="H221" s="151"/>
      <c r="I221" s="151"/>
      <c r="J221" s="151"/>
      <c r="K221" s="151"/>
      <c r="L221" s="151"/>
      <c r="M221" s="151"/>
    </row>
    <row r="222" spans="2:13" x14ac:dyDescent="0.3">
      <c r="B222" s="44"/>
      <c r="C222" s="44"/>
      <c r="D222" s="44"/>
      <c r="E222" s="149"/>
      <c r="F222" s="149"/>
      <c r="G222" s="151"/>
      <c r="H222" s="151"/>
      <c r="I222" s="151"/>
      <c r="J222" s="151"/>
      <c r="K222" s="151"/>
      <c r="L222" s="151"/>
      <c r="M222" s="151"/>
    </row>
    <row r="223" spans="2:13" x14ac:dyDescent="0.3">
      <c r="B223" s="44"/>
      <c r="C223" s="44"/>
      <c r="D223" s="44"/>
      <c r="E223" s="149"/>
      <c r="F223" s="149"/>
      <c r="G223" s="151"/>
      <c r="H223" s="151"/>
      <c r="I223" s="151"/>
      <c r="J223" s="151"/>
      <c r="K223" s="151"/>
      <c r="L223" s="151"/>
      <c r="M223" s="151"/>
    </row>
    <row r="224" spans="2:13" x14ac:dyDescent="0.3">
      <c r="B224" s="44"/>
      <c r="C224" s="44"/>
      <c r="D224" s="44"/>
      <c r="E224" s="149"/>
      <c r="F224" s="149"/>
      <c r="G224" s="151"/>
      <c r="H224" s="151"/>
      <c r="I224" s="151"/>
      <c r="J224" s="151"/>
      <c r="K224" s="151"/>
      <c r="L224" s="151"/>
      <c r="M224" s="151"/>
    </row>
    <row r="225" spans="2:13" x14ac:dyDescent="0.3">
      <c r="B225" s="44"/>
      <c r="C225" s="44"/>
      <c r="D225" s="44"/>
      <c r="E225" s="149"/>
      <c r="F225" s="149"/>
      <c r="G225" s="151"/>
      <c r="H225" s="151"/>
      <c r="I225" s="151"/>
      <c r="J225" s="151"/>
      <c r="K225" s="151"/>
      <c r="L225" s="151"/>
      <c r="M225" s="151"/>
    </row>
    <row r="226" spans="2:13" x14ac:dyDescent="0.3">
      <c r="B226" s="44"/>
      <c r="C226" s="44"/>
      <c r="D226" s="44"/>
      <c r="E226" s="149"/>
      <c r="F226" s="149"/>
      <c r="G226" s="151"/>
      <c r="H226" s="151"/>
      <c r="I226" s="151"/>
      <c r="J226" s="151"/>
      <c r="K226" s="151"/>
      <c r="L226" s="151"/>
      <c r="M226" s="151"/>
    </row>
    <row r="227" spans="2:13" x14ac:dyDescent="0.3">
      <c r="B227" s="44"/>
      <c r="C227" s="44"/>
      <c r="D227" s="44"/>
      <c r="E227" s="149"/>
      <c r="F227" s="149"/>
      <c r="G227" s="151"/>
      <c r="H227" s="151"/>
      <c r="I227" s="151"/>
      <c r="J227" s="151"/>
      <c r="K227" s="151"/>
      <c r="L227" s="151"/>
      <c r="M227" s="151"/>
    </row>
    <row r="228" spans="2:13" x14ac:dyDescent="0.3">
      <c r="B228" s="44"/>
      <c r="C228" s="44"/>
      <c r="D228" s="44"/>
      <c r="E228" s="149"/>
      <c r="F228" s="149"/>
      <c r="G228" s="151"/>
      <c r="H228" s="151"/>
      <c r="I228" s="151"/>
      <c r="J228" s="151"/>
      <c r="K228" s="151"/>
      <c r="L228" s="151"/>
      <c r="M228" s="151"/>
    </row>
    <row r="229" spans="2:13" x14ac:dyDescent="0.3">
      <c r="B229" s="44"/>
      <c r="C229" s="44"/>
      <c r="D229" s="44"/>
      <c r="E229" s="149"/>
      <c r="F229" s="149"/>
      <c r="G229" s="151"/>
      <c r="H229" s="151"/>
      <c r="I229" s="151"/>
      <c r="J229" s="151"/>
      <c r="K229" s="151"/>
      <c r="L229" s="151"/>
      <c r="M229" s="151"/>
    </row>
    <row r="230" spans="2:13" x14ac:dyDescent="0.3">
      <c r="B230" s="44"/>
      <c r="C230" s="44"/>
      <c r="D230" s="44"/>
      <c r="E230" s="149"/>
      <c r="F230" s="149"/>
      <c r="G230" s="151"/>
      <c r="H230" s="151"/>
      <c r="I230" s="151"/>
      <c r="J230" s="151"/>
      <c r="K230" s="151"/>
      <c r="L230" s="151"/>
      <c r="M230" s="151"/>
    </row>
    <row r="231" spans="2:13" x14ac:dyDescent="0.3">
      <c r="B231" s="44"/>
      <c r="C231" s="44"/>
      <c r="D231" s="44"/>
      <c r="E231" s="149"/>
      <c r="F231" s="149"/>
      <c r="G231" s="151"/>
      <c r="H231" s="151"/>
      <c r="I231" s="151"/>
      <c r="J231" s="151"/>
      <c r="K231" s="151"/>
      <c r="L231" s="151"/>
      <c r="M231" s="151"/>
    </row>
    <row r="232" spans="2:13" x14ac:dyDescent="0.3">
      <c r="B232" s="44"/>
      <c r="C232" s="44"/>
      <c r="D232" s="44"/>
      <c r="E232" s="149"/>
      <c r="F232" s="149"/>
      <c r="G232" s="151"/>
      <c r="H232" s="151"/>
      <c r="I232" s="151"/>
      <c r="J232" s="151"/>
      <c r="K232" s="151"/>
      <c r="L232" s="151"/>
      <c r="M232" s="151"/>
    </row>
    <row r="233" spans="2:13" x14ac:dyDescent="0.3">
      <c r="B233" s="44"/>
      <c r="C233" s="44"/>
      <c r="D233" s="44"/>
      <c r="E233" s="149"/>
      <c r="F233" s="149"/>
      <c r="G233" s="151"/>
      <c r="H233" s="151"/>
      <c r="I233" s="151"/>
      <c r="J233" s="151"/>
      <c r="K233" s="151"/>
      <c r="L233" s="151"/>
      <c r="M233" s="151"/>
    </row>
    <row r="234" spans="2:13" x14ac:dyDescent="0.3">
      <c r="B234" s="44"/>
      <c r="C234" s="44"/>
      <c r="D234" s="44"/>
      <c r="E234" s="149"/>
      <c r="F234" s="149"/>
      <c r="G234" s="151"/>
      <c r="H234" s="151"/>
      <c r="I234" s="151"/>
      <c r="J234" s="151"/>
      <c r="K234" s="151"/>
      <c r="L234" s="151"/>
      <c r="M234" s="151"/>
    </row>
    <row r="235" spans="2:13" x14ac:dyDescent="0.3">
      <c r="B235" s="44"/>
      <c r="C235" s="44"/>
      <c r="D235" s="44"/>
      <c r="E235" s="149"/>
      <c r="F235" s="149"/>
      <c r="G235" s="151"/>
      <c r="H235" s="151"/>
      <c r="I235" s="151"/>
      <c r="J235" s="151"/>
      <c r="K235" s="151"/>
      <c r="L235" s="151"/>
      <c r="M235" s="151"/>
    </row>
    <row r="236" spans="2:13" x14ac:dyDescent="0.3">
      <c r="B236" s="44"/>
      <c r="C236" s="44"/>
      <c r="D236" s="44"/>
      <c r="E236" s="149"/>
      <c r="F236" s="149"/>
      <c r="G236" s="151"/>
      <c r="H236" s="151"/>
      <c r="I236" s="151"/>
      <c r="J236" s="151"/>
      <c r="K236" s="151"/>
      <c r="L236" s="151"/>
      <c r="M236" s="151"/>
    </row>
    <row r="237" spans="2:13" x14ac:dyDescent="0.3">
      <c r="B237" s="44"/>
      <c r="C237" s="44"/>
      <c r="D237" s="44"/>
      <c r="E237" s="149"/>
      <c r="F237" s="149"/>
      <c r="G237" s="151"/>
      <c r="H237" s="151"/>
      <c r="I237" s="151"/>
      <c r="J237" s="151"/>
      <c r="K237" s="151"/>
      <c r="L237" s="151"/>
      <c r="M237" s="151"/>
    </row>
    <row r="238" spans="2:13" x14ac:dyDescent="0.3">
      <c r="B238" s="44"/>
      <c r="C238" s="44"/>
      <c r="D238" s="44"/>
      <c r="E238" s="149"/>
      <c r="F238" s="149"/>
      <c r="G238" s="151"/>
      <c r="H238" s="151"/>
      <c r="I238" s="151"/>
      <c r="J238" s="151"/>
      <c r="K238" s="151"/>
      <c r="L238" s="151"/>
      <c r="M238" s="151"/>
    </row>
    <row r="239" spans="2:13" x14ac:dyDescent="0.3">
      <c r="B239" s="44"/>
      <c r="C239" s="44"/>
      <c r="D239" s="44"/>
      <c r="E239" s="149"/>
      <c r="F239" s="149"/>
      <c r="G239" s="151"/>
      <c r="H239" s="151"/>
      <c r="I239" s="151"/>
      <c r="J239" s="151"/>
      <c r="K239" s="151"/>
      <c r="L239" s="151"/>
      <c r="M239" s="151"/>
    </row>
    <row r="240" spans="2:13" x14ac:dyDescent="0.3">
      <c r="B240" s="44"/>
      <c r="C240" s="44"/>
      <c r="D240" s="44"/>
      <c r="E240" s="149"/>
      <c r="F240" s="149"/>
      <c r="G240" s="151"/>
      <c r="H240" s="151"/>
      <c r="I240" s="151"/>
      <c r="J240" s="151"/>
      <c r="K240" s="151"/>
      <c r="L240" s="151"/>
      <c r="M240" s="151"/>
    </row>
    <row r="241" spans="2:13" x14ac:dyDescent="0.3">
      <c r="B241" s="44"/>
      <c r="C241" s="44"/>
      <c r="D241" s="44"/>
      <c r="E241" s="149"/>
      <c r="F241" s="149"/>
      <c r="G241" s="151"/>
      <c r="H241" s="151"/>
      <c r="I241" s="151"/>
      <c r="J241" s="151"/>
      <c r="K241" s="151"/>
      <c r="L241" s="151"/>
      <c r="M241" s="151"/>
    </row>
    <row r="242" spans="2:13" x14ac:dyDescent="0.3">
      <c r="B242" s="44"/>
      <c r="C242" s="44"/>
      <c r="D242" s="44"/>
      <c r="E242" s="149"/>
      <c r="F242" s="149"/>
      <c r="G242" s="151"/>
      <c r="H242" s="151"/>
      <c r="I242" s="151"/>
      <c r="J242" s="151"/>
      <c r="K242" s="151"/>
      <c r="L242" s="151"/>
      <c r="M242" s="151"/>
    </row>
    <row r="243" spans="2:13" x14ac:dyDescent="0.3">
      <c r="B243" s="44"/>
      <c r="C243" s="44"/>
      <c r="D243" s="44"/>
      <c r="E243" s="149"/>
      <c r="F243" s="149"/>
      <c r="G243" s="151"/>
      <c r="H243" s="151"/>
      <c r="I243" s="151"/>
      <c r="J243" s="151"/>
      <c r="K243" s="151"/>
      <c r="L243" s="151"/>
      <c r="M243" s="151"/>
    </row>
    <row r="244" spans="2:13" x14ac:dyDescent="0.3">
      <c r="B244" s="44"/>
      <c r="C244" s="44"/>
      <c r="D244" s="44"/>
      <c r="E244" s="149"/>
      <c r="F244" s="149"/>
      <c r="G244" s="151"/>
      <c r="H244" s="151"/>
      <c r="I244" s="151"/>
      <c r="J244" s="151"/>
      <c r="K244" s="151"/>
      <c r="L244" s="151"/>
      <c r="M244" s="151"/>
    </row>
    <row r="245" spans="2:13" x14ac:dyDescent="0.3">
      <c r="B245" s="44"/>
      <c r="C245" s="44"/>
      <c r="D245" s="44"/>
      <c r="E245" s="149"/>
      <c r="F245" s="149"/>
      <c r="G245" s="151"/>
      <c r="H245" s="151"/>
      <c r="I245" s="151"/>
      <c r="J245" s="151"/>
      <c r="K245" s="151"/>
      <c r="L245" s="151"/>
      <c r="M245" s="151"/>
    </row>
    <row r="246" spans="2:13" x14ac:dyDescent="0.3">
      <c r="B246" s="44"/>
      <c r="C246" s="44"/>
      <c r="D246" s="44"/>
      <c r="E246" s="149"/>
      <c r="F246" s="149"/>
      <c r="G246" s="151"/>
      <c r="H246" s="151"/>
      <c r="I246" s="151"/>
      <c r="J246" s="151"/>
      <c r="K246" s="151"/>
      <c r="L246" s="151"/>
      <c r="M246" s="151"/>
    </row>
    <row r="247" spans="2:13" x14ac:dyDescent="0.3">
      <c r="B247" s="44"/>
      <c r="C247" s="44"/>
      <c r="D247" s="44"/>
      <c r="E247" s="149"/>
      <c r="F247" s="149"/>
      <c r="G247" s="151"/>
      <c r="H247" s="151"/>
      <c r="I247" s="151"/>
      <c r="J247" s="151"/>
      <c r="K247" s="151"/>
      <c r="L247" s="151"/>
      <c r="M247" s="151"/>
    </row>
    <row r="248" spans="2:13" x14ac:dyDescent="0.3">
      <c r="B248" s="44"/>
      <c r="C248" s="44"/>
      <c r="D248" s="44"/>
      <c r="E248" s="149"/>
      <c r="F248" s="149"/>
      <c r="G248" s="151"/>
      <c r="H248" s="151"/>
      <c r="I248" s="151"/>
      <c r="J248" s="151"/>
      <c r="K248" s="151"/>
      <c r="L248" s="151"/>
      <c r="M248" s="151"/>
    </row>
    <row r="249" spans="2:13" x14ac:dyDescent="0.3">
      <c r="B249" s="44"/>
      <c r="C249" s="44"/>
      <c r="D249" s="44"/>
      <c r="E249" s="149"/>
      <c r="F249" s="149"/>
      <c r="G249" s="151"/>
      <c r="H249" s="151"/>
      <c r="I249" s="151"/>
      <c r="J249" s="151"/>
      <c r="K249" s="151"/>
      <c r="L249" s="151"/>
      <c r="M249" s="151"/>
    </row>
    <row r="250" spans="2:13" x14ac:dyDescent="0.3">
      <c r="B250" s="44"/>
      <c r="C250" s="44"/>
      <c r="D250" s="44"/>
      <c r="E250" s="149"/>
      <c r="F250" s="149"/>
      <c r="G250" s="151"/>
      <c r="H250" s="151"/>
      <c r="I250" s="151"/>
      <c r="J250" s="151"/>
      <c r="K250" s="151"/>
      <c r="L250" s="151"/>
      <c r="M250" s="151"/>
    </row>
    <row r="251" spans="2:13" x14ac:dyDescent="0.3">
      <c r="B251" s="44"/>
      <c r="C251" s="44"/>
      <c r="D251" s="44"/>
      <c r="E251" s="149"/>
      <c r="F251" s="149"/>
      <c r="G251" s="151"/>
      <c r="H251" s="151"/>
      <c r="I251" s="151"/>
      <c r="J251" s="151"/>
      <c r="K251" s="151"/>
      <c r="L251" s="151"/>
      <c r="M251" s="151"/>
    </row>
    <row r="252" spans="2:13" x14ac:dyDescent="0.3">
      <c r="B252" s="44"/>
      <c r="C252" s="44"/>
      <c r="D252" s="44"/>
      <c r="E252" s="149"/>
      <c r="F252" s="149"/>
      <c r="G252" s="151"/>
      <c r="H252" s="151"/>
      <c r="I252" s="151"/>
      <c r="J252" s="151"/>
      <c r="K252" s="151"/>
      <c r="L252" s="151"/>
      <c r="M252" s="151"/>
    </row>
    <row r="253" spans="2:13" x14ac:dyDescent="0.3">
      <c r="B253" s="44"/>
      <c r="C253" s="44"/>
      <c r="D253" s="44"/>
      <c r="E253" s="149"/>
      <c r="F253" s="149"/>
      <c r="G253" s="151"/>
      <c r="H253" s="151"/>
      <c r="I253" s="151"/>
      <c r="J253" s="151"/>
      <c r="K253" s="151"/>
      <c r="L253" s="151"/>
      <c r="M253" s="151"/>
    </row>
    <row r="254" spans="2:13" x14ac:dyDescent="0.3">
      <c r="B254" s="44"/>
      <c r="C254" s="44"/>
      <c r="D254" s="44"/>
      <c r="E254" s="149"/>
      <c r="F254" s="149"/>
      <c r="G254" s="151"/>
      <c r="H254" s="151"/>
      <c r="I254" s="151"/>
      <c r="J254" s="151"/>
      <c r="K254" s="151"/>
      <c r="L254" s="151"/>
      <c r="M254" s="151"/>
    </row>
    <row r="255" spans="2:13" x14ac:dyDescent="0.3">
      <c r="B255" s="44"/>
      <c r="C255" s="44"/>
      <c r="D255" s="44"/>
      <c r="E255" s="149"/>
      <c r="F255" s="149"/>
      <c r="G255" s="151"/>
      <c r="H255" s="151"/>
      <c r="I255" s="151"/>
      <c r="J255" s="151"/>
      <c r="K255" s="151"/>
      <c r="L255" s="151"/>
      <c r="M255" s="151"/>
    </row>
    <row r="256" spans="2:13" x14ac:dyDescent="0.3">
      <c r="B256" s="44"/>
      <c r="C256" s="44"/>
      <c r="D256" s="44"/>
      <c r="E256" s="149"/>
      <c r="F256" s="149"/>
      <c r="G256" s="151"/>
      <c r="H256" s="151"/>
      <c r="I256" s="151"/>
      <c r="J256" s="151"/>
      <c r="K256" s="151"/>
      <c r="L256" s="151"/>
      <c r="M256" s="151"/>
    </row>
    <row r="257" spans="2:13" x14ac:dyDescent="0.3">
      <c r="B257" s="44"/>
      <c r="C257" s="44"/>
      <c r="D257" s="44"/>
      <c r="E257" s="149"/>
      <c r="F257" s="149"/>
      <c r="G257" s="151"/>
      <c r="H257" s="151"/>
      <c r="I257" s="151"/>
      <c r="J257" s="151"/>
      <c r="K257" s="151"/>
      <c r="L257" s="151"/>
      <c r="M257" s="151"/>
    </row>
    <row r="258" spans="2:13" x14ac:dyDescent="0.3">
      <c r="B258" s="44"/>
      <c r="C258" s="44"/>
      <c r="D258" s="44"/>
      <c r="E258" s="149"/>
      <c r="F258" s="149"/>
      <c r="G258" s="151"/>
      <c r="H258" s="151"/>
      <c r="I258" s="151"/>
      <c r="J258" s="151"/>
      <c r="K258" s="151"/>
      <c r="L258" s="151"/>
      <c r="M258" s="151"/>
    </row>
    <row r="259" spans="2:13" x14ac:dyDescent="0.3">
      <c r="B259" s="44"/>
      <c r="C259" s="44"/>
      <c r="D259" s="44"/>
      <c r="E259" s="149"/>
      <c r="F259" s="149"/>
      <c r="G259" s="151"/>
      <c r="H259" s="151"/>
      <c r="I259" s="151"/>
      <c r="J259" s="151"/>
      <c r="K259" s="151"/>
      <c r="L259" s="151"/>
      <c r="M259" s="151"/>
    </row>
    <row r="260" spans="2:13" x14ac:dyDescent="0.3">
      <c r="B260" s="44"/>
      <c r="C260" s="44"/>
      <c r="D260" s="44"/>
      <c r="E260" s="149"/>
      <c r="F260" s="149"/>
      <c r="G260" s="151"/>
      <c r="H260" s="151"/>
      <c r="I260" s="151"/>
      <c r="J260" s="151"/>
      <c r="K260" s="151"/>
      <c r="L260" s="151"/>
      <c r="M260" s="151"/>
    </row>
    <row r="261" spans="2:13" x14ac:dyDescent="0.3">
      <c r="B261" s="44"/>
      <c r="C261" s="44"/>
      <c r="D261" s="44"/>
      <c r="E261" s="149"/>
      <c r="F261" s="149"/>
      <c r="G261" s="151"/>
      <c r="H261" s="151"/>
      <c r="I261" s="151"/>
      <c r="J261" s="151"/>
      <c r="K261" s="151"/>
      <c r="L261" s="151"/>
      <c r="M261" s="151"/>
    </row>
    <row r="262" spans="2:13" x14ac:dyDescent="0.3">
      <c r="B262" s="44"/>
      <c r="C262" s="44"/>
      <c r="D262" s="44"/>
      <c r="E262" s="149"/>
      <c r="F262" s="149"/>
      <c r="G262" s="151"/>
      <c r="H262" s="151"/>
      <c r="I262" s="151"/>
      <c r="J262" s="151"/>
      <c r="K262" s="151"/>
      <c r="L262" s="151"/>
      <c r="M262" s="151"/>
    </row>
    <row r="263" spans="2:13" x14ac:dyDescent="0.3">
      <c r="B263" s="44"/>
      <c r="C263" s="44"/>
      <c r="D263" s="44"/>
      <c r="E263" s="149"/>
      <c r="F263" s="149"/>
      <c r="G263" s="151"/>
      <c r="H263" s="151"/>
      <c r="I263" s="151"/>
      <c r="J263" s="151"/>
      <c r="K263" s="151"/>
      <c r="L263" s="151"/>
      <c r="M263" s="151"/>
    </row>
    <row r="264" spans="2:13" x14ac:dyDescent="0.3">
      <c r="B264" s="44"/>
      <c r="C264" s="44"/>
      <c r="D264" s="44"/>
      <c r="E264" s="149"/>
      <c r="F264" s="149"/>
      <c r="G264" s="151"/>
      <c r="H264" s="151"/>
      <c r="I264" s="151"/>
      <c r="J264" s="151"/>
      <c r="K264" s="151"/>
      <c r="L264" s="151"/>
      <c r="M264" s="151"/>
    </row>
    <row r="265" spans="2:13" x14ac:dyDescent="0.3">
      <c r="B265" s="44"/>
      <c r="C265" s="44"/>
      <c r="D265" s="44"/>
      <c r="E265" s="149"/>
      <c r="F265" s="149"/>
      <c r="G265" s="151"/>
      <c r="H265" s="151"/>
      <c r="I265" s="151"/>
      <c r="J265" s="151"/>
      <c r="K265" s="151"/>
      <c r="L265" s="151"/>
      <c r="M265" s="151"/>
    </row>
    <row r="266" spans="2:13" x14ac:dyDescent="0.3">
      <c r="B266" s="44"/>
      <c r="C266" s="44"/>
      <c r="D266" s="44"/>
      <c r="E266" s="149"/>
      <c r="F266" s="149"/>
      <c r="G266" s="151"/>
      <c r="H266" s="151"/>
      <c r="I266" s="151"/>
      <c r="J266" s="151"/>
      <c r="K266" s="151"/>
      <c r="L266" s="151"/>
      <c r="M266" s="151"/>
    </row>
    <row r="267" spans="2:13" x14ac:dyDescent="0.3">
      <c r="B267" s="44"/>
      <c r="C267" s="44"/>
      <c r="D267" s="44"/>
      <c r="E267" s="149"/>
      <c r="F267" s="149"/>
      <c r="G267" s="151"/>
      <c r="H267" s="151"/>
      <c r="I267" s="151"/>
      <c r="J267" s="151"/>
      <c r="K267" s="151"/>
      <c r="L267" s="151"/>
      <c r="M267" s="151"/>
    </row>
    <row r="268" spans="2:13" x14ac:dyDescent="0.3">
      <c r="B268" s="44"/>
      <c r="C268" s="44"/>
      <c r="D268" s="44"/>
      <c r="E268" s="149"/>
      <c r="F268" s="149"/>
      <c r="G268" s="151"/>
      <c r="H268" s="151"/>
      <c r="I268" s="151"/>
      <c r="J268" s="151"/>
      <c r="K268" s="151"/>
      <c r="L268" s="151"/>
      <c r="M268" s="151"/>
    </row>
    <row r="269" spans="2:13" x14ac:dyDescent="0.3">
      <c r="B269" s="44"/>
      <c r="C269" s="44"/>
      <c r="D269" s="44"/>
      <c r="E269" s="149"/>
      <c r="F269" s="149"/>
      <c r="G269" s="151"/>
      <c r="H269" s="151"/>
      <c r="I269" s="151"/>
      <c r="J269" s="151"/>
      <c r="K269" s="151"/>
      <c r="L269" s="151"/>
      <c r="M269" s="151"/>
    </row>
    <row r="270" spans="2:13" x14ac:dyDescent="0.3">
      <c r="B270" s="44"/>
      <c r="C270" s="44"/>
      <c r="D270" s="44"/>
      <c r="E270" s="149"/>
      <c r="F270" s="149"/>
      <c r="G270" s="151"/>
      <c r="H270" s="151"/>
      <c r="I270" s="151"/>
      <c r="J270" s="151"/>
      <c r="K270" s="151"/>
      <c r="L270" s="151"/>
      <c r="M270" s="151"/>
    </row>
    <row r="271" spans="2:13" x14ac:dyDescent="0.3">
      <c r="B271" s="44"/>
      <c r="C271" s="44"/>
      <c r="D271" s="44"/>
      <c r="E271" s="149"/>
      <c r="F271" s="149"/>
      <c r="G271" s="151"/>
      <c r="H271" s="151"/>
      <c r="I271" s="151"/>
      <c r="J271" s="151"/>
      <c r="K271" s="151"/>
      <c r="L271" s="151"/>
      <c r="M271" s="151"/>
    </row>
    <row r="272" spans="2:13" x14ac:dyDescent="0.3">
      <c r="B272" s="44"/>
      <c r="C272" s="44"/>
      <c r="D272" s="44"/>
      <c r="E272" s="149"/>
      <c r="F272" s="149"/>
      <c r="G272" s="151"/>
      <c r="H272" s="151"/>
      <c r="I272" s="151"/>
      <c r="J272" s="151"/>
      <c r="K272" s="151"/>
      <c r="L272" s="151"/>
      <c r="M272" s="151"/>
    </row>
    <row r="273" spans="2:13" x14ac:dyDescent="0.3">
      <c r="B273" s="44"/>
      <c r="C273" s="44"/>
      <c r="D273" s="44"/>
      <c r="E273" s="149"/>
      <c r="F273" s="149"/>
      <c r="G273" s="151"/>
      <c r="H273" s="151"/>
      <c r="I273" s="151"/>
      <c r="J273" s="151"/>
      <c r="K273" s="151"/>
      <c r="L273" s="151"/>
      <c r="M273" s="151"/>
    </row>
    <row r="274" spans="2:13" x14ac:dyDescent="0.3">
      <c r="B274" s="44"/>
      <c r="C274" s="44"/>
      <c r="D274" s="44"/>
      <c r="E274" s="149"/>
      <c r="F274" s="149"/>
      <c r="G274" s="151"/>
      <c r="H274" s="151"/>
      <c r="I274" s="151"/>
      <c r="J274" s="151"/>
      <c r="K274" s="151"/>
      <c r="L274" s="151"/>
      <c r="M274" s="151"/>
    </row>
    <row r="275" spans="2:13" x14ac:dyDescent="0.3">
      <c r="B275" s="44"/>
      <c r="C275" s="44"/>
      <c r="D275" s="44"/>
      <c r="E275" s="149"/>
      <c r="F275" s="149"/>
      <c r="G275" s="151"/>
      <c r="H275" s="151"/>
      <c r="I275" s="151"/>
      <c r="J275" s="151"/>
      <c r="K275" s="151"/>
      <c r="L275" s="151"/>
      <c r="M275" s="151"/>
    </row>
    <row r="276" spans="2:13" x14ac:dyDescent="0.3">
      <c r="B276" s="44"/>
      <c r="C276" s="44"/>
      <c r="D276" s="44"/>
      <c r="E276" s="149"/>
      <c r="F276" s="149"/>
      <c r="G276" s="151"/>
      <c r="H276" s="151"/>
      <c r="I276" s="151"/>
      <c r="J276" s="151"/>
      <c r="K276" s="151"/>
      <c r="L276" s="151"/>
      <c r="M276" s="151"/>
    </row>
    <row r="277" spans="2:13" x14ac:dyDescent="0.3">
      <c r="B277" s="44"/>
      <c r="C277" s="44"/>
      <c r="D277" s="44"/>
      <c r="E277" s="149"/>
      <c r="F277" s="149"/>
      <c r="G277" s="151"/>
      <c r="H277" s="151"/>
      <c r="I277" s="151"/>
      <c r="J277" s="151"/>
      <c r="K277" s="151"/>
      <c r="L277" s="151"/>
      <c r="M277" s="151"/>
    </row>
    <row r="278" spans="2:13" x14ac:dyDescent="0.3">
      <c r="B278" s="44"/>
      <c r="C278" s="44"/>
      <c r="D278" s="44"/>
      <c r="E278" s="149"/>
      <c r="F278" s="149"/>
      <c r="G278" s="151"/>
      <c r="H278" s="151"/>
      <c r="I278" s="151"/>
      <c r="J278" s="151"/>
      <c r="K278" s="151"/>
      <c r="L278" s="151"/>
      <c r="M278" s="151"/>
    </row>
    <row r="279" spans="2:13" x14ac:dyDescent="0.3">
      <c r="B279" s="44"/>
      <c r="C279" s="44"/>
      <c r="D279" s="44"/>
      <c r="E279" s="149"/>
      <c r="F279" s="149"/>
      <c r="G279" s="151"/>
      <c r="H279" s="151"/>
      <c r="I279" s="151"/>
      <c r="J279" s="151"/>
      <c r="K279" s="151"/>
      <c r="L279" s="151"/>
      <c r="M279" s="151"/>
    </row>
    <row r="280" spans="2:13" x14ac:dyDescent="0.3">
      <c r="B280" s="44"/>
      <c r="C280" s="44"/>
      <c r="D280" s="44"/>
      <c r="E280" s="149"/>
      <c r="F280" s="149"/>
      <c r="G280" s="151"/>
      <c r="H280" s="151"/>
      <c r="I280" s="151"/>
      <c r="J280" s="151"/>
      <c r="K280" s="151"/>
      <c r="L280" s="151"/>
      <c r="M280" s="151"/>
    </row>
    <row r="281" spans="2:13" x14ac:dyDescent="0.3">
      <c r="B281" s="44"/>
      <c r="C281" s="44"/>
      <c r="D281" s="44"/>
      <c r="E281" s="149"/>
      <c r="F281" s="149"/>
      <c r="G281" s="151"/>
      <c r="H281" s="151"/>
      <c r="I281" s="151"/>
      <c r="J281" s="151"/>
      <c r="K281" s="151"/>
      <c r="L281" s="151"/>
      <c r="M281" s="151"/>
    </row>
    <row r="282" spans="2:13" x14ac:dyDescent="0.3">
      <c r="B282" s="44"/>
      <c r="C282" s="44"/>
      <c r="D282" s="44"/>
      <c r="E282" s="149"/>
      <c r="F282" s="149"/>
      <c r="G282" s="151"/>
      <c r="H282" s="151"/>
      <c r="I282" s="151"/>
      <c r="J282" s="151"/>
      <c r="K282" s="151"/>
      <c r="L282" s="151"/>
      <c r="M282" s="151"/>
    </row>
    <row r="283" spans="2:13" x14ac:dyDescent="0.3">
      <c r="B283" s="44"/>
      <c r="C283" s="44"/>
      <c r="D283" s="44"/>
      <c r="E283" s="149"/>
      <c r="F283" s="149"/>
      <c r="G283" s="151"/>
      <c r="H283" s="151"/>
      <c r="I283" s="151"/>
      <c r="J283" s="151"/>
      <c r="K283" s="151"/>
      <c r="L283" s="151"/>
      <c r="M283" s="151"/>
    </row>
    <row r="284" spans="2:13" x14ac:dyDescent="0.3">
      <c r="B284" s="44"/>
      <c r="C284" s="44"/>
      <c r="D284" s="44"/>
      <c r="E284" s="149"/>
      <c r="F284" s="149"/>
      <c r="G284" s="151"/>
      <c r="H284" s="151"/>
      <c r="I284" s="151"/>
      <c r="J284" s="151"/>
      <c r="K284" s="151"/>
      <c r="L284" s="151"/>
      <c r="M284" s="151"/>
    </row>
    <row r="285" spans="2:13" x14ac:dyDescent="0.3">
      <c r="B285" s="44"/>
      <c r="C285" s="44"/>
      <c r="D285" s="44"/>
      <c r="E285" s="149"/>
      <c r="F285" s="149"/>
      <c r="G285" s="151"/>
      <c r="H285" s="151"/>
      <c r="I285" s="151"/>
      <c r="J285" s="151"/>
      <c r="K285" s="151"/>
      <c r="L285" s="151"/>
      <c r="M285" s="151"/>
    </row>
    <row r="286" spans="2:13" x14ac:dyDescent="0.3">
      <c r="B286" s="44"/>
      <c r="C286" s="44"/>
      <c r="D286" s="44"/>
      <c r="E286" s="149"/>
      <c r="F286" s="149"/>
      <c r="G286" s="151"/>
      <c r="H286" s="151"/>
      <c r="I286" s="151"/>
      <c r="J286" s="151"/>
      <c r="K286" s="151"/>
      <c r="L286" s="151"/>
      <c r="M286" s="151"/>
    </row>
    <row r="287" spans="2:13" x14ac:dyDescent="0.3">
      <c r="B287" s="44"/>
      <c r="C287" s="44"/>
      <c r="D287" s="44"/>
      <c r="E287" s="149"/>
      <c r="F287" s="149"/>
      <c r="G287" s="151"/>
      <c r="H287" s="151"/>
      <c r="I287" s="151"/>
      <c r="J287" s="151"/>
      <c r="K287" s="151"/>
      <c r="L287" s="151"/>
      <c r="M287" s="151"/>
    </row>
    <row r="288" spans="2:13" x14ac:dyDescent="0.3">
      <c r="B288" s="44"/>
      <c r="C288" s="44"/>
      <c r="D288" s="44"/>
      <c r="E288" s="149"/>
      <c r="F288" s="149"/>
      <c r="G288" s="151"/>
      <c r="H288" s="151"/>
      <c r="I288" s="151"/>
      <c r="J288" s="151"/>
      <c r="K288" s="151"/>
      <c r="L288" s="151"/>
      <c r="M288" s="151"/>
    </row>
    <row r="289" spans="2:13" x14ac:dyDescent="0.3">
      <c r="B289" s="44"/>
      <c r="C289" s="44"/>
      <c r="D289" s="44"/>
      <c r="E289" s="149"/>
      <c r="F289" s="149"/>
      <c r="G289" s="151"/>
      <c r="H289" s="151"/>
      <c r="I289" s="151"/>
      <c r="J289" s="151"/>
      <c r="K289" s="151"/>
      <c r="L289" s="151"/>
      <c r="M289" s="151"/>
    </row>
    <row r="290" spans="2:13" x14ac:dyDescent="0.3">
      <c r="B290" s="44"/>
      <c r="C290" s="44"/>
      <c r="D290" s="44"/>
      <c r="E290" s="149"/>
      <c r="F290" s="149"/>
      <c r="G290" s="151"/>
      <c r="H290" s="151"/>
      <c r="I290" s="151"/>
      <c r="J290" s="151"/>
      <c r="K290" s="151"/>
      <c r="L290" s="151"/>
      <c r="M290" s="151"/>
    </row>
    <row r="291" spans="2:13" x14ac:dyDescent="0.3">
      <c r="B291" s="44"/>
      <c r="C291" s="44"/>
      <c r="D291" s="44"/>
      <c r="E291" s="149"/>
      <c r="F291" s="149"/>
      <c r="G291" s="151"/>
      <c r="H291" s="151"/>
      <c r="I291" s="151"/>
      <c r="J291" s="151"/>
      <c r="K291" s="151"/>
      <c r="L291" s="151"/>
      <c r="M291" s="151"/>
    </row>
    <row r="292" spans="2:13" x14ac:dyDescent="0.3">
      <c r="B292" s="44"/>
      <c r="C292" s="44"/>
      <c r="D292" s="44"/>
      <c r="E292" s="149"/>
      <c r="F292" s="149"/>
      <c r="G292" s="151"/>
      <c r="H292" s="151"/>
      <c r="I292" s="151"/>
      <c r="J292" s="151"/>
      <c r="K292" s="151"/>
      <c r="L292" s="151"/>
      <c r="M292" s="151"/>
    </row>
    <row r="293" spans="2:13" x14ac:dyDescent="0.3">
      <c r="B293" s="44"/>
      <c r="C293" s="44"/>
      <c r="D293" s="44"/>
      <c r="E293" s="149"/>
      <c r="F293" s="149"/>
      <c r="G293" s="151"/>
      <c r="H293" s="151"/>
      <c r="I293" s="151"/>
      <c r="J293" s="151"/>
      <c r="K293" s="151"/>
      <c r="L293" s="151"/>
      <c r="M293" s="151"/>
    </row>
    <row r="294" spans="2:13" x14ac:dyDescent="0.3">
      <c r="B294" s="44"/>
      <c r="C294" s="44"/>
      <c r="D294" s="44"/>
      <c r="E294" s="149"/>
      <c r="F294" s="149"/>
      <c r="G294" s="151"/>
      <c r="H294" s="151"/>
      <c r="I294" s="151"/>
      <c r="J294" s="151"/>
      <c r="K294" s="151"/>
      <c r="L294" s="151"/>
      <c r="M294" s="151"/>
    </row>
    <row r="295" spans="2:13" x14ac:dyDescent="0.3">
      <c r="B295" s="44"/>
      <c r="C295" s="44"/>
      <c r="D295" s="44"/>
      <c r="E295" s="149"/>
      <c r="F295" s="149"/>
      <c r="G295" s="151"/>
      <c r="H295" s="151"/>
      <c r="I295" s="151"/>
      <c r="J295" s="151"/>
      <c r="K295" s="151"/>
      <c r="L295" s="151"/>
      <c r="M295" s="151"/>
    </row>
    <row r="296" spans="2:13" x14ac:dyDescent="0.3">
      <c r="B296" s="44"/>
      <c r="C296" s="44"/>
      <c r="D296" s="44"/>
      <c r="E296" s="149"/>
      <c r="F296" s="149"/>
      <c r="G296" s="151"/>
      <c r="H296" s="151"/>
      <c r="I296" s="151"/>
      <c r="J296" s="151"/>
      <c r="K296" s="151"/>
      <c r="L296" s="151"/>
      <c r="M296" s="151"/>
    </row>
    <row r="297" spans="2:13" x14ac:dyDescent="0.3">
      <c r="B297" s="44"/>
      <c r="C297" s="44"/>
      <c r="D297" s="44"/>
      <c r="E297" s="149"/>
      <c r="F297" s="149"/>
      <c r="G297" s="151"/>
      <c r="H297" s="151"/>
      <c r="I297" s="151"/>
      <c r="J297" s="151"/>
      <c r="K297" s="151"/>
      <c r="L297" s="151"/>
      <c r="M297" s="151"/>
    </row>
    <row r="298" spans="2:13" x14ac:dyDescent="0.3">
      <c r="B298" s="44"/>
      <c r="C298" s="44"/>
      <c r="D298" s="44"/>
      <c r="E298" s="149"/>
      <c r="F298" s="149"/>
      <c r="G298" s="151"/>
      <c r="H298" s="151"/>
      <c r="I298" s="151"/>
      <c r="J298" s="151"/>
      <c r="K298" s="151"/>
      <c r="L298" s="151"/>
      <c r="M298" s="151"/>
    </row>
    <row r="299" spans="2:13" x14ac:dyDescent="0.3">
      <c r="B299" s="44"/>
      <c r="C299" s="44"/>
      <c r="D299" s="44"/>
      <c r="E299" s="149"/>
      <c r="F299" s="149"/>
      <c r="G299" s="151"/>
      <c r="H299" s="151"/>
      <c r="I299" s="151"/>
      <c r="J299" s="151"/>
      <c r="K299" s="151"/>
      <c r="L299" s="151"/>
      <c r="M299" s="151"/>
    </row>
    <row r="300" spans="2:13" x14ac:dyDescent="0.3">
      <c r="B300" s="44"/>
      <c r="C300" s="44"/>
      <c r="D300" s="44"/>
      <c r="E300" s="149"/>
      <c r="F300" s="149"/>
      <c r="G300" s="151"/>
      <c r="H300" s="151"/>
      <c r="I300" s="151"/>
      <c r="J300" s="151"/>
      <c r="K300" s="151"/>
      <c r="L300" s="151"/>
      <c r="M300" s="151"/>
    </row>
    <row r="301" spans="2:13" x14ac:dyDescent="0.3">
      <c r="B301" s="44"/>
      <c r="C301" s="44"/>
      <c r="D301" s="44"/>
      <c r="E301" s="149"/>
      <c r="F301" s="149"/>
      <c r="G301" s="151"/>
      <c r="H301" s="151"/>
      <c r="I301" s="151"/>
      <c r="J301" s="151"/>
      <c r="K301" s="151"/>
      <c r="L301" s="151"/>
      <c r="M301" s="151"/>
    </row>
    <row r="302" spans="2:13" x14ac:dyDescent="0.3">
      <c r="B302" s="44"/>
      <c r="C302" s="44"/>
      <c r="D302" s="44"/>
      <c r="E302" s="149"/>
      <c r="F302" s="149"/>
      <c r="G302" s="151"/>
      <c r="H302" s="151"/>
      <c r="I302" s="151"/>
      <c r="J302" s="151"/>
      <c r="K302" s="151"/>
      <c r="L302" s="151"/>
      <c r="M302" s="151"/>
    </row>
    <row r="303" spans="2:13" x14ac:dyDescent="0.3">
      <c r="B303" s="44"/>
      <c r="C303" s="44"/>
      <c r="D303" s="44"/>
      <c r="E303" s="149"/>
      <c r="F303" s="149"/>
      <c r="G303" s="151"/>
      <c r="H303" s="151"/>
      <c r="I303" s="151"/>
      <c r="J303" s="151"/>
      <c r="K303" s="151"/>
      <c r="L303" s="151"/>
      <c r="M303" s="151"/>
    </row>
    <row r="304" spans="2:13" x14ac:dyDescent="0.3">
      <c r="B304" s="44"/>
      <c r="C304" s="44"/>
      <c r="D304" s="44"/>
      <c r="E304" s="149"/>
      <c r="F304" s="149"/>
      <c r="G304" s="151"/>
      <c r="H304" s="151"/>
      <c r="I304" s="151"/>
      <c r="J304" s="151"/>
      <c r="K304" s="151"/>
      <c r="L304" s="151"/>
      <c r="M304" s="151"/>
    </row>
    <row r="305" spans="2:13" x14ac:dyDescent="0.3">
      <c r="B305" s="44"/>
      <c r="C305" s="44"/>
      <c r="D305" s="44"/>
      <c r="E305" s="149"/>
      <c r="F305" s="149"/>
      <c r="G305" s="151"/>
      <c r="H305" s="151"/>
      <c r="I305" s="151"/>
      <c r="J305" s="151"/>
      <c r="K305" s="151"/>
      <c r="L305" s="151"/>
      <c r="M305" s="151"/>
    </row>
    <row r="306" spans="2:13" x14ac:dyDescent="0.3">
      <c r="B306" s="44"/>
      <c r="C306" s="44"/>
      <c r="D306" s="44"/>
      <c r="E306" s="149"/>
      <c r="F306" s="149"/>
      <c r="G306" s="151"/>
      <c r="H306" s="151"/>
      <c r="I306" s="151"/>
      <c r="J306" s="151"/>
      <c r="K306" s="151"/>
      <c r="L306" s="151"/>
      <c r="M306" s="151"/>
    </row>
    <row r="307" spans="2:13" x14ac:dyDescent="0.3">
      <c r="B307" s="44"/>
      <c r="C307" s="44"/>
      <c r="D307" s="44"/>
      <c r="E307" s="149"/>
      <c r="F307" s="149"/>
      <c r="G307" s="151"/>
      <c r="H307" s="151"/>
      <c r="I307" s="151"/>
      <c r="J307" s="151"/>
      <c r="K307" s="151"/>
      <c r="L307" s="151"/>
      <c r="M307" s="151"/>
    </row>
    <row r="308" spans="2:13" x14ac:dyDescent="0.3">
      <c r="B308" s="44"/>
      <c r="C308" s="44"/>
      <c r="D308" s="44"/>
      <c r="E308" s="149"/>
      <c r="F308" s="149"/>
      <c r="G308" s="151"/>
      <c r="H308" s="151"/>
      <c r="I308" s="151"/>
      <c r="J308" s="151"/>
      <c r="K308" s="151"/>
      <c r="L308" s="151"/>
      <c r="M308" s="151"/>
    </row>
    <row r="309" spans="2:13" x14ac:dyDescent="0.3">
      <c r="B309" s="44"/>
      <c r="C309" s="44"/>
      <c r="D309" s="44"/>
      <c r="E309" s="149"/>
      <c r="F309" s="149"/>
      <c r="G309" s="151"/>
      <c r="H309" s="151"/>
      <c r="I309" s="151"/>
      <c r="J309" s="151"/>
      <c r="K309" s="151"/>
      <c r="L309" s="151"/>
      <c r="M309" s="151"/>
    </row>
    <row r="310" spans="2:13" x14ac:dyDescent="0.3">
      <c r="B310" s="44"/>
      <c r="C310" s="44"/>
      <c r="D310" s="44"/>
      <c r="E310" s="149"/>
      <c r="F310" s="149"/>
      <c r="G310" s="151"/>
      <c r="H310" s="151"/>
      <c r="I310" s="151"/>
      <c r="J310" s="151"/>
      <c r="K310" s="151"/>
      <c r="L310" s="151"/>
      <c r="M310" s="151"/>
    </row>
    <row r="311" spans="2:13" x14ac:dyDescent="0.3">
      <c r="B311" s="44"/>
      <c r="C311" s="44"/>
      <c r="D311" s="44"/>
      <c r="E311" s="149"/>
      <c r="F311" s="149"/>
      <c r="G311" s="151"/>
      <c r="H311" s="151"/>
      <c r="I311" s="151"/>
      <c r="J311" s="151"/>
      <c r="K311" s="151"/>
      <c r="L311" s="151"/>
      <c r="M311" s="151"/>
    </row>
    <row r="312" spans="2:13" x14ac:dyDescent="0.3">
      <c r="B312" s="44"/>
      <c r="C312" s="44"/>
      <c r="D312" s="44"/>
      <c r="E312" s="149"/>
      <c r="F312" s="149"/>
      <c r="G312" s="151"/>
      <c r="H312" s="151"/>
      <c r="I312" s="151"/>
      <c r="J312" s="151"/>
      <c r="K312" s="151"/>
      <c r="L312" s="151"/>
      <c r="M312" s="151"/>
    </row>
    <row r="313" spans="2:13" x14ac:dyDescent="0.3">
      <c r="B313" s="44"/>
      <c r="C313" s="44"/>
      <c r="D313" s="44"/>
      <c r="E313" s="149"/>
      <c r="F313" s="149"/>
      <c r="G313" s="151"/>
      <c r="H313" s="151"/>
      <c r="I313" s="151"/>
      <c r="J313" s="151"/>
      <c r="K313" s="151"/>
      <c r="L313" s="151"/>
      <c r="M313" s="151"/>
    </row>
    <row r="314" spans="2:13" x14ac:dyDescent="0.3">
      <c r="B314" s="44"/>
      <c r="C314" s="44"/>
      <c r="D314" s="44"/>
      <c r="E314" s="149"/>
      <c r="F314" s="149"/>
      <c r="G314" s="151"/>
      <c r="H314" s="151"/>
      <c r="I314" s="151"/>
      <c r="J314" s="151"/>
      <c r="K314" s="151"/>
      <c r="L314" s="151"/>
      <c r="M314" s="151"/>
    </row>
    <row r="315" spans="2:13" x14ac:dyDescent="0.3">
      <c r="B315" s="44"/>
      <c r="C315" s="44"/>
      <c r="D315" s="44"/>
      <c r="E315" s="149"/>
      <c r="F315" s="149"/>
      <c r="G315" s="151"/>
      <c r="H315" s="151"/>
      <c r="I315" s="151"/>
      <c r="J315" s="151"/>
      <c r="K315" s="151"/>
      <c r="L315" s="151"/>
      <c r="M315" s="151"/>
    </row>
    <row r="316" spans="2:13" x14ac:dyDescent="0.3">
      <c r="B316" s="44"/>
      <c r="C316" s="44"/>
      <c r="D316" s="44"/>
      <c r="E316" s="149"/>
      <c r="F316" s="149"/>
      <c r="G316" s="151"/>
      <c r="H316" s="151"/>
      <c r="I316" s="151"/>
      <c r="J316" s="151"/>
      <c r="K316" s="151"/>
      <c r="L316" s="151"/>
      <c r="M316" s="151"/>
    </row>
    <row r="317" spans="2:13" x14ac:dyDescent="0.3">
      <c r="B317" s="44"/>
      <c r="C317" s="44"/>
      <c r="D317" s="44"/>
      <c r="E317" s="149"/>
      <c r="F317" s="149"/>
      <c r="G317" s="151"/>
      <c r="H317" s="151"/>
      <c r="I317" s="151"/>
      <c r="J317" s="151"/>
      <c r="K317" s="151"/>
      <c r="L317" s="151"/>
      <c r="M317" s="151"/>
    </row>
    <row r="318" spans="2:13" x14ac:dyDescent="0.3">
      <c r="B318" s="44"/>
      <c r="C318" s="44"/>
      <c r="D318" s="44"/>
      <c r="E318" s="149"/>
      <c r="F318" s="149"/>
      <c r="G318" s="151"/>
      <c r="H318" s="151"/>
      <c r="I318" s="151"/>
      <c r="J318" s="151"/>
      <c r="K318" s="151"/>
      <c r="L318" s="151"/>
      <c r="M318" s="151"/>
    </row>
    <row r="319" spans="2:13" x14ac:dyDescent="0.3">
      <c r="B319" s="44"/>
      <c r="C319" s="44"/>
      <c r="D319" s="44"/>
      <c r="E319" s="149"/>
      <c r="F319" s="149"/>
      <c r="G319" s="151"/>
      <c r="H319" s="151"/>
      <c r="I319" s="151"/>
      <c r="J319" s="151"/>
      <c r="K319" s="151"/>
      <c r="L319" s="151"/>
      <c r="M319" s="151"/>
    </row>
    <row r="320" spans="2:13" x14ac:dyDescent="0.3">
      <c r="B320" s="44"/>
      <c r="C320" s="44"/>
      <c r="D320" s="44"/>
      <c r="E320" s="149"/>
      <c r="F320" s="149"/>
      <c r="G320" s="151"/>
      <c r="H320" s="151"/>
      <c r="I320" s="151"/>
      <c r="J320" s="151"/>
      <c r="K320" s="151"/>
      <c r="L320" s="151"/>
      <c r="M320" s="151"/>
    </row>
    <row r="321" spans="2:13" x14ac:dyDescent="0.3">
      <c r="B321" s="44"/>
      <c r="C321" s="44"/>
      <c r="D321" s="44"/>
      <c r="E321" s="149"/>
      <c r="F321" s="149"/>
      <c r="G321" s="151"/>
      <c r="H321" s="151"/>
      <c r="I321" s="151"/>
      <c r="J321" s="151"/>
      <c r="K321" s="151"/>
      <c r="L321" s="151"/>
      <c r="M321" s="151"/>
    </row>
    <row r="322" spans="2:13" x14ac:dyDescent="0.3">
      <c r="B322" s="44"/>
      <c r="C322" s="44"/>
      <c r="D322" s="44"/>
      <c r="E322" s="149"/>
      <c r="F322" s="149"/>
      <c r="G322" s="151"/>
      <c r="H322" s="151"/>
      <c r="I322" s="151"/>
      <c r="J322" s="151"/>
      <c r="K322" s="151"/>
      <c r="L322" s="151"/>
      <c r="M322" s="151"/>
    </row>
    <row r="323" spans="2:13" x14ac:dyDescent="0.3">
      <c r="B323" s="44"/>
      <c r="C323" s="44"/>
      <c r="D323" s="44"/>
      <c r="E323" s="149"/>
      <c r="F323" s="149"/>
      <c r="G323" s="151"/>
      <c r="H323" s="151"/>
      <c r="I323" s="151"/>
      <c r="J323" s="151"/>
      <c r="K323" s="151"/>
      <c r="L323" s="151"/>
      <c r="M323" s="151"/>
    </row>
    <row r="324" spans="2:13" x14ac:dyDescent="0.3">
      <c r="B324" s="44"/>
      <c r="C324" s="44"/>
      <c r="D324" s="44"/>
      <c r="E324" s="149"/>
      <c r="F324" s="149"/>
      <c r="G324" s="151"/>
      <c r="H324" s="151"/>
      <c r="I324" s="151"/>
      <c r="J324" s="151"/>
      <c r="K324" s="151"/>
      <c r="L324" s="151"/>
      <c r="M324" s="151"/>
    </row>
    <row r="325" spans="2:13" x14ac:dyDescent="0.3">
      <c r="B325" s="44"/>
      <c r="C325" s="44"/>
      <c r="D325" s="44"/>
      <c r="E325" s="149"/>
      <c r="F325" s="149"/>
      <c r="G325" s="151"/>
      <c r="H325" s="151"/>
      <c r="I325" s="151"/>
      <c r="J325" s="151"/>
      <c r="K325" s="151"/>
      <c r="L325" s="151"/>
      <c r="M325" s="151"/>
    </row>
    <row r="326" spans="2:13" x14ac:dyDescent="0.3">
      <c r="B326" s="44"/>
      <c r="C326" s="44"/>
      <c r="D326" s="44"/>
      <c r="E326" s="149"/>
      <c r="F326" s="149"/>
      <c r="G326" s="151"/>
      <c r="H326" s="151"/>
      <c r="I326" s="151"/>
      <c r="J326" s="151"/>
      <c r="K326" s="151"/>
      <c r="L326" s="151"/>
      <c r="M326" s="151"/>
    </row>
    <row r="327" spans="2:13" x14ac:dyDescent="0.3">
      <c r="B327" s="44"/>
      <c r="C327" s="44"/>
      <c r="D327" s="44"/>
      <c r="E327" s="149"/>
      <c r="F327" s="149"/>
      <c r="G327" s="151"/>
      <c r="H327" s="151"/>
      <c r="I327" s="151"/>
      <c r="J327" s="151"/>
      <c r="K327" s="151"/>
      <c r="L327" s="151"/>
      <c r="M327" s="151"/>
    </row>
    <row r="328" spans="2:13" x14ac:dyDescent="0.3">
      <c r="B328" s="44"/>
      <c r="C328" s="44"/>
      <c r="D328" s="44"/>
      <c r="E328" s="149"/>
      <c r="F328" s="149"/>
      <c r="G328" s="151"/>
      <c r="H328" s="151"/>
      <c r="I328" s="151"/>
      <c r="J328" s="151"/>
      <c r="K328" s="151"/>
      <c r="L328" s="151"/>
      <c r="M328" s="151"/>
    </row>
    <row r="329" spans="2:13" x14ac:dyDescent="0.3">
      <c r="B329" s="44"/>
      <c r="C329" s="44"/>
      <c r="D329" s="44"/>
      <c r="E329" s="149"/>
      <c r="F329" s="149"/>
      <c r="G329" s="151"/>
      <c r="H329" s="151"/>
      <c r="I329" s="151"/>
      <c r="J329" s="151"/>
      <c r="K329" s="151"/>
      <c r="L329" s="151"/>
      <c r="M329" s="151"/>
    </row>
    <row r="330" spans="2:13" x14ac:dyDescent="0.3">
      <c r="B330" s="44"/>
      <c r="C330" s="44"/>
      <c r="D330" s="44"/>
      <c r="E330" s="149"/>
      <c r="F330" s="149"/>
      <c r="G330" s="151"/>
      <c r="H330" s="151"/>
      <c r="I330" s="151"/>
      <c r="J330" s="151"/>
      <c r="K330" s="151"/>
      <c r="L330" s="151"/>
      <c r="M330" s="151"/>
    </row>
    <row r="331" spans="2:13" x14ac:dyDescent="0.3">
      <c r="B331" s="44"/>
      <c r="C331" s="44"/>
      <c r="D331" s="44"/>
      <c r="E331" s="149"/>
      <c r="F331" s="149"/>
      <c r="G331" s="151"/>
      <c r="H331" s="151"/>
      <c r="I331" s="151"/>
      <c r="J331" s="151"/>
      <c r="K331" s="151"/>
      <c r="L331" s="151"/>
      <c r="M331" s="151"/>
    </row>
    <row r="332" spans="2:13" x14ac:dyDescent="0.3">
      <c r="B332" s="44"/>
      <c r="C332" s="44"/>
      <c r="D332" s="44"/>
      <c r="E332" s="149"/>
      <c r="F332" s="149"/>
      <c r="G332" s="151"/>
      <c r="H332" s="151"/>
      <c r="I332" s="151"/>
      <c r="J332" s="151"/>
      <c r="K332" s="151"/>
      <c r="L332" s="151"/>
      <c r="M332" s="151"/>
    </row>
    <row r="333" spans="2:13" x14ac:dyDescent="0.3">
      <c r="B333" s="44"/>
      <c r="C333" s="44"/>
      <c r="D333" s="44"/>
      <c r="E333" s="149"/>
      <c r="F333" s="149"/>
      <c r="G333" s="151"/>
      <c r="H333" s="151"/>
      <c r="I333" s="151"/>
      <c r="J333" s="151"/>
      <c r="K333" s="151"/>
      <c r="L333" s="151"/>
      <c r="M333" s="151"/>
    </row>
    <row r="334" spans="2:13" x14ac:dyDescent="0.3">
      <c r="B334" s="44"/>
      <c r="C334" s="44"/>
      <c r="D334" s="44"/>
      <c r="E334" s="149"/>
      <c r="F334" s="149"/>
      <c r="G334" s="151"/>
      <c r="H334" s="151"/>
      <c r="I334" s="151"/>
      <c r="J334" s="151"/>
      <c r="K334" s="151"/>
      <c r="L334" s="151"/>
      <c r="M334" s="151"/>
    </row>
    <row r="335" spans="2:13" x14ac:dyDescent="0.3">
      <c r="B335" s="44"/>
      <c r="C335" s="44"/>
      <c r="D335" s="44"/>
      <c r="E335" s="149"/>
      <c r="F335" s="149"/>
      <c r="G335" s="151"/>
      <c r="H335" s="151"/>
      <c r="I335" s="151"/>
      <c r="J335" s="151"/>
      <c r="K335" s="151"/>
      <c r="L335" s="151"/>
      <c r="M335" s="151"/>
    </row>
    <row r="336" spans="2:13" x14ac:dyDescent="0.3">
      <c r="B336" s="44"/>
      <c r="C336" s="44"/>
      <c r="D336" s="44"/>
      <c r="E336" s="149"/>
      <c r="F336" s="149"/>
      <c r="G336" s="151"/>
      <c r="H336" s="151"/>
      <c r="I336" s="151"/>
      <c r="J336" s="151"/>
      <c r="K336" s="151"/>
      <c r="L336" s="151"/>
      <c r="M336" s="151"/>
    </row>
    <row r="337" spans="2:13" x14ac:dyDescent="0.3">
      <c r="B337" s="44"/>
      <c r="C337" s="44"/>
      <c r="D337" s="44"/>
      <c r="E337" s="149"/>
      <c r="F337" s="149"/>
      <c r="G337" s="151"/>
      <c r="H337" s="151"/>
      <c r="I337" s="151"/>
      <c r="J337" s="151"/>
      <c r="K337" s="151"/>
      <c r="L337" s="151"/>
      <c r="M337" s="151"/>
    </row>
    <row r="338" spans="2:13" x14ac:dyDescent="0.3">
      <c r="B338" s="44"/>
      <c r="C338" s="44"/>
      <c r="D338" s="44"/>
      <c r="E338" s="149"/>
      <c r="F338" s="149"/>
      <c r="G338" s="151"/>
      <c r="H338" s="151"/>
      <c r="I338" s="151"/>
      <c r="J338" s="151"/>
      <c r="K338" s="151"/>
      <c r="L338" s="151"/>
      <c r="M338" s="151"/>
    </row>
    <row r="339" spans="2:13" x14ac:dyDescent="0.3">
      <c r="B339" s="44"/>
      <c r="C339" s="44"/>
      <c r="D339" s="44"/>
      <c r="E339" s="149"/>
      <c r="F339" s="149"/>
      <c r="G339" s="151"/>
      <c r="H339" s="151"/>
      <c r="I339" s="151"/>
      <c r="J339" s="151"/>
      <c r="K339" s="151"/>
      <c r="L339" s="151"/>
      <c r="M339" s="151"/>
    </row>
    <row r="340" spans="2:13" x14ac:dyDescent="0.3">
      <c r="B340" s="44"/>
      <c r="C340" s="44"/>
      <c r="D340" s="44"/>
      <c r="E340" s="149"/>
      <c r="F340" s="149"/>
      <c r="G340" s="151"/>
      <c r="H340" s="151"/>
      <c r="I340" s="151"/>
      <c r="J340" s="151"/>
      <c r="K340" s="151"/>
      <c r="L340" s="151"/>
      <c r="M340" s="151"/>
    </row>
    <row r="341" spans="2:13" x14ac:dyDescent="0.3">
      <c r="B341" s="44"/>
      <c r="C341" s="44"/>
      <c r="D341" s="44"/>
      <c r="E341" s="149"/>
      <c r="F341" s="149"/>
      <c r="G341" s="151"/>
      <c r="H341" s="151"/>
      <c r="I341" s="151"/>
      <c r="J341" s="151"/>
      <c r="K341" s="151"/>
      <c r="L341" s="151"/>
      <c r="M341" s="151"/>
    </row>
    <row r="342" spans="2:13" x14ac:dyDescent="0.3">
      <c r="B342" s="44"/>
      <c r="C342" s="44"/>
      <c r="D342" s="44"/>
      <c r="E342" s="149"/>
      <c r="F342" s="149"/>
      <c r="G342" s="151"/>
      <c r="H342" s="151"/>
      <c r="I342" s="151"/>
      <c r="J342" s="151"/>
      <c r="K342" s="151"/>
      <c r="L342" s="151"/>
      <c r="M342" s="151"/>
    </row>
    <row r="343" spans="2:13" x14ac:dyDescent="0.3">
      <c r="B343" s="44"/>
      <c r="C343" s="44"/>
      <c r="D343" s="44"/>
      <c r="E343" s="149"/>
      <c r="F343" s="149"/>
      <c r="G343" s="151"/>
      <c r="H343" s="151"/>
      <c r="I343" s="151"/>
      <c r="J343" s="151"/>
      <c r="K343" s="151"/>
      <c r="L343" s="151"/>
      <c r="M343" s="151"/>
    </row>
    <row r="344" spans="2:13" x14ac:dyDescent="0.3">
      <c r="B344" s="44"/>
      <c r="C344" s="44"/>
      <c r="D344" s="44"/>
      <c r="E344" s="149"/>
      <c r="F344" s="149"/>
      <c r="G344" s="151"/>
      <c r="H344" s="151"/>
      <c r="I344" s="151"/>
      <c r="J344" s="151"/>
      <c r="K344" s="151"/>
      <c r="L344" s="151"/>
      <c r="M344" s="151"/>
    </row>
    <row r="345" spans="2:13" x14ac:dyDescent="0.3">
      <c r="B345" s="44"/>
      <c r="C345" s="44"/>
      <c r="D345" s="44"/>
      <c r="E345" s="149"/>
      <c r="F345" s="149"/>
      <c r="G345" s="151"/>
      <c r="H345" s="151"/>
      <c r="I345" s="151"/>
      <c r="J345" s="151"/>
      <c r="K345" s="151"/>
      <c r="L345" s="151"/>
      <c r="M345" s="151"/>
    </row>
    <row r="346" spans="2:13" x14ac:dyDescent="0.3">
      <c r="B346" s="44"/>
      <c r="C346" s="44"/>
      <c r="D346" s="44"/>
      <c r="E346" s="149"/>
      <c r="F346" s="149"/>
      <c r="G346" s="151"/>
      <c r="H346" s="151"/>
      <c r="I346" s="151"/>
      <c r="J346" s="151"/>
      <c r="K346" s="151"/>
      <c r="L346" s="151"/>
      <c r="M346" s="151"/>
    </row>
    <row r="347" spans="2:13" x14ac:dyDescent="0.3">
      <c r="B347" s="44"/>
      <c r="C347" s="44"/>
      <c r="D347" s="44"/>
      <c r="E347" s="149"/>
      <c r="F347" s="149"/>
      <c r="G347" s="151"/>
      <c r="H347" s="151"/>
      <c r="I347" s="151"/>
      <c r="J347" s="151"/>
      <c r="K347" s="151"/>
      <c r="L347" s="151"/>
      <c r="M347" s="151"/>
    </row>
    <row r="348" spans="2:13" x14ac:dyDescent="0.3">
      <c r="B348" s="44"/>
      <c r="C348" s="44"/>
      <c r="D348" s="44"/>
      <c r="E348" s="149"/>
      <c r="F348" s="149"/>
      <c r="G348" s="151"/>
      <c r="H348" s="151"/>
      <c r="I348" s="151"/>
      <c r="J348" s="151"/>
      <c r="K348" s="151"/>
      <c r="L348" s="151"/>
      <c r="M348" s="151"/>
    </row>
    <row r="349" spans="2:13" x14ac:dyDescent="0.3">
      <c r="B349" s="44"/>
      <c r="C349" s="44"/>
      <c r="D349" s="44"/>
      <c r="E349" s="149"/>
      <c r="F349" s="149"/>
      <c r="G349" s="151"/>
      <c r="H349" s="151"/>
      <c r="I349" s="151"/>
      <c r="J349" s="151"/>
      <c r="K349" s="151"/>
      <c r="L349" s="151"/>
      <c r="M349" s="151"/>
    </row>
    <row r="350" spans="2:13" x14ac:dyDescent="0.3">
      <c r="B350" s="44"/>
      <c r="C350" s="44"/>
      <c r="D350" s="44"/>
      <c r="E350" s="149"/>
      <c r="F350" s="149"/>
      <c r="G350" s="151"/>
      <c r="H350" s="151"/>
      <c r="I350" s="151"/>
      <c r="J350" s="151"/>
      <c r="K350" s="151"/>
      <c r="L350" s="151"/>
      <c r="M350" s="151"/>
    </row>
    <row r="351" spans="2:13" x14ac:dyDescent="0.3">
      <c r="B351" s="44"/>
      <c r="C351" s="44"/>
      <c r="D351" s="44"/>
      <c r="E351" s="149"/>
      <c r="F351" s="149"/>
      <c r="G351" s="151"/>
      <c r="H351" s="151"/>
      <c r="I351" s="151"/>
      <c r="J351" s="151"/>
      <c r="K351" s="151"/>
      <c r="L351" s="151"/>
      <c r="M351" s="151"/>
    </row>
    <row r="352" spans="2:13" x14ac:dyDescent="0.3">
      <c r="B352" s="44"/>
      <c r="C352" s="44"/>
      <c r="D352" s="44"/>
      <c r="E352" s="149"/>
      <c r="F352" s="149"/>
      <c r="G352" s="151"/>
      <c r="H352" s="151"/>
      <c r="I352" s="151"/>
      <c r="J352" s="151"/>
      <c r="K352" s="151"/>
      <c r="L352" s="151"/>
      <c r="M352" s="151"/>
    </row>
    <row r="353" spans="2:13" x14ac:dyDescent="0.3">
      <c r="B353" s="44"/>
      <c r="C353" s="44"/>
      <c r="D353" s="44"/>
      <c r="E353" s="149"/>
      <c r="F353" s="149"/>
      <c r="G353" s="151"/>
      <c r="H353" s="151"/>
      <c r="I353" s="151"/>
      <c r="J353" s="151"/>
      <c r="K353" s="151"/>
      <c r="L353" s="151"/>
      <c r="M353" s="151"/>
    </row>
    <row r="354" spans="2:13" x14ac:dyDescent="0.3">
      <c r="B354" s="44"/>
      <c r="C354" s="44"/>
      <c r="D354" s="44"/>
      <c r="E354" s="149"/>
      <c r="F354" s="149"/>
      <c r="G354" s="151"/>
      <c r="H354" s="151"/>
      <c r="I354" s="151"/>
      <c r="J354" s="151"/>
      <c r="K354" s="151"/>
      <c r="L354" s="151"/>
      <c r="M354" s="151"/>
    </row>
    <row r="355" spans="2:13" x14ac:dyDescent="0.3">
      <c r="B355" s="44"/>
      <c r="C355" s="44"/>
      <c r="D355" s="44"/>
      <c r="E355" s="149"/>
      <c r="F355" s="149"/>
      <c r="G355" s="151"/>
      <c r="H355" s="151"/>
      <c r="I355" s="151"/>
      <c r="J355" s="151"/>
      <c r="K355" s="151"/>
      <c r="L355" s="151"/>
      <c r="M355" s="151"/>
    </row>
    <row r="356" spans="2:13" x14ac:dyDescent="0.3">
      <c r="B356" s="44"/>
      <c r="C356" s="44"/>
      <c r="D356" s="44"/>
      <c r="E356" s="149"/>
      <c r="F356" s="149"/>
      <c r="G356" s="151"/>
      <c r="H356" s="151"/>
      <c r="I356" s="151"/>
      <c r="J356" s="151"/>
      <c r="K356" s="151"/>
      <c r="L356" s="151"/>
      <c r="M356" s="151"/>
    </row>
    <row r="357" spans="2:13" x14ac:dyDescent="0.3">
      <c r="B357" s="44"/>
      <c r="C357" s="44"/>
      <c r="D357" s="44"/>
      <c r="E357" s="149"/>
      <c r="F357" s="149"/>
      <c r="G357" s="151"/>
      <c r="H357" s="151"/>
      <c r="I357" s="151"/>
      <c r="J357" s="151"/>
      <c r="K357" s="151"/>
      <c r="L357" s="151"/>
      <c r="M357" s="151"/>
    </row>
    <row r="358" spans="2:13" x14ac:dyDescent="0.3">
      <c r="B358" s="44"/>
      <c r="C358" s="44"/>
      <c r="D358" s="44"/>
      <c r="E358" s="149"/>
      <c r="F358" s="149"/>
      <c r="G358" s="151"/>
      <c r="H358" s="151"/>
      <c r="I358" s="151"/>
      <c r="J358" s="151"/>
      <c r="K358" s="151"/>
      <c r="L358" s="151"/>
      <c r="M358" s="151"/>
    </row>
    <row r="359" spans="2:13" x14ac:dyDescent="0.3">
      <c r="B359" s="44"/>
      <c r="C359" s="44"/>
      <c r="D359" s="44"/>
      <c r="E359" s="149"/>
      <c r="F359" s="149"/>
      <c r="G359" s="151"/>
      <c r="H359" s="151"/>
      <c r="I359" s="151"/>
      <c r="J359" s="151"/>
      <c r="K359" s="151"/>
      <c r="L359" s="151"/>
      <c r="M359" s="151"/>
    </row>
    <row r="360" spans="2:13" x14ac:dyDescent="0.3">
      <c r="B360" s="44"/>
      <c r="C360" s="44"/>
      <c r="D360" s="44"/>
      <c r="E360" s="149"/>
      <c r="F360" s="149"/>
      <c r="G360" s="151"/>
      <c r="H360" s="151"/>
      <c r="I360" s="151"/>
      <c r="J360" s="151"/>
      <c r="K360" s="151"/>
      <c r="L360" s="151"/>
      <c r="M360" s="151"/>
    </row>
    <row r="361" spans="2:13" x14ac:dyDescent="0.3">
      <c r="B361" s="44"/>
      <c r="C361" s="44"/>
      <c r="D361" s="44"/>
      <c r="E361" s="149"/>
      <c r="F361" s="149"/>
      <c r="G361" s="151"/>
      <c r="H361" s="151"/>
      <c r="I361" s="151"/>
      <c r="J361" s="151"/>
      <c r="K361" s="151"/>
      <c r="L361" s="151"/>
      <c r="M361" s="151"/>
    </row>
    <row r="362" spans="2:13" x14ac:dyDescent="0.3">
      <c r="B362" s="44"/>
      <c r="C362" s="44"/>
      <c r="D362" s="44"/>
      <c r="E362" s="149"/>
      <c r="F362" s="149"/>
      <c r="G362" s="151"/>
      <c r="H362" s="151"/>
      <c r="I362" s="151"/>
      <c r="J362" s="151"/>
      <c r="K362" s="151"/>
      <c r="L362" s="151"/>
      <c r="M362" s="151"/>
    </row>
    <row r="363" spans="2:13" x14ac:dyDescent="0.3">
      <c r="B363" s="44"/>
      <c r="C363" s="44"/>
      <c r="D363" s="44"/>
      <c r="E363" s="149"/>
      <c r="F363" s="149"/>
      <c r="G363" s="151"/>
      <c r="H363" s="151"/>
      <c r="I363" s="151"/>
      <c r="J363" s="151"/>
      <c r="K363" s="151"/>
      <c r="L363" s="151"/>
      <c r="M363" s="151"/>
    </row>
    <row r="364" spans="2:13" x14ac:dyDescent="0.3">
      <c r="B364" s="44"/>
      <c r="C364" s="44"/>
      <c r="D364" s="44"/>
      <c r="E364" s="149"/>
      <c r="F364" s="149"/>
      <c r="G364" s="151"/>
      <c r="H364" s="151"/>
      <c r="I364" s="151"/>
      <c r="J364" s="151"/>
      <c r="K364" s="151"/>
      <c r="L364" s="151"/>
      <c r="M364" s="151"/>
    </row>
    <row r="365" spans="2:13" x14ac:dyDescent="0.3">
      <c r="B365" s="44"/>
      <c r="C365" s="44"/>
      <c r="D365" s="44"/>
      <c r="E365" s="149"/>
      <c r="F365" s="149"/>
      <c r="G365" s="151"/>
      <c r="H365" s="151"/>
      <c r="I365" s="151"/>
      <c r="J365" s="151"/>
      <c r="K365" s="151"/>
      <c r="L365" s="151"/>
      <c r="M365" s="151"/>
    </row>
    <row r="366" spans="2:13" x14ac:dyDescent="0.3">
      <c r="B366" s="44"/>
      <c r="C366" s="44"/>
      <c r="D366" s="44"/>
      <c r="E366" s="149"/>
      <c r="F366" s="149"/>
      <c r="G366" s="151"/>
      <c r="H366" s="151"/>
      <c r="I366" s="151"/>
      <c r="J366" s="151"/>
      <c r="K366" s="151"/>
      <c r="L366" s="151"/>
      <c r="M366" s="151"/>
    </row>
    <row r="367" spans="2:13" x14ac:dyDescent="0.3">
      <c r="B367" s="44"/>
      <c r="C367" s="44"/>
      <c r="D367" s="44"/>
      <c r="E367" s="149"/>
      <c r="F367" s="149"/>
      <c r="G367" s="151"/>
      <c r="H367" s="151"/>
      <c r="I367" s="151"/>
      <c r="J367" s="151"/>
      <c r="K367" s="151"/>
      <c r="L367" s="151"/>
      <c r="M367" s="151"/>
    </row>
    <row r="368" spans="2:13" x14ac:dyDescent="0.3">
      <c r="B368" s="44"/>
      <c r="C368" s="44"/>
      <c r="D368" s="44"/>
      <c r="E368" s="149"/>
      <c r="F368" s="149"/>
      <c r="G368" s="151"/>
      <c r="H368" s="151"/>
      <c r="I368" s="151"/>
      <c r="J368" s="151"/>
      <c r="K368" s="151"/>
      <c r="L368" s="151"/>
      <c r="M368" s="151"/>
    </row>
    <row r="369" spans="2:13" x14ac:dyDescent="0.3">
      <c r="B369" s="44"/>
      <c r="C369" s="44"/>
      <c r="D369" s="44"/>
      <c r="E369" s="149"/>
      <c r="F369" s="149"/>
      <c r="G369" s="151"/>
      <c r="H369" s="151"/>
      <c r="I369" s="151"/>
      <c r="J369" s="151"/>
      <c r="K369" s="151"/>
      <c r="L369" s="151"/>
      <c r="M369" s="151"/>
    </row>
    <row r="370" spans="2:13" x14ac:dyDescent="0.3">
      <c r="B370" s="44"/>
      <c r="C370" s="44"/>
      <c r="D370" s="44"/>
      <c r="E370" s="149"/>
      <c r="F370" s="149"/>
      <c r="G370" s="151"/>
      <c r="H370" s="151"/>
      <c r="I370" s="151"/>
      <c r="J370" s="151"/>
      <c r="K370" s="151"/>
      <c r="L370" s="151"/>
      <c r="M370" s="151"/>
    </row>
    <row r="371" spans="2:13" x14ac:dyDescent="0.3">
      <c r="B371" s="44"/>
      <c r="C371" s="44"/>
      <c r="D371" s="44"/>
      <c r="E371" s="149"/>
      <c r="F371" s="149"/>
      <c r="G371" s="151"/>
      <c r="H371" s="151"/>
      <c r="I371" s="151"/>
      <c r="J371" s="151"/>
      <c r="K371" s="151"/>
      <c r="L371" s="151"/>
      <c r="M371" s="151"/>
    </row>
    <row r="372" spans="2:13" x14ac:dyDescent="0.3">
      <c r="B372" s="44"/>
      <c r="C372" s="44"/>
      <c r="D372" s="44"/>
      <c r="E372" s="149"/>
      <c r="F372" s="149"/>
      <c r="G372" s="151"/>
      <c r="H372" s="151"/>
      <c r="I372" s="151"/>
      <c r="J372" s="151"/>
      <c r="K372" s="151"/>
      <c r="L372" s="151"/>
      <c r="M372" s="151"/>
    </row>
    <row r="373" spans="2:13" x14ac:dyDescent="0.3">
      <c r="B373" s="44"/>
      <c r="C373" s="44"/>
      <c r="D373" s="44"/>
      <c r="E373" s="149"/>
      <c r="F373" s="149"/>
      <c r="G373" s="151"/>
      <c r="H373" s="151"/>
      <c r="I373" s="151"/>
      <c r="J373" s="151"/>
      <c r="K373" s="151"/>
      <c r="L373" s="151"/>
      <c r="M373" s="151"/>
    </row>
    <row r="374" spans="2:13" x14ac:dyDescent="0.3">
      <c r="B374" s="44"/>
      <c r="C374" s="44"/>
      <c r="D374" s="44"/>
      <c r="E374" s="149"/>
      <c r="F374" s="149"/>
      <c r="G374" s="151"/>
      <c r="H374" s="151"/>
      <c r="I374" s="151"/>
      <c r="J374" s="151"/>
      <c r="K374" s="151"/>
      <c r="L374" s="151"/>
      <c r="M374" s="151"/>
    </row>
    <row r="375" spans="2:13" x14ac:dyDescent="0.3">
      <c r="B375" s="44"/>
      <c r="C375" s="44"/>
      <c r="D375" s="44"/>
      <c r="E375" s="149"/>
      <c r="F375" s="149"/>
      <c r="G375" s="151"/>
      <c r="H375" s="151"/>
      <c r="I375" s="151"/>
      <c r="J375" s="151"/>
      <c r="K375" s="151"/>
      <c r="L375" s="151"/>
      <c r="M375" s="151"/>
    </row>
    <row r="376" spans="2:13" x14ac:dyDescent="0.3">
      <c r="B376" s="44"/>
      <c r="C376" s="44"/>
      <c r="D376" s="44"/>
      <c r="E376" s="149"/>
      <c r="F376" s="149"/>
      <c r="G376" s="151"/>
      <c r="H376" s="151"/>
      <c r="I376" s="151"/>
      <c r="J376" s="151"/>
      <c r="K376" s="151"/>
      <c r="L376" s="151"/>
      <c r="M376" s="151"/>
    </row>
    <row r="377" spans="2:13" x14ac:dyDescent="0.3">
      <c r="B377" s="44"/>
      <c r="C377" s="44"/>
      <c r="D377" s="44"/>
      <c r="E377" s="149"/>
      <c r="F377" s="149"/>
      <c r="G377" s="151"/>
      <c r="H377" s="151"/>
      <c r="I377" s="151"/>
      <c r="J377" s="151"/>
      <c r="K377" s="151"/>
      <c r="L377" s="151"/>
      <c r="M377" s="151"/>
    </row>
    <row r="378" spans="2:13" x14ac:dyDescent="0.3">
      <c r="B378" s="44"/>
      <c r="C378" s="44"/>
      <c r="D378" s="44"/>
      <c r="E378" s="149"/>
      <c r="F378" s="149"/>
      <c r="G378" s="151"/>
      <c r="H378" s="151"/>
      <c r="I378" s="151"/>
      <c r="J378" s="151"/>
      <c r="K378" s="151"/>
      <c r="L378" s="151"/>
      <c r="M378" s="151"/>
    </row>
    <row r="379" spans="2:13" x14ac:dyDescent="0.3">
      <c r="B379" s="44"/>
      <c r="C379" s="44"/>
      <c r="D379" s="44"/>
      <c r="E379" s="149"/>
      <c r="F379" s="149"/>
      <c r="G379" s="151"/>
      <c r="H379" s="151"/>
      <c r="I379" s="151"/>
      <c r="J379" s="151"/>
      <c r="K379" s="151"/>
      <c r="L379" s="151"/>
      <c r="M379" s="151"/>
    </row>
    <row r="380" spans="2:13" x14ac:dyDescent="0.3">
      <c r="B380" s="44"/>
      <c r="C380" s="44"/>
      <c r="D380" s="44"/>
      <c r="E380" s="149"/>
      <c r="F380" s="149"/>
      <c r="G380" s="151"/>
      <c r="H380" s="151"/>
      <c r="I380" s="151"/>
      <c r="J380" s="151"/>
      <c r="K380" s="151"/>
      <c r="L380" s="151"/>
      <c r="M380" s="151"/>
    </row>
    <row r="381" spans="2:13" x14ac:dyDescent="0.3">
      <c r="B381" s="44"/>
      <c r="C381" s="44"/>
      <c r="D381" s="44"/>
      <c r="E381" s="149"/>
      <c r="F381" s="149"/>
      <c r="G381" s="151"/>
      <c r="H381" s="151"/>
      <c r="I381" s="151"/>
      <c r="J381" s="151"/>
      <c r="K381" s="151"/>
      <c r="L381" s="151"/>
      <c r="M381" s="151"/>
    </row>
    <row r="382" spans="2:13" x14ac:dyDescent="0.3">
      <c r="B382" s="44"/>
      <c r="C382" s="44"/>
      <c r="D382" s="44"/>
      <c r="E382" s="149"/>
      <c r="F382" s="149"/>
      <c r="G382" s="151"/>
      <c r="H382" s="151"/>
      <c r="I382" s="151"/>
      <c r="J382" s="151"/>
      <c r="K382" s="151"/>
      <c r="L382" s="151"/>
      <c r="M382" s="151"/>
    </row>
  </sheetData>
  <mergeCells count="14">
    <mergeCell ref="B1:M1"/>
    <mergeCell ref="K3:K4"/>
    <mergeCell ref="N19:O19"/>
    <mergeCell ref="Q19:R19"/>
    <mergeCell ref="T19:U19"/>
    <mergeCell ref="AR19:AS19"/>
    <mergeCell ref="R53:T53"/>
    <mergeCell ref="Z19:AA19"/>
    <mergeCell ref="AC19:AD19"/>
    <mergeCell ref="AF19:AG19"/>
    <mergeCell ref="AI19:AJ19"/>
    <mergeCell ref="AL19:AM19"/>
    <mergeCell ref="AO19:AP19"/>
    <mergeCell ref="W19:X19"/>
  </mergeCells>
  <phoneticPr fontId="3" type="noConversion"/>
  <dataValidations disablePrompts="1" count="1">
    <dataValidation allowBlank="1" showErrorMessage="1" sqref="E7:E9"/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499984740745262"/>
  </sheetPr>
  <dimension ref="A1:AB631"/>
  <sheetViews>
    <sheetView showGridLines="0" workbookViewId="0">
      <selection activeCell="O13" sqref="O13"/>
    </sheetView>
  </sheetViews>
  <sheetFormatPr defaultRowHeight="16.5" x14ac:dyDescent="0.3"/>
  <cols>
    <col min="1" max="1" width="4.75" customWidth="1"/>
    <col min="2" max="7" width="10.625" style="25" customWidth="1"/>
    <col min="8" max="8" width="10.625" customWidth="1"/>
    <col min="9" max="9" width="4.75" customWidth="1"/>
    <col min="10" max="28" width="9.375" customWidth="1"/>
    <col min="29" max="29" width="4.75" customWidth="1"/>
  </cols>
  <sheetData>
    <row r="1" spans="1:9" ht="40.5" customHeight="1" x14ac:dyDescent="0.3">
      <c r="A1" s="10"/>
      <c r="B1" s="543" t="s">
        <v>332</v>
      </c>
      <c r="C1" s="543"/>
      <c r="D1" s="543"/>
      <c r="E1" s="543"/>
      <c r="F1" s="543"/>
      <c r="G1" s="543"/>
      <c r="H1" s="543"/>
      <c r="I1" s="10"/>
    </row>
    <row r="2" spans="1:9" ht="16.5" customHeight="1" thickBot="1" x14ac:dyDescent="0.35"/>
    <row r="3" spans="1:9" ht="24.95" customHeight="1" thickBot="1" x14ac:dyDescent="0.35">
      <c r="B3" s="29" t="s">
        <v>326</v>
      </c>
      <c r="C3" s="30" t="s">
        <v>327</v>
      </c>
      <c r="D3" s="30" t="s">
        <v>329</v>
      </c>
      <c r="E3" s="30" t="s">
        <v>333</v>
      </c>
      <c r="F3" s="30" t="s">
        <v>334</v>
      </c>
      <c r="G3" s="30" t="s">
        <v>328</v>
      </c>
      <c r="H3" s="31" t="s">
        <v>335</v>
      </c>
    </row>
    <row r="4" spans="1:9" ht="24.95" customHeight="1" thickBot="1" x14ac:dyDescent="0.35">
      <c r="B4" s="491" t="s">
        <v>349</v>
      </c>
      <c r="C4" s="492" t="s">
        <v>350</v>
      </c>
      <c r="D4" s="493">
        <v>30000000</v>
      </c>
      <c r="E4" s="494">
        <v>0.05</v>
      </c>
      <c r="F4" s="515" t="s">
        <v>336</v>
      </c>
      <c r="G4" s="495">
        <v>44549</v>
      </c>
      <c r="H4" s="496">
        <v>46375</v>
      </c>
    </row>
    <row r="5" spans="1:9" ht="24.95" customHeight="1" thickBot="1" x14ac:dyDescent="0.35">
      <c r="B5" s="29" t="s">
        <v>337</v>
      </c>
      <c r="C5" s="30" t="s">
        <v>338</v>
      </c>
      <c r="D5" s="30" t="s">
        <v>339</v>
      </c>
      <c r="E5" s="30" t="s">
        <v>330</v>
      </c>
      <c r="F5" s="30" t="s">
        <v>331</v>
      </c>
      <c r="G5" s="30" t="s">
        <v>324</v>
      </c>
      <c r="H5" s="31" t="s">
        <v>325</v>
      </c>
    </row>
    <row r="6" spans="1:9" ht="24.95" customHeight="1" x14ac:dyDescent="0.3">
      <c r="B6" s="497">
        <f>IF(H4="","",DATEDIF(G4,H4,"M")+D6)</f>
        <v>60</v>
      </c>
      <c r="C6" s="498">
        <f ca="1">IF(H4="","",IF(H4&lt;TODAY(),0,DATEDIF(TODAY(),H4,"M")))</f>
        <v>13</v>
      </c>
      <c r="D6" s="499"/>
      <c r="E6" s="190">
        <f>SUM($E$9:$E$697)</f>
        <v>3968220.5592196789</v>
      </c>
      <c r="F6" s="190">
        <f>SUM($F$9:$F$697)</f>
        <v>33968220.559219658</v>
      </c>
      <c r="G6" s="190">
        <f ca="1">IF($H$4="","",VLOOKUP(TODAY(),$C$8:$H$697,5,TRUE))</f>
        <v>22850480.564274997</v>
      </c>
      <c r="H6" s="196">
        <f ca="1">IF($H$4="","",VLOOKUP(TODAY(),$C$8:$H$697,6,TRUE))</f>
        <v>7149519.4357249979</v>
      </c>
    </row>
    <row r="7" spans="1:9" ht="16.5" customHeight="1" thickBot="1" x14ac:dyDescent="0.35">
      <c r="B7" s="27"/>
      <c r="C7" s="27"/>
      <c r="D7" s="27"/>
      <c r="E7" s="27"/>
      <c r="F7" s="27"/>
      <c r="G7" s="27"/>
      <c r="H7" s="500"/>
    </row>
    <row r="8" spans="1:9" ht="30" customHeight="1" thickBot="1" x14ac:dyDescent="0.35">
      <c r="B8" s="29" t="s">
        <v>340</v>
      </c>
      <c r="C8" s="29" t="s">
        <v>341</v>
      </c>
      <c r="D8" s="30" t="s">
        <v>342</v>
      </c>
      <c r="E8" s="30" t="s">
        <v>343</v>
      </c>
      <c r="F8" s="31" t="s">
        <v>344</v>
      </c>
      <c r="G8" s="30" t="s">
        <v>345</v>
      </c>
      <c r="H8" s="31" t="s">
        <v>346</v>
      </c>
      <c r="I8" s="49"/>
    </row>
    <row r="9" spans="1:9" ht="20.100000000000001" customHeight="1" x14ac:dyDescent="0.3">
      <c r="B9" s="197">
        <v>1</v>
      </c>
      <c r="C9" s="501">
        <f>IF($H$4="","",IF(B9&gt;($B$6),"",IF(B9&lt;=($B$6),DATE(YEAR($G$4),MONTH($G$4),DAY($G$4)),"")))</f>
        <v>44549</v>
      </c>
      <c r="D9" s="502">
        <f>IF($H$4="","",IF($F$4="원리금균등상환",IFERROR(IF(B9&lt;=$D$6,0,-PPMT($E$4/12,B9-$D$6,($B$6-$D$6),$D$4)),""),IF($F$4="원금균등상환",IF(B9&lt;($D$6+1),0,IF(B9&gt;$B$6,0,$D$4/($B$6-$D$6))),IF($F$4="만기일시상환",0,""))))</f>
        <v>441137.00932032801</v>
      </c>
      <c r="E9" s="190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>124999.99999999999</v>
      </c>
      <c r="F9" s="196">
        <f>IF($H$4="","",IF($F$4="원리금균등상환",IFERROR(D9+E9,""),IF($F$4="원금균등상환",D9+E9,"")))</f>
        <v>566137.00932032801</v>
      </c>
      <c r="G9" s="190">
        <f>IFERROR(IF(B9&gt;(($D$6+$B$6)*12),"",IF(B9=1,D9,D9+G8)),"")</f>
        <v>441137.00932032801</v>
      </c>
      <c r="H9" s="503">
        <f>IFERROR(IF($H$4="","",D4-D9),"")</f>
        <v>29558862.990679674</v>
      </c>
      <c r="I9" s="49"/>
    </row>
    <row r="10" spans="1:9" ht="20.100000000000001" customHeight="1" x14ac:dyDescent="0.3">
      <c r="B10" s="198">
        <v>2</v>
      </c>
      <c r="C10" s="501">
        <f>IF($H$4="","",IF(B10&gt;($B$6),"",IF(B10&lt;=($B$6),DATE(YEAR($G$4),MONTH($G$4)+B9,DAY($G$4)),"")))</f>
        <v>44580</v>
      </c>
      <c r="D10" s="502">
        <f>IF($H$4="","",IF($F$4="원리금균등상환",IFERROR(IF(B10&lt;=$D$6,0,-PPMT($E$4/12,B10-$D$6,($B$6-$D$6),$D$4)),""),IF($F$4="원금균등상환",IF(B10&lt;($D$6+1),0,IF(B10&gt;$B$6,0,$D$4/($B$6-$D$6))),IF($F$4="만기일시상환",0,""))))</f>
        <v>442975.08019249607</v>
      </c>
      <c r="E10" s="190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>123161.92912783194</v>
      </c>
      <c r="F10" s="196">
        <f t="shared" ref="F10:F73" si="0">IF($H$4="","",IF($F$4="원리금균등상환",IFERROR(D10+E10,""),IF($F$4="원금균등상환",D10+E10,"")))</f>
        <v>566137.00932032801</v>
      </c>
      <c r="G10" s="190">
        <f>IFERROR(IF(B10&gt;(($D$6+$B$6)*12),"",IF(B10=1,D10,D10+G9)),"")</f>
        <v>884112.08951282408</v>
      </c>
      <c r="H10" s="503">
        <f>IFERROR(IF($H$4="","",H9-D10),"")</f>
        <v>29115887.910487179</v>
      </c>
      <c r="I10" s="49"/>
    </row>
    <row r="11" spans="1:9" ht="20.100000000000001" customHeight="1" x14ac:dyDescent="0.3">
      <c r="B11" s="198">
        <v>3</v>
      </c>
      <c r="C11" s="501">
        <f t="shared" ref="C11:C74" si="1">IF($H$4="","",IF(B11&gt;($B$6),"",IF(B11&lt;=($B$6),DATE(YEAR($G$4),MONTH($G$4)+B10,DAY($G$4)),"")))</f>
        <v>44611</v>
      </c>
      <c r="D11" s="502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>444820.80969329813</v>
      </c>
      <c r="E11" s="190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>121316.1996270299</v>
      </c>
      <c r="F11" s="196">
        <f t="shared" si="0"/>
        <v>566137.00932032801</v>
      </c>
      <c r="G11" s="190">
        <f t="shared" ref="G11:G74" si="4">IFERROR(IF(B11&gt;(($D$6+$B$6)*12),"",IF(B11=1,D11,D11+G10)),"")</f>
        <v>1328932.8992061222</v>
      </c>
      <c r="H11" s="503">
        <f t="shared" ref="H11:H74" si="5">IFERROR(IF($H$4="","",H10-D11),"")</f>
        <v>28671067.100793879</v>
      </c>
      <c r="I11" s="49"/>
    </row>
    <row r="12" spans="1:9" ht="20.100000000000001" customHeight="1" x14ac:dyDescent="0.3">
      <c r="B12" s="198">
        <v>4</v>
      </c>
      <c r="C12" s="501">
        <f t="shared" si="1"/>
        <v>44639</v>
      </c>
      <c r="D12" s="502">
        <f t="shared" si="2"/>
        <v>446674.22973368689</v>
      </c>
      <c r="E12" s="190">
        <f t="shared" si="3"/>
        <v>119462.77958664115</v>
      </c>
      <c r="F12" s="196">
        <f t="shared" si="0"/>
        <v>566137.00932032801</v>
      </c>
      <c r="G12" s="190">
        <f t="shared" si="4"/>
        <v>1775607.128939809</v>
      </c>
      <c r="H12" s="503">
        <f t="shared" si="5"/>
        <v>28224392.871060193</v>
      </c>
      <c r="I12" s="49"/>
    </row>
    <row r="13" spans="1:9" ht="20.100000000000001" customHeight="1" x14ac:dyDescent="0.3">
      <c r="B13" s="198">
        <v>5</v>
      </c>
      <c r="C13" s="501">
        <f t="shared" si="1"/>
        <v>44670</v>
      </c>
      <c r="D13" s="502">
        <f t="shared" si="2"/>
        <v>448535.37235757726</v>
      </c>
      <c r="E13" s="190">
        <f t="shared" si="3"/>
        <v>117601.6369627508</v>
      </c>
      <c r="F13" s="196">
        <f t="shared" si="0"/>
        <v>566137.00932032801</v>
      </c>
      <c r="G13" s="190">
        <f t="shared" si="4"/>
        <v>2224142.5012973864</v>
      </c>
      <c r="H13" s="503">
        <f t="shared" si="5"/>
        <v>27775857.498702615</v>
      </c>
      <c r="I13" s="49"/>
    </row>
    <row r="14" spans="1:9" ht="20.100000000000001" customHeight="1" x14ac:dyDescent="0.3">
      <c r="B14" s="198">
        <v>6</v>
      </c>
      <c r="C14" s="501">
        <f t="shared" si="1"/>
        <v>44700</v>
      </c>
      <c r="D14" s="502">
        <f t="shared" si="2"/>
        <v>450404.26974240044</v>
      </c>
      <c r="E14" s="190">
        <f t="shared" si="3"/>
        <v>115732.73957792752</v>
      </c>
      <c r="F14" s="196">
        <f t="shared" si="0"/>
        <v>566137.00932032801</v>
      </c>
      <c r="G14" s="190">
        <f t="shared" si="4"/>
        <v>2674546.7710397867</v>
      </c>
      <c r="H14" s="503">
        <f t="shared" si="5"/>
        <v>27325453.228960216</v>
      </c>
      <c r="I14" s="49"/>
    </row>
    <row r="15" spans="1:9" ht="20.100000000000001" customHeight="1" x14ac:dyDescent="0.3">
      <c r="B15" s="198">
        <v>7</v>
      </c>
      <c r="C15" s="501">
        <f t="shared" si="1"/>
        <v>44731</v>
      </c>
      <c r="D15" s="502">
        <f t="shared" si="2"/>
        <v>452280.95419966045</v>
      </c>
      <c r="E15" s="190">
        <f t="shared" si="3"/>
        <v>113856.05512066753</v>
      </c>
      <c r="F15" s="196">
        <f t="shared" si="0"/>
        <v>566137.00932032801</v>
      </c>
      <c r="G15" s="190">
        <f t="shared" si="4"/>
        <v>3126827.7252394473</v>
      </c>
      <c r="H15" s="503">
        <f t="shared" si="5"/>
        <v>26873172.274760555</v>
      </c>
      <c r="I15" s="49"/>
    </row>
    <row r="16" spans="1:9" ht="20.100000000000001" customHeight="1" x14ac:dyDescent="0.3">
      <c r="B16" s="198">
        <v>8</v>
      </c>
      <c r="C16" s="501">
        <f t="shared" si="1"/>
        <v>44761</v>
      </c>
      <c r="D16" s="502">
        <f t="shared" si="2"/>
        <v>454165.45817549236</v>
      </c>
      <c r="E16" s="190">
        <f t="shared" si="3"/>
        <v>111971.55114483561</v>
      </c>
      <c r="F16" s="196">
        <f t="shared" si="0"/>
        <v>566137.00932032801</v>
      </c>
      <c r="G16" s="190">
        <f t="shared" si="4"/>
        <v>3580993.1834149398</v>
      </c>
      <c r="H16" s="503">
        <f t="shared" si="5"/>
        <v>26419006.816585064</v>
      </c>
      <c r="I16" s="49"/>
    </row>
    <row r="17" spans="2:9" ht="20.100000000000001" customHeight="1" x14ac:dyDescent="0.3">
      <c r="B17" s="198">
        <v>9</v>
      </c>
      <c r="C17" s="501">
        <f t="shared" si="1"/>
        <v>44792</v>
      </c>
      <c r="D17" s="502">
        <f t="shared" si="2"/>
        <v>456057.81425122364</v>
      </c>
      <c r="E17" s="190">
        <f t="shared" si="3"/>
        <v>110079.1950691044</v>
      </c>
      <c r="F17" s="196">
        <f t="shared" si="0"/>
        <v>566137.00932032801</v>
      </c>
      <c r="G17" s="190">
        <f t="shared" si="4"/>
        <v>4037050.9976661634</v>
      </c>
      <c r="H17" s="503">
        <f t="shared" si="5"/>
        <v>25962949.002333838</v>
      </c>
      <c r="I17" s="49"/>
    </row>
    <row r="18" spans="2:9" ht="20.100000000000001" customHeight="1" x14ac:dyDescent="0.3">
      <c r="B18" s="198">
        <v>10</v>
      </c>
      <c r="C18" s="501">
        <f t="shared" si="1"/>
        <v>44823</v>
      </c>
      <c r="D18" s="502">
        <f t="shared" si="2"/>
        <v>457958.055143937</v>
      </c>
      <c r="E18" s="190">
        <f t="shared" si="3"/>
        <v>108178.95417639097</v>
      </c>
      <c r="F18" s="196">
        <f t="shared" si="0"/>
        <v>566137.00932032801</v>
      </c>
      <c r="G18" s="190">
        <f t="shared" si="4"/>
        <v>4495009.0528101008</v>
      </c>
      <c r="H18" s="503">
        <f t="shared" si="5"/>
        <v>25504990.947189901</v>
      </c>
      <c r="I18" s="49"/>
    </row>
    <row r="19" spans="2:9" ht="20.100000000000001" customHeight="1" x14ac:dyDescent="0.3">
      <c r="B19" s="198">
        <v>11</v>
      </c>
      <c r="C19" s="501">
        <f t="shared" si="1"/>
        <v>44853</v>
      </c>
      <c r="D19" s="502">
        <f t="shared" si="2"/>
        <v>459866.21370703675</v>
      </c>
      <c r="E19" s="190">
        <f t="shared" si="3"/>
        <v>106270.79561329125</v>
      </c>
      <c r="F19" s="196">
        <f t="shared" si="0"/>
        <v>566137.00932032801</v>
      </c>
      <c r="G19" s="190">
        <f t="shared" si="4"/>
        <v>4954875.2665171372</v>
      </c>
      <c r="H19" s="503">
        <f t="shared" si="5"/>
        <v>25045124.733482864</v>
      </c>
      <c r="I19" s="49"/>
    </row>
    <row r="20" spans="2:9" ht="20.100000000000001" customHeight="1" x14ac:dyDescent="0.3">
      <c r="B20" s="198">
        <v>12</v>
      </c>
      <c r="C20" s="501">
        <f t="shared" si="1"/>
        <v>44884</v>
      </c>
      <c r="D20" s="502">
        <f t="shared" si="2"/>
        <v>461782.3229308161</v>
      </c>
      <c r="E20" s="190">
        <f t="shared" si="3"/>
        <v>104354.6863895119</v>
      </c>
      <c r="F20" s="196">
        <f t="shared" si="0"/>
        <v>566137.00932032801</v>
      </c>
      <c r="G20" s="190">
        <f t="shared" si="4"/>
        <v>5416657.5894479528</v>
      </c>
      <c r="H20" s="503">
        <f t="shared" si="5"/>
        <v>24583342.410552047</v>
      </c>
      <c r="I20" s="49"/>
    </row>
    <row r="21" spans="2:9" ht="20.100000000000001" customHeight="1" x14ac:dyDescent="0.3">
      <c r="B21" s="197">
        <v>13</v>
      </c>
      <c r="C21" s="501">
        <f t="shared" si="1"/>
        <v>44914</v>
      </c>
      <c r="D21" s="502">
        <f t="shared" si="2"/>
        <v>463706.41594302782</v>
      </c>
      <c r="E21" s="190">
        <f t="shared" si="3"/>
        <v>102430.59337730016</v>
      </c>
      <c r="F21" s="196">
        <f t="shared" si="0"/>
        <v>566137.00932032801</v>
      </c>
      <c r="G21" s="190">
        <f t="shared" si="4"/>
        <v>5880364.0053909803</v>
      </c>
      <c r="H21" s="503">
        <f t="shared" si="5"/>
        <v>24119635.994609021</v>
      </c>
      <c r="I21" s="49"/>
    </row>
    <row r="22" spans="2:9" ht="20.100000000000001" customHeight="1" x14ac:dyDescent="0.3">
      <c r="B22" s="198">
        <v>14</v>
      </c>
      <c r="C22" s="501">
        <f t="shared" si="1"/>
        <v>44945</v>
      </c>
      <c r="D22" s="502">
        <f t="shared" si="2"/>
        <v>465638.52600945713</v>
      </c>
      <c r="E22" s="190">
        <f t="shared" si="3"/>
        <v>100498.4833108709</v>
      </c>
      <c r="F22" s="196">
        <f t="shared" si="0"/>
        <v>566137.00932032801</v>
      </c>
      <c r="G22" s="190">
        <f t="shared" si="4"/>
        <v>6346002.5314004375</v>
      </c>
      <c r="H22" s="503">
        <f t="shared" si="5"/>
        <v>23653997.468599565</v>
      </c>
      <c r="I22" s="49"/>
    </row>
    <row r="23" spans="2:9" ht="20.100000000000001" customHeight="1" x14ac:dyDescent="0.3">
      <c r="B23" s="198">
        <v>15</v>
      </c>
      <c r="C23" s="501">
        <f t="shared" si="1"/>
        <v>44976</v>
      </c>
      <c r="D23" s="502">
        <f t="shared" si="2"/>
        <v>467578.68653449649</v>
      </c>
      <c r="E23" s="190">
        <f t="shared" si="3"/>
        <v>98558.322785831508</v>
      </c>
      <c r="F23" s="196">
        <f t="shared" si="0"/>
        <v>566137.00932032801</v>
      </c>
      <c r="G23" s="190">
        <f t="shared" si="4"/>
        <v>6813581.2179349344</v>
      </c>
      <c r="H23" s="503">
        <f t="shared" si="5"/>
        <v>23186418.782065067</v>
      </c>
      <c r="I23" s="49"/>
    </row>
    <row r="24" spans="2:9" ht="20.100000000000001" customHeight="1" x14ac:dyDescent="0.3">
      <c r="B24" s="198">
        <v>16</v>
      </c>
      <c r="C24" s="501">
        <f t="shared" si="1"/>
        <v>45004</v>
      </c>
      <c r="D24" s="502">
        <f t="shared" si="2"/>
        <v>469526.93106172356</v>
      </c>
      <c r="E24" s="190">
        <f t="shared" si="3"/>
        <v>96610.078258604422</v>
      </c>
      <c r="F24" s="196">
        <f t="shared" si="0"/>
        <v>566137.00932032801</v>
      </c>
      <c r="G24" s="190">
        <f t="shared" si="4"/>
        <v>7283108.1489966577</v>
      </c>
      <c r="H24" s="503">
        <f t="shared" si="5"/>
        <v>22716891.851003345</v>
      </c>
      <c r="I24" s="49"/>
    </row>
    <row r="25" spans="2:9" ht="20.100000000000001" customHeight="1" x14ac:dyDescent="0.3">
      <c r="B25" s="198">
        <v>17</v>
      </c>
      <c r="C25" s="501">
        <f t="shared" si="1"/>
        <v>45035</v>
      </c>
      <c r="D25" s="502">
        <f t="shared" si="2"/>
        <v>471483.29327448073</v>
      </c>
      <c r="E25" s="190">
        <f t="shared" si="3"/>
        <v>94653.716045847235</v>
      </c>
      <c r="F25" s="196">
        <f t="shared" si="0"/>
        <v>566137.00932032801</v>
      </c>
      <c r="G25" s="190">
        <f t="shared" si="4"/>
        <v>7754591.4422711385</v>
      </c>
      <c r="H25" s="503">
        <f t="shared" si="5"/>
        <v>22245408.557728864</v>
      </c>
      <c r="I25" s="49"/>
    </row>
    <row r="26" spans="2:9" ht="20.100000000000001" customHeight="1" x14ac:dyDescent="0.3">
      <c r="B26" s="198">
        <v>18</v>
      </c>
      <c r="C26" s="501">
        <f t="shared" si="1"/>
        <v>45065</v>
      </c>
      <c r="D26" s="502">
        <f t="shared" si="2"/>
        <v>473447.80699645774</v>
      </c>
      <c r="E26" s="190">
        <f t="shared" si="3"/>
        <v>92689.202323870253</v>
      </c>
      <c r="F26" s="196">
        <f t="shared" si="0"/>
        <v>566137.00932032801</v>
      </c>
      <c r="G26" s="190">
        <f t="shared" si="4"/>
        <v>8228039.2492675968</v>
      </c>
      <c r="H26" s="503">
        <f t="shared" si="5"/>
        <v>21771960.750732407</v>
      </c>
      <c r="I26" s="49"/>
    </row>
    <row r="27" spans="2:9" ht="20.100000000000001" customHeight="1" x14ac:dyDescent="0.3">
      <c r="B27" s="198">
        <v>19</v>
      </c>
      <c r="C27" s="501">
        <f t="shared" si="1"/>
        <v>45096</v>
      </c>
      <c r="D27" s="502">
        <f t="shared" si="2"/>
        <v>475420.50619227637</v>
      </c>
      <c r="E27" s="190">
        <f t="shared" si="3"/>
        <v>90716.503128051671</v>
      </c>
      <c r="F27" s="196">
        <f t="shared" si="0"/>
        <v>566137.00932032801</v>
      </c>
      <c r="G27" s="190">
        <f t="shared" si="4"/>
        <v>8703459.755459873</v>
      </c>
      <c r="H27" s="503">
        <f t="shared" si="5"/>
        <v>21296540.244540129</v>
      </c>
      <c r="I27" s="49"/>
    </row>
    <row r="28" spans="2:9" ht="20.100000000000001" customHeight="1" x14ac:dyDescent="0.3">
      <c r="B28" s="198">
        <v>20</v>
      </c>
      <c r="C28" s="501">
        <f t="shared" si="1"/>
        <v>45126</v>
      </c>
      <c r="D28" s="502">
        <f t="shared" si="2"/>
        <v>477401.42496807751</v>
      </c>
      <c r="E28" s="190">
        <f t="shared" si="3"/>
        <v>88735.584352250517</v>
      </c>
      <c r="F28" s="196">
        <f t="shared" si="0"/>
        <v>566137.00932032801</v>
      </c>
      <c r="G28" s="190">
        <f t="shared" si="4"/>
        <v>9180861.1804279499</v>
      </c>
      <c r="H28" s="503">
        <f t="shared" si="5"/>
        <v>20819138.81957205</v>
      </c>
      <c r="I28" s="49"/>
    </row>
    <row r="29" spans="2:9" ht="20.100000000000001" customHeight="1" x14ac:dyDescent="0.3">
      <c r="B29" s="198">
        <v>21</v>
      </c>
      <c r="C29" s="501">
        <f t="shared" si="1"/>
        <v>45157</v>
      </c>
      <c r="D29" s="502">
        <f t="shared" si="2"/>
        <v>479390.59757211112</v>
      </c>
      <c r="E29" s="190">
        <f t="shared" si="3"/>
        <v>86746.411748216866</v>
      </c>
      <c r="F29" s="196">
        <f t="shared" si="0"/>
        <v>566137.00932032801</v>
      </c>
      <c r="G29" s="190">
        <f t="shared" si="4"/>
        <v>9660251.7780000605</v>
      </c>
      <c r="H29" s="503">
        <f t="shared" si="5"/>
        <v>20339748.22199994</v>
      </c>
      <c r="I29" s="49"/>
    </row>
    <row r="30" spans="2:9" ht="20.100000000000001" customHeight="1" x14ac:dyDescent="0.3">
      <c r="B30" s="198">
        <v>22</v>
      </c>
      <c r="C30" s="501">
        <f t="shared" si="1"/>
        <v>45188</v>
      </c>
      <c r="D30" s="502">
        <f t="shared" si="2"/>
        <v>481388.05839532823</v>
      </c>
      <c r="E30" s="190">
        <f t="shared" si="3"/>
        <v>84748.950924999735</v>
      </c>
      <c r="F30" s="196">
        <f t="shared" si="0"/>
        <v>566137.00932032801</v>
      </c>
      <c r="G30" s="190">
        <f t="shared" si="4"/>
        <v>10141639.836395388</v>
      </c>
      <c r="H30" s="503">
        <f t="shared" si="5"/>
        <v>19858360.16360461</v>
      </c>
      <c r="I30" s="49"/>
    </row>
    <row r="31" spans="2:9" ht="20.100000000000001" customHeight="1" x14ac:dyDescent="0.3">
      <c r="B31" s="198">
        <v>23</v>
      </c>
      <c r="C31" s="501">
        <f t="shared" si="1"/>
        <v>45218</v>
      </c>
      <c r="D31" s="502">
        <f t="shared" si="2"/>
        <v>483393.84197197552</v>
      </c>
      <c r="E31" s="190">
        <f t="shared" si="3"/>
        <v>82743.167348352537</v>
      </c>
      <c r="F31" s="196">
        <f t="shared" si="0"/>
        <v>566137.00932032801</v>
      </c>
      <c r="G31" s="190">
        <f t="shared" si="4"/>
        <v>10625033.678367363</v>
      </c>
      <c r="H31" s="503">
        <f t="shared" si="5"/>
        <v>19374966.321632635</v>
      </c>
      <c r="I31" s="49"/>
    </row>
    <row r="32" spans="2:9" ht="20.100000000000001" customHeight="1" x14ac:dyDescent="0.3">
      <c r="B32" s="198">
        <v>24</v>
      </c>
      <c r="C32" s="501">
        <f t="shared" si="1"/>
        <v>45249</v>
      </c>
      <c r="D32" s="502">
        <f t="shared" si="2"/>
        <v>485407.982980192</v>
      </c>
      <c r="E32" s="190">
        <f t="shared" si="3"/>
        <v>80729.026340135955</v>
      </c>
      <c r="F32" s="196">
        <f t="shared" si="0"/>
        <v>566137.00932032801</v>
      </c>
      <c r="G32" s="190">
        <f t="shared" si="4"/>
        <v>11110441.661347555</v>
      </c>
      <c r="H32" s="503">
        <f t="shared" si="5"/>
        <v>18889558.338652443</v>
      </c>
      <c r="I32" s="49"/>
    </row>
    <row r="33" spans="2:9" ht="20.100000000000001" customHeight="1" x14ac:dyDescent="0.3">
      <c r="B33" s="197">
        <v>25</v>
      </c>
      <c r="C33" s="501">
        <f t="shared" si="1"/>
        <v>45279</v>
      </c>
      <c r="D33" s="502">
        <f t="shared" si="2"/>
        <v>487430.51624260948</v>
      </c>
      <c r="E33" s="190">
        <f t="shared" si="3"/>
        <v>78706.493077718493</v>
      </c>
      <c r="F33" s="196">
        <f t="shared" si="0"/>
        <v>566137.00932032801</v>
      </c>
      <c r="G33" s="190">
        <f t="shared" si="4"/>
        <v>11597872.177590165</v>
      </c>
      <c r="H33" s="503">
        <f t="shared" si="5"/>
        <v>18402127.822409835</v>
      </c>
      <c r="I33" s="49"/>
    </row>
    <row r="34" spans="2:9" ht="20.100000000000001" customHeight="1" x14ac:dyDescent="0.3">
      <c r="B34" s="198">
        <v>26</v>
      </c>
      <c r="C34" s="501">
        <f t="shared" si="1"/>
        <v>45310</v>
      </c>
      <c r="D34" s="502">
        <f t="shared" si="2"/>
        <v>489461.4767269537</v>
      </c>
      <c r="E34" s="190">
        <f t="shared" si="3"/>
        <v>76675.532593374301</v>
      </c>
      <c r="F34" s="196">
        <f t="shared" si="0"/>
        <v>566137.00932032801</v>
      </c>
      <c r="G34" s="190">
        <f t="shared" si="4"/>
        <v>12087333.654317118</v>
      </c>
      <c r="H34" s="503">
        <f t="shared" si="5"/>
        <v>17912666.345682882</v>
      </c>
      <c r="I34" s="49"/>
    </row>
    <row r="35" spans="2:9" ht="20.100000000000001" customHeight="1" x14ac:dyDescent="0.3">
      <c r="B35" s="198">
        <v>27</v>
      </c>
      <c r="C35" s="501">
        <f t="shared" si="1"/>
        <v>45341</v>
      </c>
      <c r="D35" s="502">
        <f t="shared" si="2"/>
        <v>491500.89954664937</v>
      </c>
      <c r="E35" s="190">
        <f t="shared" si="3"/>
        <v>74636.109773678661</v>
      </c>
      <c r="F35" s="196">
        <f t="shared" si="0"/>
        <v>566137.00932032801</v>
      </c>
      <c r="G35" s="190">
        <f t="shared" si="4"/>
        <v>12578834.553863768</v>
      </c>
      <c r="H35" s="503">
        <f t="shared" si="5"/>
        <v>17421165.446136232</v>
      </c>
      <c r="I35" s="49"/>
    </row>
    <row r="36" spans="2:9" ht="20.100000000000001" customHeight="1" x14ac:dyDescent="0.3">
      <c r="B36" s="198">
        <v>28</v>
      </c>
      <c r="C36" s="501">
        <f t="shared" si="1"/>
        <v>45370</v>
      </c>
      <c r="D36" s="502">
        <f t="shared" si="2"/>
        <v>493548.81996142701</v>
      </c>
      <c r="E36" s="190">
        <f t="shared" si="3"/>
        <v>72588.189358900941</v>
      </c>
      <c r="F36" s="196">
        <f t="shared" si="0"/>
        <v>566137.00932032801</v>
      </c>
      <c r="G36" s="190">
        <f t="shared" si="4"/>
        <v>13072383.373825194</v>
      </c>
      <c r="H36" s="503">
        <f t="shared" si="5"/>
        <v>16927616.626174804</v>
      </c>
      <c r="I36" s="49"/>
    </row>
    <row r="37" spans="2:9" ht="20.100000000000001" customHeight="1" x14ac:dyDescent="0.3">
      <c r="B37" s="198">
        <v>29</v>
      </c>
      <c r="C37" s="501">
        <f t="shared" si="1"/>
        <v>45401</v>
      </c>
      <c r="D37" s="502">
        <f t="shared" si="2"/>
        <v>495605.27337793302</v>
      </c>
      <c r="E37" s="190">
        <f t="shared" si="3"/>
        <v>70531.735942394997</v>
      </c>
      <c r="F37" s="196">
        <f t="shared" si="0"/>
        <v>566137.00932032801</v>
      </c>
      <c r="G37" s="190">
        <f t="shared" si="4"/>
        <v>13567988.647203127</v>
      </c>
      <c r="H37" s="503">
        <f t="shared" si="5"/>
        <v>16432011.352796871</v>
      </c>
      <c r="I37" s="49"/>
    </row>
    <row r="38" spans="2:9" ht="20.100000000000001" customHeight="1" x14ac:dyDescent="0.3">
      <c r="B38" s="198">
        <v>30</v>
      </c>
      <c r="C38" s="501">
        <f t="shared" si="1"/>
        <v>45431</v>
      </c>
      <c r="D38" s="502">
        <f t="shared" si="2"/>
        <v>497670.29535034107</v>
      </c>
      <c r="E38" s="190">
        <f t="shared" si="3"/>
        <v>68466.713969986959</v>
      </c>
      <c r="F38" s="196">
        <f t="shared" si="0"/>
        <v>566137.00932032801</v>
      </c>
      <c r="G38" s="190">
        <f t="shared" si="4"/>
        <v>14065658.942553468</v>
      </c>
      <c r="H38" s="503">
        <f t="shared" si="5"/>
        <v>15934341.05744653</v>
      </c>
      <c r="I38" s="49"/>
    </row>
    <row r="39" spans="2:9" ht="20.100000000000001" customHeight="1" x14ac:dyDescent="0.3">
      <c r="B39" s="198">
        <v>31</v>
      </c>
      <c r="C39" s="501">
        <f t="shared" si="1"/>
        <v>45462</v>
      </c>
      <c r="D39" s="502">
        <f t="shared" si="2"/>
        <v>499743.92158096744</v>
      </c>
      <c r="E39" s="190">
        <f t="shared" si="3"/>
        <v>66393.087739360533</v>
      </c>
      <c r="F39" s="196">
        <f t="shared" si="0"/>
        <v>566137.00932032801</v>
      </c>
      <c r="G39" s="190">
        <f t="shared" si="4"/>
        <v>14565402.864134435</v>
      </c>
      <c r="H39" s="503">
        <f t="shared" si="5"/>
        <v>15434597.135865564</v>
      </c>
      <c r="I39" s="49"/>
    </row>
    <row r="40" spans="2:9" ht="20.100000000000001" customHeight="1" x14ac:dyDescent="0.3">
      <c r="B40" s="198">
        <v>32</v>
      </c>
      <c r="C40" s="501">
        <f t="shared" si="1"/>
        <v>45492</v>
      </c>
      <c r="D40" s="502">
        <f t="shared" si="2"/>
        <v>501826.18792088819</v>
      </c>
      <c r="E40" s="190">
        <f t="shared" si="3"/>
        <v>64310.821399439839</v>
      </c>
      <c r="F40" s="196">
        <f t="shared" si="0"/>
        <v>566137.00932032801</v>
      </c>
      <c r="G40" s="190">
        <f t="shared" si="4"/>
        <v>15067229.052055323</v>
      </c>
      <c r="H40" s="503">
        <f t="shared" si="5"/>
        <v>14932770.947944675</v>
      </c>
      <c r="I40" s="49"/>
    </row>
    <row r="41" spans="2:9" ht="20.100000000000001" customHeight="1" x14ac:dyDescent="0.3">
      <c r="B41" s="198">
        <v>33</v>
      </c>
      <c r="C41" s="501">
        <f t="shared" si="1"/>
        <v>45523</v>
      </c>
      <c r="D41" s="502">
        <f t="shared" si="2"/>
        <v>503917.13037055853</v>
      </c>
      <c r="E41" s="190">
        <f t="shared" si="3"/>
        <v>62219.878949769467</v>
      </c>
      <c r="F41" s="196">
        <f t="shared" si="0"/>
        <v>566137.00932032801</v>
      </c>
      <c r="G41" s="190">
        <f t="shared" si="4"/>
        <v>15571146.182425883</v>
      </c>
      <c r="H41" s="503">
        <f t="shared" si="5"/>
        <v>14428853.817574115</v>
      </c>
      <c r="I41" s="49"/>
    </row>
    <row r="42" spans="2:9" ht="20.100000000000001" customHeight="1" x14ac:dyDescent="0.3">
      <c r="B42" s="198">
        <v>34</v>
      </c>
      <c r="C42" s="501">
        <f t="shared" si="1"/>
        <v>45554</v>
      </c>
      <c r="D42" s="502">
        <f t="shared" si="2"/>
        <v>506016.78508043586</v>
      </c>
      <c r="E42" s="190">
        <f t="shared" si="3"/>
        <v>60120.224239892137</v>
      </c>
      <c r="F42" s="196">
        <f t="shared" si="0"/>
        <v>566137.00932032801</v>
      </c>
      <c r="G42" s="190">
        <f t="shared" si="4"/>
        <v>16077162.967506319</v>
      </c>
      <c r="H42" s="503">
        <f t="shared" si="5"/>
        <v>13922837.032493679</v>
      </c>
      <c r="I42" s="49"/>
    </row>
    <row r="43" spans="2:9" ht="20.100000000000001" customHeight="1" x14ac:dyDescent="0.3">
      <c r="B43" s="198">
        <v>35</v>
      </c>
      <c r="C43" s="501">
        <f t="shared" si="1"/>
        <v>45584</v>
      </c>
      <c r="D43" s="502">
        <f t="shared" si="2"/>
        <v>508125.18835160433</v>
      </c>
      <c r="E43" s="190">
        <f t="shared" si="3"/>
        <v>58011.820968723652</v>
      </c>
      <c r="F43" s="196">
        <f t="shared" si="0"/>
        <v>566137.00932032801</v>
      </c>
      <c r="G43" s="190">
        <f t="shared" si="4"/>
        <v>16585288.155857924</v>
      </c>
      <c r="H43" s="503">
        <f t="shared" si="5"/>
        <v>13414711.844142074</v>
      </c>
      <c r="I43" s="49"/>
    </row>
    <row r="44" spans="2:9" ht="20.100000000000001" customHeight="1" x14ac:dyDescent="0.3">
      <c r="B44" s="198">
        <v>36</v>
      </c>
      <c r="C44" s="501">
        <f t="shared" si="1"/>
        <v>45615</v>
      </c>
      <c r="D44" s="502">
        <f t="shared" si="2"/>
        <v>510242.37663640274</v>
      </c>
      <c r="E44" s="190">
        <f t="shared" si="3"/>
        <v>55894.632683925316</v>
      </c>
      <c r="F44" s="196">
        <f t="shared" si="0"/>
        <v>566137.00932032801</v>
      </c>
      <c r="G44" s="190">
        <f t="shared" si="4"/>
        <v>17095530.532494329</v>
      </c>
      <c r="H44" s="503">
        <f t="shared" si="5"/>
        <v>12904469.467505671</v>
      </c>
      <c r="I44" s="49"/>
    </row>
    <row r="45" spans="2:9" ht="20.100000000000001" customHeight="1" x14ac:dyDescent="0.3">
      <c r="B45" s="198">
        <v>37</v>
      </c>
      <c r="C45" s="501">
        <f t="shared" si="1"/>
        <v>45645</v>
      </c>
      <c r="D45" s="502">
        <f t="shared" si="2"/>
        <v>512368.38653905439</v>
      </c>
      <c r="E45" s="190">
        <f t="shared" si="3"/>
        <v>53768.622781273625</v>
      </c>
      <c r="F45" s="196">
        <f t="shared" si="0"/>
        <v>566137.00932032801</v>
      </c>
      <c r="G45" s="190">
        <f t="shared" si="4"/>
        <v>17607898.919033382</v>
      </c>
      <c r="H45" s="503">
        <f t="shared" si="5"/>
        <v>12392101.080966616</v>
      </c>
      <c r="I45" s="49"/>
    </row>
    <row r="46" spans="2:9" ht="20.100000000000001" customHeight="1" x14ac:dyDescent="0.3">
      <c r="B46" s="198">
        <v>38</v>
      </c>
      <c r="C46" s="501">
        <f t="shared" si="1"/>
        <v>45676</v>
      </c>
      <c r="D46" s="502">
        <f t="shared" si="2"/>
        <v>514503.25481630041</v>
      </c>
      <c r="E46" s="190">
        <f t="shared" si="3"/>
        <v>51633.754504027565</v>
      </c>
      <c r="F46" s="196">
        <f t="shared" si="0"/>
        <v>566137.00932032801</v>
      </c>
      <c r="G46" s="190">
        <f t="shared" si="4"/>
        <v>18122402.173849683</v>
      </c>
      <c r="H46" s="503">
        <f t="shared" si="5"/>
        <v>11877597.826150315</v>
      </c>
      <c r="I46" s="49"/>
    </row>
    <row r="47" spans="2:9" ht="20.100000000000001" customHeight="1" x14ac:dyDescent="0.3">
      <c r="B47" s="198">
        <v>39</v>
      </c>
      <c r="C47" s="501">
        <f t="shared" si="1"/>
        <v>45707</v>
      </c>
      <c r="D47" s="502">
        <f t="shared" si="2"/>
        <v>516647.01837803505</v>
      </c>
      <c r="E47" s="190">
        <f t="shared" si="3"/>
        <v>49489.990942292985</v>
      </c>
      <c r="F47" s="196">
        <f t="shared" si="0"/>
        <v>566137.00932032801</v>
      </c>
      <c r="G47" s="190">
        <f t="shared" si="4"/>
        <v>18639049.192227717</v>
      </c>
      <c r="H47" s="503">
        <f t="shared" si="5"/>
        <v>11360950.807772281</v>
      </c>
      <c r="I47" s="49"/>
    </row>
    <row r="48" spans="2:9" ht="20.100000000000001" customHeight="1" x14ac:dyDescent="0.3">
      <c r="B48" s="198">
        <v>40</v>
      </c>
      <c r="C48" s="501">
        <f t="shared" si="1"/>
        <v>45735</v>
      </c>
      <c r="D48" s="502">
        <f t="shared" si="2"/>
        <v>518799.7142879435</v>
      </c>
      <c r="E48" s="190">
        <f t="shared" si="3"/>
        <v>47337.295032384507</v>
      </c>
      <c r="F48" s="196">
        <f t="shared" si="0"/>
        <v>566137.00932032801</v>
      </c>
      <c r="G48" s="190">
        <f t="shared" si="4"/>
        <v>19157848.906515662</v>
      </c>
      <c r="H48" s="503">
        <f t="shared" si="5"/>
        <v>10842151.093484337</v>
      </c>
      <c r="I48" s="49"/>
    </row>
    <row r="49" spans="2:28" ht="20.100000000000001" customHeight="1" x14ac:dyDescent="0.3">
      <c r="B49" s="198">
        <v>41</v>
      </c>
      <c r="C49" s="501">
        <f t="shared" si="1"/>
        <v>45766</v>
      </c>
      <c r="D49" s="502">
        <f t="shared" si="2"/>
        <v>520961.37976414326</v>
      </c>
      <c r="E49" s="190">
        <f t="shared" si="3"/>
        <v>45175.629556184736</v>
      </c>
      <c r="F49" s="196">
        <f t="shared" si="0"/>
        <v>566137.00932032801</v>
      </c>
      <c r="G49" s="190">
        <f t="shared" si="4"/>
        <v>19678810.286279805</v>
      </c>
      <c r="H49" s="503">
        <f t="shared" si="5"/>
        <v>10321189.713720193</v>
      </c>
      <c r="I49" s="49"/>
    </row>
    <row r="50" spans="2:28" ht="20.100000000000001" customHeight="1" x14ac:dyDescent="0.3">
      <c r="B50" s="198">
        <v>42</v>
      </c>
      <c r="C50" s="501">
        <f t="shared" si="1"/>
        <v>45796</v>
      </c>
      <c r="D50" s="502">
        <f t="shared" si="2"/>
        <v>523132.05217982724</v>
      </c>
      <c r="E50" s="190">
        <f t="shared" si="3"/>
        <v>43004.95714050081</v>
      </c>
      <c r="F50" s="196">
        <f t="shared" si="0"/>
        <v>566137.00932032801</v>
      </c>
      <c r="G50" s="190">
        <f t="shared" si="4"/>
        <v>20201942.338459633</v>
      </c>
      <c r="H50" s="503">
        <f t="shared" si="5"/>
        <v>9798057.6615403667</v>
      </c>
      <c r="I50" s="49"/>
    </row>
    <row r="51" spans="2:28" ht="20.100000000000001" customHeight="1" x14ac:dyDescent="0.3">
      <c r="B51" s="198">
        <v>43</v>
      </c>
      <c r="C51" s="501">
        <f t="shared" si="1"/>
        <v>45827</v>
      </c>
      <c r="D51" s="502">
        <f t="shared" si="2"/>
        <v>525311.76906390989</v>
      </c>
      <c r="E51" s="190">
        <f t="shared" si="3"/>
        <v>40825.240256418198</v>
      </c>
      <c r="F51" s="196">
        <f t="shared" si="0"/>
        <v>566137.00932032813</v>
      </c>
      <c r="G51" s="190">
        <f t="shared" si="4"/>
        <v>20727254.107523542</v>
      </c>
      <c r="H51" s="503">
        <f t="shared" si="5"/>
        <v>9272745.8924764562</v>
      </c>
      <c r="I51" s="49"/>
    </row>
    <row r="52" spans="2:28" ht="20.100000000000001" customHeight="1" x14ac:dyDescent="0.3">
      <c r="B52" s="198">
        <v>44</v>
      </c>
      <c r="C52" s="501">
        <f t="shared" si="1"/>
        <v>45857</v>
      </c>
      <c r="D52" s="502">
        <f t="shared" si="2"/>
        <v>527500.56810167606</v>
      </c>
      <c r="E52" s="190">
        <f t="shared" si="3"/>
        <v>38636.441218651911</v>
      </c>
      <c r="F52" s="196">
        <f t="shared" si="0"/>
        <v>566137.00932032801</v>
      </c>
      <c r="G52" s="190">
        <f t="shared" si="4"/>
        <v>21254754.675625216</v>
      </c>
      <c r="H52" s="503">
        <f t="shared" si="5"/>
        <v>8745245.3243747801</v>
      </c>
      <c r="I52" s="49"/>
    </row>
    <row r="53" spans="2:28" ht="20.100000000000001" customHeight="1" x14ac:dyDescent="0.3">
      <c r="B53" s="198">
        <v>45</v>
      </c>
      <c r="C53" s="501">
        <f t="shared" si="1"/>
        <v>45888</v>
      </c>
      <c r="D53" s="502">
        <f t="shared" si="2"/>
        <v>529698.48713543301</v>
      </c>
      <c r="E53" s="190">
        <f t="shared" si="3"/>
        <v>36438.522184894922</v>
      </c>
      <c r="F53" s="196">
        <f t="shared" si="0"/>
        <v>566137.0093203279</v>
      </c>
      <c r="G53" s="190">
        <f t="shared" si="4"/>
        <v>21784453.162760649</v>
      </c>
      <c r="H53" s="503">
        <f t="shared" si="5"/>
        <v>8215546.8372393474</v>
      </c>
      <c r="I53" s="49"/>
    </row>
    <row r="54" spans="2:28" ht="20.100000000000001" customHeight="1" x14ac:dyDescent="0.3">
      <c r="B54" s="198">
        <v>46</v>
      </c>
      <c r="C54" s="501">
        <f t="shared" si="1"/>
        <v>45919</v>
      </c>
      <c r="D54" s="502">
        <f t="shared" si="2"/>
        <v>531905.56416516413</v>
      </c>
      <c r="E54" s="190">
        <f t="shared" si="3"/>
        <v>34231.445155163958</v>
      </c>
      <c r="F54" s="196">
        <f t="shared" si="0"/>
        <v>566137.00932032813</v>
      </c>
      <c r="G54" s="190">
        <f t="shared" si="4"/>
        <v>22316358.726925813</v>
      </c>
      <c r="H54" s="503">
        <f t="shared" si="5"/>
        <v>7683641.2730741836</v>
      </c>
      <c r="I54" s="49"/>
    </row>
    <row r="55" spans="2:28" ht="20.100000000000001" customHeight="1" x14ac:dyDescent="0.3">
      <c r="B55" s="198">
        <v>47</v>
      </c>
      <c r="C55" s="501">
        <f t="shared" si="1"/>
        <v>45949</v>
      </c>
      <c r="D55" s="502">
        <f t="shared" si="2"/>
        <v>534121.8373491856</v>
      </c>
      <c r="E55" s="190">
        <f t="shared" si="3"/>
        <v>32015.171971142441</v>
      </c>
      <c r="F55" s="196">
        <f t="shared" si="0"/>
        <v>566137.00932032801</v>
      </c>
      <c r="G55" s="190">
        <f t="shared" si="4"/>
        <v>22850480.564274997</v>
      </c>
      <c r="H55" s="503">
        <f t="shared" si="5"/>
        <v>7149519.4357249979</v>
      </c>
      <c r="I55" s="49"/>
    </row>
    <row r="56" spans="2:28" ht="20.100000000000001" customHeight="1" x14ac:dyDescent="0.3">
      <c r="B56" s="198">
        <v>48</v>
      </c>
      <c r="C56" s="501">
        <f t="shared" si="1"/>
        <v>45980</v>
      </c>
      <c r="D56" s="502">
        <f t="shared" si="2"/>
        <v>536347.34500480723</v>
      </c>
      <c r="E56" s="190">
        <f t="shared" si="3"/>
        <v>29789.664315520833</v>
      </c>
      <c r="F56" s="196">
        <f t="shared" si="0"/>
        <v>566137.00932032801</v>
      </c>
      <c r="G56" s="190">
        <f t="shared" si="4"/>
        <v>23386827.909279805</v>
      </c>
      <c r="H56" s="503">
        <f t="shared" si="5"/>
        <v>6613172.0907201907</v>
      </c>
      <c r="I56" s="49"/>
    </row>
    <row r="57" spans="2:28" ht="20.100000000000001" customHeight="1" x14ac:dyDescent="0.3">
      <c r="B57" s="198">
        <v>49</v>
      </c>
      <c r="C57" s="501">
        <f t="shared" si="1"/>
        <v>46010</v>
      </c>
      <c r="D57" s="502">
        <f t="shared" si="2"/>
        <v>538582.12560899393</v>
      </c>
      <c r="E57" s="190">
        <f t="shared" si="3"/>
        <v>27554.883711334136</v>
      </c>
      <c r="F57" s="196">
        <f t="shared" si="0"/>
        <v>566137.00932032801</v>
      </c>
      <c r="G57" s="190">
        <f t="shared" si="4"/>
        <v>23925410.0348888</v>
      </c>
      <c r="H57" s="503">
        <f t="shared" si="5"/>
        <v>6074589.965111197</v>
      </c>
      <c r="I57" s="49"/>
    </row>
    <row r="58" spans="2:28" ht="20.100000000000001" customHeight="1" x14ac:dyDescent="0.3">
      <c r="B58" s="198">
        <v>50</v>
      </c>
      <c r="C58" s="501">
        <f t="shared" si="1"/>
        <v>46041</v>
      </c>
      <c r="D58" s="502">
        <f t="shared" si="2"/>
        <v>540826.21779903141</v>
      </c>
      <c r="E58" s="190">
        <f t="shared" si="3"/>
        <v>25310.791521296665</v>
      </c>
      <c r="F58" s="196">
        <f t="shared" si="0"/>
        <v>566137.00932032813</v>
      </c>
      <c r="G58" s="190">
        <f t="shared" si="4"/>
        <v>24466236.25268783</v>
      </c>
      <c r="H58" s="503">
        <f t="shared" si="5"/>
        <v>5533763.7473121658</v>
      </c>
      <c r="I58" s="49"/>
    </row>
    <row r="59" spans="2:28" ht="20.100000000000001" customHeight="1" x14ac:dyDescent="0.3">
      <c r="B59" s="198">
        <v>51</v>
      </c>
      <c r="C59" s="501">
        <f t="shared" si="1"/>
        <v>46072</v>
      </c>
      <c r="D59" s="502">
        <f t="shared" si="2"/>
        <v>543079.66037319391</v>
      </c>
      <c r="E59" s="190">
        <f t="shared" si="3"/>
        <v>23057.348947134033</v>
      </c>
      <c r="F59" s="196">
        <f t="shared" si="0"/>
        <v>566137.0093203279</v>
      </c>
      <c r="G59" s="190">
        <f t="shared" si="4"/>
        <v>25009315.913061023</v>
      </c>
      <c r="H59" s="503">
        <f t="shared" si="5"/>
        <v>4990684.0869389717</v>
      </c>
      <c r="I59" s="49"/>
    </row>
    <row r="60" spans="2:28" ht="20.100000000000001" customHeight="1" x14ac:dyDescent="0.3">
      <c r="B60" s="198">
        <v>52</v>
      </c>
      <c r="C60" s="501">
        <f t="shared" si="1"/>
        <v>46100</v>
      </c>
      <c r="D60" s="502">
        <f t="shared" si="2"/>
        <v>545342.49229141558</v>
      </c>
      <c r="E60" s="190">
        <f t="shared" si="3"/>
        <v>20794.517028912389</v>
      </c>
      <c r="F60" s="196">
        <f t="shared" si="0"/>
        <v>566137.00932032801</v>
      </c>
      <c r="G60" s="190">
        <f t="shared" si="4"/>
        <v>25554658.40535244</v>
      </c>
      <c r="H60" s="503">
        <f t="shared" si="5"/>
        <v>4445341.5946475565</v>
      </c>
      <c r="I60" s="49"/>
    </row>
    <row r="61" spans="2:28" ht="20.100000000000001" customHeight="1" x14ac:dyDescent="0.3">
      <c r="B61" s="198">
        <v>53</v>
      </c>
      <c r="C61" s="501">
        <f t="shared" si="1"/>
        <v>46131</v>
      </c>
      <c r="D61" s="502">
        <f t="shared" si="2"/>
        <v>547614.75267596322</v>
      </c>
      <c r="E61" s="190">
        <f t="shared" si="3"/>
        <v>18522.256644364825</v>
      </c>
      <c r="F61" s="196">
        <f t="shared" si="0"/>
        <v>566137.00932032801</v>
      </c>
      <c r="G61" s="190">
        <f t="shared" si="4"/>
        <v>26102273.158028401</v>
      </c>
      <c r="H61" s="503">
        <f t="shared" si="5"/>
        <v>3897726.8419715934</v>
      </c>
      <c r="I61" s="49"/>
      <c r="K61" s="1"/>
      <c r="L61" s="1"/>
      <c r="M61" s="1"/>
      <c r="T61" s="45"/>
      <c r="U61" s="1"/>
      <c r="V61" s="1"/>
      <c r="Z61" s="1"/>
      <c r="AA61" s="1"/>
      <c r="AB61" s="1"/>
    </row>
    <row r="62" spans="2:28" ht="20.100000000000001" customHeight="1" x14ac:dyDescent="0.3">
      <c r="B62" s="198">
        <v>54</v>
      </c>
      <c r="C62" s="501">
        <f t="shared" si="1"/>
        <v>46161</v>
      </c>
      <c r="D62" s="502">
        <f t="shared" si="2"/>
        <v>549896.48081211303</v>
      </c>
      <c r="E62" s="190">
        <f t="shared" si="3"/>
        <v>16240.528508214982</v>
      </c>
      <c r="F62" s="196">
        <f t="shared" si="0"/>
        <v>566137.00932032801</v>
      </c>
      <c r="G62" s="190">
        <f t="shared" si="4"/>
        <v>26652169.638840515</v>
      </c>
      <c r="H62" s="503">
        <f t="shared" si="5"/>
        <v>3347830.3611594802</v>
      </c>
      <c r="I62" s="44"/>
      <c r="K62" s="44"/>
      <c r="N62" s="44"/>
      <c r="Q62" s="44"/>
      <c r="T62" s="44"/>
      <c r="W62" s="44"/>
      <c r="Z62" s="44"/>
    </row>
    <row r="63" spans="2:28" ht="20.100000000000001" customHeight="1" x14ac:dyDescent="0.3">
      <c r="B63" s="198">
        <v>55</v>
      </c>
      <c r="C63" s="501">
        <f t="shared" si="1"/>
        <v>46192</v>
      </c>
      <c r="D63" s="502">
        <f t="shared" si="2"/>
        <v>552187.71614883025</v>
      </c>
      <c r="E63" s="190">
        <f t="shared" si="3"/>
        <v>13949.293171497844</v>
      </c>
      <c r="F63" s="196">
        <f t="shared" si="0"/>
        <v>566137.00932032813</v>
      </c>
      <c r="G63" s="190">
        <f t="shared" si="4"/>
        <v>27204357.354989346</v>
      </c>
      <c r="H63" s="503">
        <f t="shared" si="5"/>
        <v>2795642.6450106502</v>
      </c>
      <c r="I63" s="452"/>
      <c r="K63" s="578"/>
      <c r="L63" s="578"/>
      <c r="M63" s="46"/>
      <c r="N63" s="578"/>
      <c r="O63" s="578"/>
      <c r="P63" s="46"/>
      <c r="Q63" s="578"/>
      <c r="R63" s="578"/>
      <c r="S63" s="46"/>
      <c r="T63" s="578"/>
      <c r="U63" s="578"/>
      <c r="V63" s="46"/>
      <c r="W63" s="578"/>
      <c r="X63" s="578"/>
      <c r="Y63" s="46"/>
      <c r="Z63" s="578"/>
      <c r="AA63" s="578"/>
      <c r="AB63" s="46"/>
    </row>
    <row r="64" spans="2:28" ht="20.100000000000001" customHeight="1" x14ac:dyDescent="0.3">
      <c r="B64" s="198">
        <v>56</v>
      </c>
      <c r="C64" s="501">
        <f t="shared" si="1"/>
        <v>46222</v>
      </c>
      <c r="D64" s="502">
        <f t="shared" si="2"/>
        <v>554488.49829945026</v>
      </c>
      <c r="E64" s="190">
        <f t="shared" si="3"/>
        <v>11648.511020877717</v>
      </c>
      <c r="F64" s="196">
        <f t="shared" si="0"/>
        <v>566137.00932032801</v>
      </c>
      <c r="G64" s="190">
        <f t="shared" si="4"/>
        <v>27758845.853288796</v>
      </c>
      <c r="H64" s="503">
        <f t="shared" si="5"/>
        <v>2241154.1467112</v>
      </c>
      <c r="I64" s="49"/>
    </row>
    <row r="65" spans="2:9" ht="20.100000000000001" customHeight="1" x14ac:dyDescent="0.3">
      <c r="B65" s="198">
        <v>57</v>
      </c>
      <c r="C65" s="501">
        <f t="shared" si="1"/>
        <v>46253</v>
      </c>
      <c r="D65" s="502">
        <f t="shared" si="2"/>
        <v>556798.86704236467</v>
      </c>
      <c r="E65" s="190">
        <f t="shared" si="3"/>
        <v>9338.1422779633413</v>
      </c>
      <c r="F65" s="196">
        <f t="shared" si="0"/>
        <v>566137.00932032801</v>
      </c>
      <c r="G65" s="190">
        <f t="shared" si="4"/>
        <v>28315644.720331162</v>
      </c>
      <c r="H65" s="503">
        <f t="shared" si="5"/>
        <v>1684355.2796688355</v>
      </c>
      <c r="I65" s="49"/>
    </row>
    <row r="66" spans="2:9" ht="20.100000000000001" customHeight="1" x14ac:dyDescent="0.3">
      <c r="B66" s="198">
        <v>58</v>
      </c>
      <c r="C66" s="501">
        <f t="shared" si="1"/>
        <v>46284</v>
      </c>
      <c r="D66" s="502">
        <f t="shared" si="2"/>
        <v>559118.86232170789</v>
      </c>
      <c r="E66" s="190">
        <f t="shared" si="3"/>
        <v>7018.1469986201564</v>
      </c>
      <c r="F66" s="196">
        <f t="shared" si="0"/>
        <v>566137.00932032801</v>
      </c>
      <c r="G66" s="190">
        <f t="shared" si="4"/>
        <v>28874763.582652871</v>
      </c>
      <c r="H66" s="503">
        <f t="shared" si="5"/>
        <v>1125236.4173471276</v>
      </c>
      <c r="I66" s="49"/>
    </row>
    <row r="67" spans="2:9" ht="20.100000000000001" customHeight="1" x14ac:dyDescent="0.3">
      <c r="B67" s="198">
        <v>59</v>
      </c>
      <c r="C67" s="501">
        <f t="shared" si="1"/>
        <v>46314</v>
      </c>
      <c r="D67" s="502">
        <f t="shared" si="2"/>
        <v>561448.52424804831</v>
      </c>
      <c r="E67" s="190">
        <f t="shared" si="3"/>
        <v>4688.4850722797082</v>
      </c>
      <c r="F67" s="196">
        <f t="shared" si="0"/>
        <v>566137.00932032801</v>
      </c>
      <c r="G67" s="190">
        <f t="shared" si="4"/>
        <v>29436212.106900919</v>
      </c>
      <c r="H67" s="503">
        <f t="shared" si="5"/>
        <v>563787.89309907926</v>
      </c>
      <c r="I67" s="49"/>
    </row>
    <row r="68" spans="2:9" ht="20.100000000000001" customHeight="1" x14ac:dyDescent="0.3">
      <c r="B68" s="198">
        <v>60</v>
      </c>
      <c r="C68" s="501">
        <f t="shared" si="1"/>
        <v>46345</v>
      </c>
      <c r="D68" s="502">
        <f t="shared" si="2"/>
        <v>563787.89309908194</v>
      </c>
      <c r="E68" s="190">
        <f t="shared" si="3"/>
        <v>2349.1162212461736</v>
      </c>
      <c r="F68" s="196">
        <f t="shared" si="0"/>
        <v>566137.00932032813</v>
      </c>
      <c r="G68" s="190">
        <f t="shared" si="4"/>
        <v>30000000</v>
      </c>
      <c r="H68" s="503">
        <f t="shared" si="5"/>
        <v>-2.6775524020195007E-9</v>
      </c>
      <c r="I68" s="49"/>
    </row>
    <row r="69" spans="2:9" ht="20.100000000000001" customHeight="1" x14ac:dyDescent="0.3">
      <c r="B69" s="198">
        <v>61</v>
      </c>
      <c r="C69" s="501" t="str">
        <f t="shared" si="1"/>
        <v/>
      </c>
      <c r="D69" s="502" t="str">
        <f t="shared" si="2"/>
        <v/>
      </c>
      <c r="E69" s="190" t="str">
        <f t="shared" si="3"/>
        <v/>
      </c>
      <c r="F69" s="196" t="str">
        <f t="shared" si="0"/>
        <v/>
      </c>
      <c r="G69" s="190" t="str">
        <f t="shared" si="4"/>
        <v/>
      </c>
      <c r="H69" s="503" t="str">
        <f t="shared" si="5"/>
        <v/>
      </c>
      <c r="I69" s="49"/>
    </row>
    <row r="70" spans="2:9" ht="20.100000000000001" customHeight="1" x14ac:dyDescent="0.3">
      <c r="B70" s="198">
        <v>62</v>
      </c>
      <c r="C70" s="501" t="str">
        <f t="shared" si="1"/>
        <v/>
      </c>
      <c r="D70" s="502" t="str">
        <f t="shared" si="2"/>
        <v/>
      </c>
      <c r="E70" s="190" t="str">
        <f t="shared" si="3"/>
        <v/>
      </c>
      <c r="F70" s="196" t="str">
        <f t="shared" si="0"/>
        <v/>
      </c>
      <c r="G70" s="190" t="str">
        <f t="shared" si="4"/>
        <v/>
      </c>
      <c r="H70" s="503" t="str">
        <f t="shared" si="5"/>
        <v/>
      </c>
      <c r="I70" s="49"/>
    </row>
    <row r="71" spans="2:9" ht="20.100000000000001" customHeight="1" x14ac:dyDescent="0.3">
      <c r="B71" s="198">
        <v>63</v>
      </c>
      <c r="C71" s="501" t="str">
        <f t="shared" si="1"/>
        <v/>
      </c>
      <c r="D71" s="502" t="str">
        <f t="shared" si="2"/>
        <v/>
      </c>
      <c r="E71" s="190" t="str">
        <f t="shared" si="3"/>
        <v/>
      </c>
      <c r="F71" s="196" t="str">
        <f t="shared" si="0"/>
        <v/>
      </c>
      <c r="G71" s="190" t="str">
        <f t="shared" si="4"/>
        <v/>
      </c>
      <c r="H71" s="503" t="str">
        <f t="shared" si="5"/>
        <v/>
      </c>
      <c r="I71" s="49"/>
    </row>
    <row r="72" spans="2:9" ht="20.100000000000001" customHeight="1" x14ac:dyDescent="0.3">
      <c r="B72" s="198">
        <v>64</v>
      </c>
      <c r="C72" s="501" t="str">
        <f t="shared" si="1"/>
        <v/>
      </c>
      <c r="D72" s="502" t="str">
        <f t="shared" si="2"/>
        <v/>
      </c>
      <c r="E72" s="190" t="str">
        <f t="shared" si="3"/>
        <v/>
      </c>
      <c r="F72" s="196" t="str">
        <f t="shared" si="0"/>
        <v/>
      </c>
      <c r="G72" s="190" t="str">
        <f t="shared" si="4"/>
        <v/>
      </c>
      <c r="H72" s="503" t="str">
        <f t="shared" si="5"/>
        <v/>
      </c>
      <c r="I72" s="49"/>
    </row>
    <row r="73" spans="2:9" ht="20.100000000000001" customHeight="1" x14ac:dyDescent="0.3">
      <c r="B73" s="198">
        <v>65</v>
      </c>
      <c r="C73" s="501" t="str">
        <f t="shared" si="1"/>
        <v/>
      </c>
      <c r="D73" s="502" t="str">
        <f t="shared" si="2"/>
        <v/>
      </c>
      <c r="E73" s="190" t="str">
        <f t="shared" si="3"/>
        <v/>
      </c>
      <c r="F73" s="196" t="str">
        <f t="shared" si="0"/>
        <v/>
      </c>
      <c r="G73" s="190" t="str">
        <f t="shared" si="4"/>
        <v/>
      </c>
      <c r="H73" s="503" t="str">
        <f t="shared" si="5"/>
        <v/>
      </c>
      <c r="I73" s="49"/>
    </row>
    <row r="74" spans="2:9" ht="20.100000000000001" customHeight="1" x14ac:dyDescent="0.3">
      <c r="B74" s="198">
        <v>66</v>
      </c>
      <c r="C74" s="501" t="str">
        <f t="shared" si="1"/>
        <v/>
      </c>
      <c r="D74" s="502" t="str">
        <f t="shared" si="2"/>
        <v/>
      </c>
      <c r="E74" s="190" t="str">
        <f t="shared" si="3"/>
        <v/>
      </c>
      <c r="F74" s="196" t="str">
        <f t="shared" ref="F74:F137" si="6">IF($H$4="","",IF($F$4="원리금균등상환",IFERROR(D74+E74,""),IF($F$4="원금균등상환",D74+E74,"")))</f>
        <v/>
      </c>
      <c r="G74" s="190" t="str">
        <f t="shared" si="4"/>
        <v/>
      </c>
      <c r="H74" s="503" t="str">
        <f t="shared" si="5"/>
        <v/>
      </c>
      <c r="I74" s="49"/>
    </row>
    <row r="75" spans="2:9" ht="20.100000000000001" customHeight="1" x14ac:dyDescent="0.3">
      <c r="B75" s="198">
        <v>67</v>
      </c>
      <c r="C75" s="501" t="str">
        <f t="shared" ref="C75:C138" si="7">IF($H$4="","",IF(B75&gt;($B$6),"",IF(B75&lt;=($B$6),DATE(YEAR($G$4),MONTH($G$4)+B74,DAY($G$4)),"")))</f>
        <v/>
      </c>
      <c r="D75" s="502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190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196" t="str">
        <f t="shared" si="6"/>
        <v/>
      </c>
      <c r="G75" s="190" t="str">
        <f t="shared" ref="G75:G138" si="10">IFERROR(IF(B75&gt;(($D$6+$B$6)*12),"",IF(B75=1,D75,D75+G74)),"")</f>
        <v/>
      </c>
      <c r="H75" s="503" t="str">
        <f t="shared" ref="H75:H138" si="11">IFERROR(IF($H$4="","",H74-D75),"")</f>
        <v/>
      </c>
      <c r="I75" s="49"/>
    </row>
    <row r="76" spans="2:9" ht="20.100000000000001" customHeight="1" x14ac:dyDescent="0.3">
      <c r="B76" s="198">
        <v>68</v>
      </c>
      <c r="C76" s="501" t="str">
        <f t="shared" si="7"/>
        <v/>
      </c>
      <c r="D76" s="502" t="str">
        <f t="shared" si="8"/>
        <v/>
      </c>
      <c r="E76" s="190" t="str">
        <f t="shared" si="9"/>
        <v/>
      </c>
      <c r="F76" s="196" t="str">
        <f t="shared" si="6"/>
        <v/>
      </c>
      <c r="G76" s="190" t="str">
        <f t="shared" si="10"/>
        <v/>
      </c>
      <c r="H76" s="503" t="str">
        <f t="shared" si="11"/>
        <v/>
      </c>
      <c r="I76" s="49"/>
    </row>
    <row r="77" spans="2:9" ht="20.100000000000001" customHeight="1" x14ac:dyDescent="0.3">
      <c r="B77" s="198">
        <v>69</v>
      </c>
      <c r="C77" s="501" t="str">
        <f t="shared" si="7"/>
        <v/>
      </c>
      <c r="D77" s="502" t="str">
        <f t="shared" si="8"/>
        <v/>
      </c>
      <c r="E77" s="190" t="str">
        <f t="shared" si="9"/>
        <v/>
      </c>
      <c r="F77" s="196" t="str">
        <f t="shared" si="6"/>
        <v/>
      </c>
      <c r="G77" s="190" t="str">
        <f t="shared" si="10"/>
        <v/>
      </c>
      <c r="H77" s="503" t="str">
        <f t="shared" si="11"/>
        <v/>
      </c>
      <c r="I77" s="49"/>
    </row>
    <row r="78" spans="2:9" ht="20.100000000000001" customHeight="1" x14ac:dyDescent="0.3">
      <c r="B78" s="198">
        <v>70</v>
      </c>
      <c r="C78" s="501" t="str">
        <f t="shared" si="7"/>
        <v/>
      </c>
      <c r="D78" s="502" t="str">
        <f t="shared" si="8"/>
        <v/>
      </c>
      <c r="E78" s="190" t="str">
        <f t="shared" si="9"/>
        <v/>
      </c>
      <c r="F78" s="196" t="str">
        <f t="shared" si="6"/>
        <v/>
      </c>
      <c r="G78" s="190" t="str">
        <f t="shared" si="10"/>
        <v/>
      </c>
      <c r="H78" s="503" t="str">
        <f t="shared" si="11"/>
        <v/>
      </c>
      <c r="I78" s="49"/>
    </row>
    <row r="79" spans="2:9" ht="20.100000000000001" customHeight="1" x14ac:dyDescent="0.3">
      <c r="B79" s="198">
        <v>71</v>
      </c>
      <c r="C79" s="501" t="str">
        <f t="shared" si="7"/>
        <v/>
      </c>
      <c r="D79" s="502" t="str">
        <f t="shared" si="8"/>
        <v/>
      </c>
      <c r="E79" s="190" t="str">
        <f t="shared" si="9"/>
        <v/>
      </c>
      <c r="F79" s="196" t="str">
        <f t="shared" si="6"/>
        <v/>
      </c>
      <c r="G79" s="190" t="str">
        <f t="shared" si="10"/>
        <v/>
      </c>
      <c r="H79" s="503" t="str">
        <f t="shared" si="11"/>
        <v/>
      </c>
      <c r="I79" s="49"/>
    </row>
    <row r="80" spans="2:9" ht="20.100000000000001" customHeight="1" x14ac:dyDescent="0.3">
      <c r="B80" s="198">
        <v>72</v>
      </c>
      <c r="C80" s="501" t="str">
        <f t="shared" si="7"/>
        <v/>
      </c>
      <c r="D80" s="502" t="str">
        <f t="shared" si="8"/>
        <v/>
      </c>
      <c r="E80" s="190" t="str">
        <f t="shared" si="9"/>
        <v/>
      </c>
      <c r="F80" s="196" t="str">
        <f t="shared" si="6"/>
        <v/>
      </c>
      <c r="G80" s="190" t="str">
        <f t="shared" si="10"/>
        <v/>
      </c>
      <c r="H80" s="503" t="str">
        <f t="shared" si="11"/>
        <v/>
      </c>
      <c r="I80" s="49"/>
    </row>
    <row r="81" spans="2:9" ht="20.100000000000001" customHeight="1" x14ac:dyDescent="0.3">
      <c r="B81" s="198">
        <v>73</v>
      </c>
      <c r="C81" s="501" t="str">
        <f t="shared" si="7"/>
        <v/>
      </c>
      <c r="D81" s="502" t="str">
        <f t="shared" si="8"/>
        <v/>
      </c>
      <c r="E81" s="190" t="str">
        <f t="shared" si="9"/>
        <v/>
      </c>
      <c r="F81" s="196" t="str">
        <f t="shared" si="6"/>
        <v/>
      </c>
      <c r="G81" s="190" t="str">
        <f t="shared" si="10"/>
        <v/>
      </c>
      <c r="H81" s="503" t="str">
        <f t="shared" si="11"/>
        <v/>
      </c>
      <c r="I81" s="49"/>
    </row>
    <row r="82" spans="2:9" ht="20.100000000000001" customHeight="1" x14ac:dyDescent="0.3">
      <c r="B82" s="198">
        <v>74</v>
      </c>
      <c r="C82" s="501" t="str">
        <f t="shared" si="7"/>
        <v/>
      </c>
      <c r="D82" s="502" t="str">
        <f t="shared" si="8"/>
        <v/>
      </c>
      <c r="E82" s="190" t="str">
        <f t="shared" si="9"/>
        <v/>
      </c>
      <c r="F82" s="196" t="str">
        <f t="shared" si="6"/>
        <v/>
      </c>
      <c r="G82" s="190" t="str">
        <f t="shared" si="10"/>
        <v/>
      </c>
      <c r="H82" s="503" t="str">
        <f t="shared" si="11"/>
        <v/>
      </c>
      <c r="I82" s="49"/>
    </row>
    <row r="83" spans="2:9" ht="20.100000000000001" customHeight="1" x14ac:dyDescent="0.3">
      <c r="B83" s="198">
        <v>75</v>
      </c>
      <c r="C83" s="501" t="str">
        <f t="shared" si="7"/>
        <v/>
      </c>
      <c r="D83" s="502" t="str">
        <f t="shared" si="8"/>
        <v/>
      </c>
      <c r="E83" s="190" t="str">
        <f t="shared" si="9"/>
        <v/>
      </c>
      <c r="F83" s="196" t="str">
        <f t="shared" si="6"/>
        <v/>
      </c>
      <c r="G83" s="190" t="str">
        <f t="shared" si="10"/>
        <v/>
      </c>
      <c r="H83" s="503" t="str">
        <f t="shared" si="11"/>
        <v/>
      </c>
      <c r="I83" s="49"/>
    </row>
    <row r="84" spans="2:9" ht="20.100000000000001" customHeight="1" x14ac:dyDescent="0.3">
      <c r="B84" s="198">
        <v>76</v>
      </c>
      <c r="C84" s="501" t="str">
        <f t="shared" si="7"/>
        <v/>
      </c>
      <c r="D84" s="502" t="str">
        <f t="shared" si="8"/>
        <v/>
      </c>
      <c r="E84" s="190" t="str">
        <f t="shared" si="9"/>
        <v/>
      </c>
      <c r="F84" s="196" t="str">
        <f t="shared" si="6"/>
        <v/>
      </c>
      <c r="G84" s="190" t="str">
        <f t="shared" si="10"/>
        <v/>
      </c>
      <c r="H84" s="503" t="str">
        <f t="shared" si="11"/>
        <v/>
      </c>
      <c r="I84" s="49"/>
    </row>
    <row r="85" spans="2:9" ht="20.100000000000001" customHeight="1" x14ac:dyDescent="0.3">
      <c r="B85" s="198">
        <v>77</v>
      </c>
      <c r="C85" s="501" t="str">
        <f t="shared" si="7"/>
        <v/>
      </c>
      <c r="D85" s="502" t="str">
        <f t="shared" si="8"/>
        <v/>
      </c>
      <c r="E85" s="190" t="str">
        <f t="shared" si="9"/>
        <v/>
      </c>
      <c r="F85" s="196" t="str">
        <f t="shared" si="6"/>
        <v/>
      </c>
      <c r="G85" s="190" t="str">
        <f t="shared" si="10"/>
        <v/>
      </c>
      <c r="H85" s="503" t="str">
        <f t="shared" si="11"/>
        <v/>
      </c>
      <c r="I85" s="49"/>
    </row>
    <row r="86" spans="2:9" ht="20.100000000000001" customHeight="1" x14ac:dyDescent="0.3">
      <c r="B86" s="198">
        <v>78</v>
      </c>
      <c r="C86" s="501" t="str">
        <f t="shared" si="7"/>
        <v/>
      </c>
      <c r="D86" s="502" t="str">
        <f t="shared" si="8"/>
        <v/>
      </c>
      <c r="E86" s="190" t="str">
        <f t="shared" si="9"/>
        <v/>
      </c>
      <c r="F86" s="196" t="str">
        <f t="shared" si="6"/>
        <v/>
      </c>
      <c r="G86" s="190" t="str">
        <f t="shared" si="10"/>
        <v/>
      </c>
      <c r="H86" s="503" t="str">
        <f t="shared" si="11"/>
        <v/>
      </c>
      <c r="I86" s="49"/>
    </row>
    <row r="87" spans="2:9" ht="20.100000000000001" customHeight="1" x14ac:dyDescent="0.3">
      <c r="B87" s="198">
        <v>79</v>
      </c>
      <c r="C87" s="501" t="str">
        <f t="shared" si="7"/>
        <v/>
      </c>
      <c r="D87" s="502" t="str">
        <f t="shared" si="8"/>
        <v/>
      </c>
      <c r="E87" s="190" t="str">
        <f t="shared" si="9"/>
        <v/>
      </c>
      <c r="F87" s="196" t="str">
        <f t="shared" si="6"/>
        <v/>
      </c>
      <c r="G87" s="190" t="str">
        <f t="shared" si="10"/>
        <v/>
      </c>
      <c r="H87" s="503" t="str">
        <f t="shared" si="11"/>
        <v/>
      </c>
      <c r="I87" s="49"/>
    </row>
    <row r="88" spans="2:9" ht="20.100000000000001" customHeight="1" x14ac:dyDescent="0.3">
      <c r="B88" s="198">
        <v>80</v>
      </c>
      <c r="C88" s="501" t="str">
        <f t="shared" si="7"/>
        <v/>
      </c>
      <c r="D88" s="502" t="str">
        <f t="shared" si="8"/>
        <v/>
      </c>
      <c r="E88" s="190" t="str">
        <f t="shared" si="9"/>
        <v/>
      </c>
      <c r="F88" s="196" t="str">
        <f t="shared" si="6"/>
        <v/>
      </c>
      <c r="G88" s="190" t="str">
        <f t="shared" si="10"/>
        <v/>
      </c>
      <c r="H88" s="503" t="str">
        <f t="shared" si="11"/>
        <v/>
      </c>
      <c r="I88" s="49"/>
    </row>
    <row r="89" spans="2:9" ht="20.100000000000001" customHeight="1" x14ac:dyDescent="0.3">
      <c r="B89" s="198">
        <v>81</v>
      </c>
      <c r="C89" s="501" t="str">
        <f t="shared" si="7"/>
        <v/>
      </c>
      <c r="D89" s="502" t="str">
        <f t="shared" si="8"/>
        <v/>
      </c>
      <c r="E89" s="190" t="str">
        <f t="shared" si="9"/>
        <v/>
      </c>
      <c r="F89" s="196" t="str">
        <f t="shared" si="6"/>
        <v/>
      </c>
      <c r="G89" s="190" t="str">
        <f t="shared" si="10"/>
        <v/>
      </c>
      <c r="H89" s="503" t="str">
        <f t="shared" si="11"/>
        <v/>
      </c>
      <c r="I89" s="49"/>
    </row>
    <row r="90" spans="2:9" ht="20.100000000000001" customHeight="1" x14ac:dyDescent="0.3">
      <c r="B90" s="198">
        <v>82</v>
      </c>
      <c r="C90" s="501" t="str">
        <f t="shared" si="7"/>
        <v/>
      </c>
      <c r="D90" s="502" t="str">
        <f t="shared" si="8"/>
        <v/>
      </c>
      <c r="E90" s="190" t="str">
        <f t="shared" si="9"/>
        <v/>
      </c>
      <c r="F90" s="196" t="str">
        <f t="shared" si="6"/>
        <v/>
      </c>
      <c r="G90" s="190" t="str">
        <f t="shared" si="10"/>
        <v/>
      </c>
      <c r="H90" s="503" t="str">
        <f t="shared" si="11"/>
        <v/>
      </c>
      <c r="I90" s="49"/>
    </row>
    <row r="91" spans="2:9" ht="20.100000000000001" customHeight="1" x14ac:dyDescent="0.3">
      <c r="B91" s="198">
        <v>83</v>
      </c>
      <c r="C91" s="501" t="str">
        <f t="shared" si="7"/>
        <v/>
      </c>
      <c r="D91" s="502" t="str">
        <f t="shared" si="8"/>
        <v/>
      </c>
      <c r="E91" s="190" t="str">
        <f t="shared" si="9"/>
        <v/>
      </c>
      <c r="F91" s="196" t="str">
        <f t="shared" si="6"/>
        <v/>
      </c>
      <c r="G91" s="190" t="str">
        <f t="shared" si="10"/>
        <v/>
      </c>
      <c r="H91" s="503" t="str">
        <f t="shared" si="11"/>
        <v/>
      </c>
      <c r="I91" s="49"/>
    </row>
    <row r="92" spans="2:9" ht="20.100000000000001" customHeight="1" x14ac:dyDescent="0.3">
      <c r="B92" s="198">
        <v>84</v>
      </c>
      <c r="C92" s="501" t="str">
        <f t="shared" si="7"/>
        <v/>
      </c>
      <c r="D92" s="502" t="str">
        <f t="shared" si="8"/>
        <v/>
      </c>
      <c r="E92" s="190" t="str">
        <f t="shared" si="9"/>
        <v/>
      </c>
      <c r="F92" s="196" t="str">
        <f t="shared" si="6"/>
        <v/>
      </c>
      <c r="G92" s="190" t="str">
        <f t="shared" si="10"/>
        <v/>
      </c>
      <c r="H92" s="503" t="str">
        <f t="shared" si="11"/>
        <v/>
      </c>
      <c r="I92" s="49"/>
    </row>
    <row r="93" spans="2:9" ht="20.100000000000001" customHeight="1" x14ac:dyDescent="0.3">
      <c r="B93" s="198">
        <v>85</v>
      </c>
      <c r="C93" s="501" t="str">
        <f t="shared" si="7"/>
        <v/>
      </c>
      <c r="D93" s="502" t="str">
        <f t="shared" si="8"/>
        <v/>
      </c>
      <c r="E93" s="190" t="str">
        <f t="shared" si="9"/>
        <v/>
      </c>
      <c r="F93" s="196" t="str">
        <f t="shared" si="6"/>
        <v/>
      </c>
      <c r="G93" s="190" t="str">
        <f t="shared" si="10"/>
        <v/>
      </c>
      <c r="H93" s="503" t="str">
        <f t="shared" si="11"/>
        <v/>
      </c>
      <c r="I93" s="49"/>
    </row>
    <row r="94" spans="2:9" ht="20.100000000000001" customHeight="1" x14ac:dyDescent="0.3">
      <c r="B94" s="198">
        <v>86</v>
      </c>
      <c r="C94" s="501" t="str">
        <f t="shared" si="7"/>
        <v/>
      </c>
      <c r="D94" s="502" t="str">
        <f t="shared" si="8"/>
        <v/>
      </c>
      <c r="E94" s="190" t="str">
        <f t="shared" si="9"/>
        <v/>
      </c>
      <c r="F94" s="196" t="str">
        <f t="shared" si="6"/>
        <v/>
      </c>
      <c r="G94" s="190" t="str">
        <f t="shared" si="10"/>
        <v/>
      </c>
      <c r="H94" s="503" t="str">
        <f t="shared" si="11"/>
        <v/>
      </c>
      <c r="I94" s="49"/>
    </row>
    <row r="95" spans="2:9" ht="20.100000000000001" customHeight="1" x14ac:dyDescent="0.3">
      <c r="B95" s="198">
        <v>87</v>
      </c>
      <c r="C95" s="501" t="str">
        <f t="shared" si="7"/>
        <v/>
      </c>
      <c r="D95" s="502" t="str">
        <f t="shared" si="8"/>
        <v/>
      </c>
      <c r="E95" s="190" t="str">
        <f t="shared" si="9"/>
        <v/>
      </c>
      <c r="F95" s="196" t="str">
        <f t="shared" si="6"/>
        <v/>
      </c>
      <c r="G95" s="190" t="str">
        <f t="shared" si="10"/>
        <v/>
      </c>
      <c r="H95" s="503" t="str">
        <f t="shared" si="11"/>
        <v/>
      </c>
      <c r="I95" s="49"/>
    </row>
    <row r="96" spans="2:9" ht="20.100000000000001" customHeight="1" x14ac:dyDescent="0.3">
      <c r="B96" s="198">
        <v>88</v>
      </c>
      <c r="C96" s="501" t="str">
        <f t="shared" si="7"/>
        <v/>
      </c>
      <c r="D96" s="502" t="str">
        <f t="shared" si="8"/>
        <v/>
      </c>
      <c r="E96" s="190" t="str">
        <f t="shared" si="9"/>
        <v/>
      </c>
      <c r="F96" s="196" t="str">
        <f t="shared" si="6"/>
        <v/>
      </c>
      <c r="G96" s="190" t="str">
        <f t="shared" si="10"/>
        <v/>
      </c>
      <c r="H96" s="503" t="str">
        <f t="shared" si="11"/>
        <v/>
      </c>
      <c r="I96" s="49"/>
    </row>
    <row r="97" spans="2:9" ht="20.100000000000001" customHeight="1" x14ac:dyDescent="0.3">
      <c r="B97" s="198">
        <v>89</v>
      </c>
      <c r="C97" s="501" t="str">
        <f t="shared" si="7"/>
        <v/>
      </c>
      <c r="D97" s="502" t="str">
        <f t="shared" si="8"/>
        <v/>
      </c>
      <c r="E97" s="190" t="str">
        <f t="shared" si="9"/>
        <v/>
      </c>
      <c r="F97" s="196" t="str">
        <f t="shared" si="6"/>
        <v/>
      </c>
      <c r="G97" s="190" t="str">
        <f t="shared" si="10"/>
        <v/>
      </c>
      <c r="H97" s="503" t="str">
        <f t="shared" si="11"/>
        <v/>
      </c>
      <c r="I97" s="49"/>
    </row>
    <row r="98" spans="2:9" ht="20.100000000000001" customHeight="1" x14ac:dyDescent="0.3">
      <c r="B98" s="198">
        <v>90</v>
      </c>
      <c r="C98" s="501" t="str">
        <f t="shared" si="7"/>
        <v/>
      </c>
      <c r="D98" s="502" t="str">
        <f t="shared" si="8"/>
        <v/>
      </c>
      <c r="E98" s="190" t="str">
        <f t="shared" si="9"/>
        <v/>
      </c>
      <c r="F98" s="196" t="str">
        <f t="shared" si="6"/>
        <v/>
      </c>
      <c r="G98" s="190" t="str">
        <f t="shared" si="10"/>
        <v/>
      </c>
      <c r="H98" s="503" t="str">
        <f t="shared" si="11"/>
        <v/>
      </c>
      <c r="I98" s="49"/>
    </row>
    <row r="99" spans="2:9" ht="20.100000000000001" customHeight="1" x14ac:dyDescent="0.3">
      <c r="B99" s="198">
        <v>91</v>
      </c>
      <c r="C99" s="501" t="str">
        <f t="shared" si="7"/>
        <v/>
      </c>
      <c r="D99" s="502" t="str">
        <f t="shared" si="8"/>
        <v/>
      </c>
      <c r="E99" s="190" t="str">
        <f t="shared" si="9"/>
        <v/>
      </c>
      <c r="F99" s="196" t="str">
        <f t="shared" si="6"/>
        <v/>
      </c>
      <c r="G99" s="190" t="str">
        <f t="shared" si="10"/>
        <v/>
      </c>
      <c r="H99" s="503" t="str">
        <f t="shared" si="11"/>
        <v/>
      </c>
      <c r="I99" s="49"/>
    </row>
    <row r="100" spans="2:9" ht="20.100000000000001" customHeight="1" x14ac:dyDescent="0.3">
      <c r="B100" s="198">
        <v>92</v>
      </c>
      <c r="C100" s="501" t="str">
        <f t="shared" si="7"/>
        <v/>
      </c>
      <c r="D100" s="502" t="str">
        <f t="shared" si="8"/>
        <v/>
      </c>
      <c r="E100" s="190" t="str">
        <f t="shared" si="9"/>
        <v/>
      </c>
      <c r="F100" s="196" t="str">
        <f t="shared" si="6"/>
        <v/>
      </c>
      <c r="G100" s="190" t="str">
        <f t="shared" si="10"/>
        <v/>
      </c>
      <c r="H100" s="503" t="str">
        <f t="shared" si="11"/>
        <v/>
      </c>
      <c r="I100" s="49"/>
    </row>
    <row r="101" spans="2:9" ht="20.100000000000001" customHeight="1" x14ac:dyDescent="0.3">
      <c r="B101" s="198">
        <v>93</v>
      </c>
      <c r="C101" s="501" t="str">
        <f t="shared" si="7"/>
        <v/>
      </c>
      <c r="D101" s="502" t="str">
        <f t="shared" si="8"/>
        <v/>
      </c>
      <c r="E101" s="190" t="str">
        <f t="shared" si="9"/>
        <v/>
      </c>
      <c r="F101" s="196" t="str">
        <f t="shared" si="6"/>
        <v/>
      </c>
      <c r="G101" s="190" t="str">
        <f t="shared" si="10"/>
        <v/>
      </c>
      <c r="H101" s="503" t="str">
        <f t="shared" si="11"/>
        <v/>
      </c>
      <c r="I101" s="49"/>
    </row>
    <row r="102" spans="2:9" ht="20.100000000000001" customHeight="1" x14ac:dyDescent="0.3">
      <c r="B102" s="198">
        <v>94</v>
      </c>
      <c r="C102" s="501" t="str">
        <f t="shared" si="7"/>
        <v/>
      </c>
      <c r="D102" s="502" t="str">
        <f t="shared" si="8"/>
        <v/>
      </c>
      <c r="E102" s="190" t="str">
        <f t="shared" si="9"/>
        <v/>
      </c>
      <c r="F102" s="196" t="str">
        <f t="shared" si="6"/>
        <v/>
      </c>
      <c r="G102" s="190" t="str">
        <f t="shared" si="10"/>
        <v/>
      </c>
      <c r="H102" s="503" t="str">
        <f t="shared" si="11"/>
        <v/>
      </c>
      <c r="I102" s="49"/>
    </row>
    <row r="103" spans="2:9" ht="20.100000000000001" customHeight="1" x14ac:dyDescent="0.3">
      <c r="B103" s="198">
        <v>95</v>
      </c>
      <c r="C103" s="501" t="str">
        <f t="shared" si="7"/>
        <v/>
      </c>
      <c r="D103" s="502" t="str">
        <f t="shared" si="8"/>
        <v/>
      </c>
      <c r="E103" s="190" t="str">
        <f t="shared" si="9"/>
        <v/>
      </c>
      <c r="F103" s="196" t="str">
        <f t="shared" si="6"/>
        <v/>
      </c>
      <c r="G103" s="190" t="str">
        <f t="shared" si="10"/>
        <v/>
      </c>
      <c r="H103" s="503" t="str">
        <f t="shared" si="11"/>
        <v/>
      </c>
      <c r="I103" s="49"/>
    </row>
    <row r="104" spans="2:9" ht="20.100000000000001" customHeight="1" x14ac:dyDescent="0.3">
      <c r="B104" s="198">
        <v>96</v>
      </c>
      <c r="C104" s="501" t="str">
        <f t="shared" si="7"/>
        <v/>
      </c>
      <c r="D104" s="502" t="str">
        <f t="shared" si="8"/>
        <v/>
      </c>
      <c r="E104" s="190" t="str">
        <f t="shared" si="9"/>
        <v/>
      </c>
      <c r="F104" s="196" t="str">
        <f t="shared" si="6"/>
        <v/>
      </c>
      <c r="G104" s="190" t="str">
        <f t="shared" si="10"/>
        <v/>
      </c>
      <c r="H104" s="503" t="str">
        <f t="shared" si="11"/>
        <v/>
      </c>
      <c r="I104" s="49"/>
    </row>
    <row r="105" spans="2:9" ht="20.100000000000001" customHeight="1" x14ac:dyDescent="0.3">
      <c r="B105" s="198">
        <v>97</v>
      </c>
      <c r="C105" s="501" t="str">
        <f t="shared" si="7"/>
        <v/>
      </c>
      <c r="D105" s="502" t="str">
        <f t="shared" si="8"/>
        <v/>
      </c>
      <c r="E105" s="190" t="str">
        <f t="shared" si="9"/>
        <v/>
      </c>
      <c r="F105" s="196" t="str">
        <f t="shared" si="6"/>
        <v/>
      </c>
      <c r="G105" s="190" t="str">
        <f t="shared" si="10"/>
        <v/>
      </c>
      <c r="H105" s="503" t="str">
        <f t="shared" si="11"/>
        <v/>
      </c>
      <c r="I105" s="49"/>
    </row>
    <row r="106" spans="2:9" ht="20.100000000000001" customHeight="1" x14ac:dyDescent="0.3">
      <c r="B106" s="198">
        <v>98</v>
      </c>
      <c r="C106" s="501" t="str">
        <f t="shared" si="7"/>
        <v/>
      </c>
      <c r="D106" s="502" t="str">
        <f t="shared" si="8"/>
        <v/>
      </c>
      <c r="E106" s="190" t="str">
        <f t="shared" si="9"/>
        <v/>
      </c>
      <c r="F106" s="196" t="str">
        <f t="shared" si="6"/>
        <v/>
      </c>
      <c r="G106" s="190" t="str">
        <f t="shared" si="10"/>
        <v/>
      </c>
      <c r="H106" s="503" t="str">
        <f t="shared" si="11"/>
        <v/>
      </c>
      <c r="I106" s="49"/>
    </row>
    <row r="107" spans="2:9" ht="20.100000000000001" customHeight="1" x14ac:dyDescent="0.3">
      <c r="B107" s="198">
        <v>99</v>
      </c>
      <c r="C107" s="501" t="str">
        <f t="shared" si="7"/>
        <v/>
      </c>
      <c r="D107" s="502" t="str">
        <f t="shared" si="8"/>
        <v/>
      </c>
      <c r="E107" s="190" t="str">
        <f t="shared" si="9"/>
        <v/>
      </c>
      <c r="F107" s="196" t="str">
        <f t="shared" si="6"/>
        <v/>
      </c>
      <c r="G107" s="190" t="str">
        <f t="shared" si="10"/>
        <v/>
      </c>
      <c r="H107" s="503" t="str">
        <f t="shared" si="11"/>
        <v/>
      </c>
      <c r="I107" s="49"/>
    </row>
    <row r="108" spans="2:9" ht="20.100000000000001" customHeight="1" x14ac:dyDescent="0.3">
      <c r="B108" s="198">
        <v>100</v>
      </c>
      <c r="C108" s="501" t="str">
        <f t="shared" si="7"/>
        <v/>
      </c>
      <c r="D108" s="502" t="str">
        <f t="shared" si="8"/>
        <v/>
      </c>
      <c r="E108" s="190" t="str">
        <f t="shared" si="9"/>
        <v/>
      </c>
      <c r="F108" s="196" t="str">
        <f t="shared" si="6"/>
        <v/>
      </c>
      <c r="G108" s="190" t="str">
        <f t="shared" si="10"/>
        <v/>
      </c>
      <c r="H108" s="503" t="str">
        <f t="shared" si="11"/>
        <v/>
      </c>
      <c r="I108" s="49"/>
    </row>
    <row r="109" spans="2:9" ht="20.100000000000001" customHeight="1" x14ac:dyDescent="0.3">
      <c r="B109" s="198">
        <v>101</v>
      </c>
      <c r="C109" s="501" t="str">
        <f t="shared" si="7"/>
        <v/>
      </c>
      <c r="D109" s="502" t="str">
        <f t="shared" si="8"/>
        <v/>
      </c>
      <c r="E109" s="190" t="str">
        <f t="shared" si="9"/>
        <v/>
      </c>
      <c r="F109" s="196" t="str">
        <f t="shared" si="6"/>
        <v/>
      </c>
      <c r="G109" s="190" t="str">
        <f t="shared" si="10"/>
        <v/>
      </c>
      <c r="H109" s="503" t="str">
        <f t="shared" si="11"/>
        <v/>
      </c>
      <c r="I109" s="49"/>
    </row>
    <row r="110" spans="2:9" ht="20.100000000000001" customHeight="1" x14ac:dyDescent="0.3">
      <c r="B110" s="198">
        <v>102</v>
      </c>
      <c r="C110" s="501" t="str">
        <f t="shared" si="7"/>
        <v/>
      </c>
      <c r="D110" s="502" t="str">
        <f t="shared" si="8"/>
        <v/>
      </c>
      <c r="E110" s="190" t="str">
        <f t="shared" si="9"/>
        <v/>
      </c>
      <c r="F110" s="196" t="str">
        <f t="shared" si="6"/>
        <v/>
      </c>
      <c r="G110" s="190" t="str">
        <f t="shared" si="10"/>
        <v/>
      </c>
      <c r="H110" s="503" t="str">
        <f t="shared" si="11"/>
        <v/>
      </c>
      <c r="I110" s="49"/>
    </row>
    <row r="111" spans="2:9" ht="20.100000000000001" customHeight="1" x14ac:dyDescent="0.3">
      <c r="B111" s="198">
        <v>103</v>
      </c>
      <c r="C111" s="501" t="str">
        <f t="shared" si="7"/>
        <v/>
      </c>
      <c r="D111" s="502" t="str">
        <f t="shared" si="8"/>
        <v/>
      </c>
      <c r="E111" s="190" t="str">
        <f t="shared" si="9"/>
        <v/>
      </c>
      <c r="F111" s="196" t="str">
        <f t="shared" si="6"/>
        <v/>
      </c>
      <c r="G111" s="190" t="str">
        <f t="shared" si="10"/>
        <v/>
      </c>
      <c r="H111" s="503" t="str">
        <f t="shared" si="11"/>
        <v/>
      </c>
      <c r="I111" s="49"/>
    </row>
    <row r="112" spans="2:9" ht="20.100000000000001" customHeight="1" x14ac:dyDescent="0.3">
      <c r="B112" s="198">
        <v>104</v>
      </c>
      <c r="C112" s="501" t="str">
        <f t="shared" si="7"/>
        <v/>
      </c>
      <c r="D112" s="502" t="str">
        <f t="shared" si="8"/>
        <v/>
      </c>
      <c r="E112" s="190" t="str">
        <f t="shared" si="9"/>
        <v/>
      </c>
      <c r="F112" s="196" t="str">
        <f t="shared" si="6"/>
        <v/>
      </c>
      <c r="G112" s="190" t="str">
        <f t="shared" si="10"/>
        <v/>
      </c>
      <c r="H112" s="503" t="str">
        <f t="shared" si="11"/>
        <v/>
      </c>
      <c r="I112" s="49"/>
    </row>
    <row r="113" spans="2:9" ht="20.100000000000001" customHeight="1" x14ac:dyDescent="0.3">
      <c r="B113" s="198">
        <v>105</v>
      </c>
      <c r="C113" s="501" t="str">
        <f t="shared" si="7"/>
        <v/>
      </c>
      <c r="D113" s="502" t="str">
        <f t="shared" si="8"/>
        <v/>
      </c>
      <c r="E113" s="190" t="str">
        <f t="shared" si="9"/>
        <v/>
      </c>
      <c r="F113" s="196" t="str">
        <f t="shared" si="6"/>
        <v/>
      </c>
      <c r="G113" s="190" t="str">
        <f t="shared" si="10"/>
        <v/>
      </c>
      <c r="H113" s="503" t="str">
        <f t="shared" si="11"/>
        <v/>
      </c>
      <c r="I113" s="49"/>
    </row>
    <row r="114" spans="2:9" ht="20.100000000000001" customHeight="1" x14ac:dyDescent="0.3">
      <c r="B114" s="198">
        <v>106</v>
      </c>
      <c r="C114" s="501" t="str">
        <f t="shared" si="7"/>
        <v/>
      </c>
      <c r="D114" s="502" t="str">
        <f t="shared" si="8"/>
        <v/>
      </c>
      <c r="E114" s="190" t="str">
        <f t="shared" si="9"/>
        <v/>
      </c>
      <c r="F114" s="196" t="str">
        <f t="shared" si="6"/>
        <v/>
      </c>
      <c r="G114" s="190" t="str">
        <f t="shared" si="10"/>
        <v/>
      </c>
      <c r="H114" s="503" t="str">
        <f t="shared" si="11"/>
        <v/>
      </c>
      <c r="I114" s="49"/>
    </row>
    <row r="115" spans="2:9" ht="20.100000000000001" customHeight="1" x14ac:dyDescent="0.3">
      <c r="B115" s="198">
        <v>107</v>
      </c>
      <c r="C115" s="501" t="str">
        <f t="shared" si="7"/>
        <v/>
      </c>
      <c r="D115" s="502" t="str">
        <f t="shared" si="8"/>
        <v/>
      </c>
      <c r="E115" s="190" t="str">
        <f t="shared" si="9"/>
        <v/>
      </c>
      <c r="F115" s="196" t="str">
        <f t="shared" si="6"/>
        <v/>
      </c>
      <c r="G115" s="190" t="str">
        <f t="shared" si="10"/>
        <v/>
      </c>
      <c r="H115" s="503" t="str">
        <f t="shared" si="11"/>
        <v/>
      </c>
      <c r="I115" s="49"/>
    </row>
    <row r="116" spans="2:9" ht="20.100000000000001" customHeight="1" x14ac:dyDescent="0.3">
      <c r="B116" s="198">
        <v>108</v>
      </c>
      <c r="C116" s="501" t="str">
        <f t="shared" si="7"/>
        <v/>
      </c>
      <c r="D116" s="502" t="str">
        <f t="shared" si="8"/>
        <v/>
      </c>
      <c r="E116" s="190" t="str">
        <f t="shared" si="9"/>
        <v/>
      </c>
      <c r="F116" s="196" t="str">
        <f t="shared" si="6"/>
        <v/>
      </c>
      <c r="G116" s="190" t="str">
        <f t="shared" si="10"/>
        <v/>
      </c>
      <c r="H116" s="503" t="str">
        <f t="shared" si="11"/>
        <v/>
      </c>
      <c r="I116" s="49"/>
    </row>
    <row r="117" spans="2:9" ht="20.100000000000001" customHeight="1" x14ac:dyDescent="0.3">
      <c r="B117" s="198">
        <v>109</v>
      </c>
      <c r="C117" s="501" t="str">
        <f t="shared" si="7"/>
        <v/>
      </c>
      <c r="D117" s="502" t="str">
        <f t="shared" si="8"/>
        <v/>
      </c>
      <c r="E117" s="190" t="str">
        <f t="shared" si="9"/>
        <v/>
      </c>
      <c r="F117" s="196" t="str">
        <f t="shared" si="6"/>
        <v/>
      </c>
      <c r="G117" s="190" t="str">
        <f t="shared" si="10"/>
        <v/>
      </c>
      <c r="H117" s="503" t="str">
        <f t="shared" si="11"/>
        <v/>
      </c>
      <c r="I117" s="49"/>
    </row>
    <row r="118" spans="2:9" ht="20.100000000000001" customHeight="1" x14ac:dyDescent="0.3">
      <c r="B118" s="198">
        <v>110</v>
      </c>
      <c r="C118" s="501" t="str">
        <f t="shared" si="7"/>
        <v/>
      </c>
      <c r="D118" s="502" t="str">
        <f t="shared" si="8"/>
        <v/>
      </c>
      <c r="E118" s="190" t="str">
        <f t="shared" si="9"/>
        <v/>
      </c>
      <c r="F118" s="196" t="str">
        <f t="shared" si="6"/>
        <v/>
      </c>
      <c r="G118" s="190" t="str">
        <f t="shared" si="10"/>
        <v/>
      </c>
      <c r="H118" s="503" t="str">
        <f t="shared" si="11"/>
        <v/>
      </c>
      <c r="I118" s="49"/>
    </row>
    <row r="119" spans="2:9" ht="20.100000000000001" customHeight="1" x14ac:dyDescent="0.3">
      <c r="B119" s="198">
        <v>111</v>
      </c>
      <c r="C119" s="501" t="str">
        <f t="shared" si="7"/>
        <v/>
      </c>
      <c r="D119" s="502" t="str">
        <f t="shared" si="8"/>
        <v/>
      </c>
      <c r="E119" s="190" t="str">
        <f t="shared" si="9"/>
        <v/>
      </c>
      <c r="F119" s="196" t="str">
        <f t="shared" si="6"/>
        <v/>
      </c>
      <c r="G119" s="190" t="str">
        <f t="shared" si="10"/>
        <v/>
      </c>
      <c r="H119" s="503" t="str">
        <f t="shared" si="11"/>
        <v/>
      </c>
      <c r="I119" s="49"/>
    </row>
    <row r="120" spans="2:9" ht="20.100000000000001" customHeight="1" x14ac:dyDescent="0.3">
      <c r="B120" s="198">
        <v>112</v>
      </c>
      <c r="C120" s="501" t="str">
        <f t="shared" si="7"/>
        <v/>
      </c>
      <c r="D120" s="502" t="str">
        <f t="shared" si="8"/>
        <v/>
      </c>
      <c r="E120" s="190" t="str">
        <f t="shared" si="9"/>
        <v/>
      </c>
      <c r="F120" s="196" t="str">
        <f t="shared" si="6"/>
        <v/>
      </c>
      <c r="G120" s="190" t="str">
        <f t="shared" si="10"/>
        <v/>
      </c>
      <c r="H120" s="503" t="str">
        <f t="shared" si="11"/>
        <v/>
      </c>
      <c r="I120" s="49"/>
    </row>
    <row r="121" spans="2:9" ht="20.100000000000001" customHeight="1" x14ac:dyDescent="0.3">
      <c r="B121" s="198">
        <v>113</v>
      </c>
      <c r="C121" s="501" t="str">
        <f t="shared" si="7"/>
        <v/>
      </c>
      <c r="D121" s="502" t="str">
        <f t="shared" si="8"/>
        <v/>
      </c>
      <c r="E121" s="190" t="str">
        <f t="shared" si="9"/>
        <v/>
      </c>
      <c r="F121" s="196" t="str">
        <f t="shared" si="6"/>
        <v/>
      </c>
      <c r="G121" s="190" t="str">
        <f t="shared" si="10"/>
        <v/>
      </c>
      <c r="H121" s="503" t="str">
        <f t="shared" si="11"/>
        <v/>
      </c>
      <c r="I121" s="49"/>
    </row>
    <row r="122" spans="2:9" ht="20.100000000000001" customHeight="1" x14ac:dyDescent="0.3">
      <c r="B122" s="198">
        <v>114</v>
      </c>
      <c r="C122" s="501" t="str">
        <f t="shared" si="7"/>
        <v/>
      </c>
      <c r="D122" s="502" t="str">
        <f t="shared" si="8"/>
        <v/>
      </c>
      <c r="E122" s="190" t="str">
        <f t="shared" si="9"/>
        <v/>
      </c>
      <c r="F122" s="196" t="str">
        <f t="shared" si="6"/>
        <v/>
      </c>
      <c r="G122" s="190" t="str">
        <f t="shared" si="10"/>
        <v/>
      </c>
      <c r="H122" s="503" t="str">
        <f t="shared" si="11"/>
        <v/>
      </c>
      <c r="I122" s="49"/>
    </row>
    <row r="123" spans="2:9" ht="20.100000000000001" customHeight="1" x14ac:dyDescent="0.3">
      <c r="B123" s="198">
        <v>115</v>
      </c>
      <c r="C123" s="501" t="str">
        <f t="shared" si="7"/>
        <v/>
      </c>
      <c r="D123" s="502" t="str">
        <f t="shared" si="8"/>
        <v/>
      </c>
      <c r="E123" s="190" t="str">
        <f t="shared" si="9"/>
        <v/>
      </c>
      <c r="F123" s="196" t="str">
        <f t="shared" si="6"/>
        <v/>
      </c>
      <c r="G123" s="190" t="str">
        <f t="shared" si="10"/>
        <v/>
      </c>
      <c r="H123" s="503" t="str">
        <f t="shared" si="11"/>
        <v/>
      </c>
      <c r="I123" s="49"/>
    </row>
    <row r="124" spans="2:9" ht="20.100000000000001" customHeight="1" x14ac:dyDescent="0.3">
      <c r="B124" s="198">
        <v>116</v>
      </c>
      <c r="C124" s="501" t="str">
        <f t="shared" si="7"/>
        <v/>
      </c>
      <c r="D124" s="502" t="str">
        <f t="shared" si="8"/>
        <v/>
      </c>
      <c r="E124" s="190" t="str">
        <f t="shared" si="9"/>
        <v/>
      </c>
      <c r="F124" s="196" t="str">
        <f t="shared" si="6"/>
        <v/>
      </c>
      <c r="G124" s="190" t="str">
        <f t="shared" si="10"/>
        <v/>
      </c>
      <c r="H124" s="503" t="str">
        <f t="shared" si="11"/>
        <v/>
      </c>
      <c r="I124" s="49"/>
    </row>
    <row r="125" spans="2:9" ht="20.100000000000001" customHeight="1" x14ac:dyDescent="0.3">
      <c r="B125" s="198">
        <v>117</v>
      </c>
      <c r="C125" s="501" t="str">
        <f t="shared" si="7"/>
        <v/>
      </c>
      <c r="D125" s="502" t="str">
        <f t="shared" si="8"/>
        <v/>
      </c>
      <c r="E125" s="190" t="str">
        <f t="shared" si="9"/>
        <v/>
      </c>
      <c r="F125" s="196" t="str">
        <f t="shared" si="6"/>
        <v/>
      </c>
      <c r="G125" s="190" t="str">
        <f t="shared" si="10"/>
        <v/>
      </c>
      <c r="H125" s="503" t="str">
        <f t="shared" si="11"/>
        <v/>
      </c>
      <c r="I125" s="49"/>
    </row>
    <row r="126" spans="2:9" ht="20.100000000000001" customHeight="1" x14ac:dyDescent="0.3">
      <c r="B126" s="198">
        <v>118</v>
      </c>
      <c r="C126" s="501" t="str">
        <f t="shared" si="7"/>
        <v/>
      </c>
      <c r="D126" s="502" t="str">
        <f t="shared" si="8"/>
        <v/>
      </c>
      <c r="E126" s="190" t="str">
        <f t="shared" si="9"/>
        <v/>
      </c>
      <c r="F126" s="196" t="str">
        <f t="shared" si="6"/>
        <v/>
      </c>
      <c r="G126" s="190" t="str">
        <f t="shared" si="10"/>
        <v/>
      </c>
      <c r="H126" s="503" t="str">
        <f t="shared" si="11"/>
        <v/>
      </c>
      <c r="I126" s="49"/>
    </row>
    <row r="127" spans="2:9" ht="20.100000000000001" customHeight="1" x14ac:dyDescent="0.3">
      <c r="B127" s="198">
        <v>119</v>
      </c>
      <c r="C127" s="501" t="str">
        <f t="shared" si="7"/>
        <v/>
      </c>
      <c r="D127" s="502" t="str">
        <f t="shared" si="8"/>
        <v/>
      </c>
      <c r="E127" s="190" t="str">
        <f t="shared" si="9"/>
        <v/>
      </c>
      <c r="F127" s="196" t="str">
        <f t="shared" si="6"/>
        <v/>
      </c>
      <c r="G127" s="190" t="str">
        <f t="shared" si="10"/>
        <v/>
      </c>
      <c r="H127" s="503" t="str">
        <f t="shared" si="11"/>
        <v/>
      </c>
      <c r="I127" s="49"/>
    </row>
    <row r="128" spans="2:9" ht="20.100000000000001" customHeight="1" x14ac:dyDescent="0.3">
      <c r="B128" s="198">
        <v>120</v>
      </c>
      <c r="C128" s="501" t="str">
        <f t="shared" si="7"/>
        <v/>
      </c>
      <c r="D128" s="502" t="str">
        <f t="shared" si="8"/>
        <v/>
      </c>
      <c r="E128" s="190" t="str">
        <f t="shared" si="9"/>
        <v/>
      </c>
      <c r="F128" s="196" t="str">
        <f t="shared" si="6"/>
        <v/>
      </c>
      <c r="G128" s="190" t="str">
        <f t="shared" si="10"/>
        <v/>
      </c>
      <c r="H128" s="503" t="str">
        <f t="shared" si="11"/>
        <v/>
      </c>
      <c r="I128" s="49"/>
    </row>
    <row r="129" spans="2:9" ht="20.100000000000001" customHeight="1" x14ac:dyDescent="0.3">
      <c r="B129" s="198">
        <v>121</v>
      </c>
      <c r="C129" s="501" t="str">
        <f t="shared" si="7"/>
        <v/>
      </c>
      <c r="D129" s="502" t="str">
        <f t="shared" si="8"/>
        <v/>
      </c>
      <c r="E129" s="190" t="str">
        <f t="shared" si="9"/>
        <v/>
      </c>
      <c r="F129" s="196" t="str">
        <f t="shared" si="6"/>
        <v/>
      </c>
      <c r="G129" s="190" t="str">
        <f t="shared" si="10"/>
        <v/>
      </c>
      <c r="H129" s="503" t="str">
        <f t="shared" si="11"/>
        <v/>
      </c>
      <c r="I129" s="49"/>
    </row>
    <row r="130" spans="2:9" ht="20.100000000000001" customHeight="1" x14ac:dyDescent="0.3">
      <c r="B130" s="198">
        <v>122</v>
      </c>
      <c r="C130" s="501" t="str">
        <f t="shared" si="7"/>
        <v/>
      </c>
      <c r="D130" s="502" t="str">
        <f t="shared" si="8"/>
        <v/>
      </c>
      <c r="E130" s="190" t="str">
        <f t="shared" si="9"/>
        <v/>
      </c>
      <c r="F130" s="196" t="str">
        <f t="shared" si="6"/>
        <v/>
      </c>
      <c r="G130" s="190" t="str">
        <f t="shared" si="10"/>
        <v/>
      </c>
      <c r="H130" s="503" t="str">
        <f t="shared" si="11"/>
        <v/>
      </c>
      <c r="I130" s="49"/>
    </row>
    <row r="131" spans="2:9" ht="20.100000000000001" customHeight="1" x14ac:dyDescent="0.3">
      <c r="B131" s="198">
        <v>123</v>
      </c>
      <c r="C131" s="501" t="str">
        <f t="shared" si="7"/>
        <v/>
      </c>
      <c r="D131" s="502" t="str">
        <f t="shared" si="8"/>
        <v/>
      </c>
      <c r="E131" s="190" t="str">
        <f t="shared" si="9"/>
        <v/>
      </c>
      <c r="F131" s="196" t="str">
        <f t="shared" si="6"/>
        <v/>
      </c>
      <c r="G131" s="190" t="str">
        <f t="shared" si="10"/>
        <v/>
      </c>
      <c r="H131" s="503" t="str">
        <f t="shared" si="11"/>
        <v/>
      </c>
      <c r="I131" s="49"/>
    </row>
    <row r="132" spans="2:9" ht="20.100000000000001" customHeight="1" x14ac:dyDescent="0.3">
      <c r="B132" s="198">
        <v>124</v>
      </c>
      <c r="C132" s="501" t="str">
        <f t="shared" si="7"/>
        <v/>
      </c>
      <c r="D132" s="502" t="str">
        <f t="shared" si="8"/>
        <v/>
      </c>
      <c r="E132" s="190" t="str">
        <f t="shared" si="9"/>
        <v/>
      </c>
      <c r="F132" s="196" t="str">
        <f t="shared" si="6"/>
        <v/>
      </c>
      <c r="G132" s="190" t="str">
        <f t="shared" si="10"/>
        <v/>
      </c>
      <c r="H132" s="503" t="str">
        <f t="shared" si="11"/>
        <v/>
      </c>
      <c r="I132" s="49"/>
    </row>
    <row r="133" spans="2:9" ht="20.100000000000001" customHeight="1" x14ac:dyDescent="0.3">
      <c r="B133" s="198">
        <v>125</v>
      </c>
      <c r="C133" s="501" t="str">
        <f t="shared" si="7"/>
        <v/>
      </c>
      <c r="D133" s="502" t="str">
        <f t="shared" si="8"/>
        <v/>
      </c>
      <c r="E133" s="190" t="str">
        <f t="shared" si="9"/>
        <v/>
      </c>
      <c r="F133" s="196" t="str">
        <f t="shared" si="6"/>
        <v/>
      </c>
      <c r="G133" s="190" t="str">
        <f t="shared" si="10"/>
        <v/>
      </c>
      <c r="H133" s="503" t="str">
        <f t="shared" si="11"/>
        <v/>
      </c>
      <c r="I133" s="49"/>
    </row>
    <row r="134" spans="2:9" ht="20.100000000000001" customHeight="1" x14ac:dyDescent="0.3">
      <c r="B134" s="198">
        <v>126</v>
      </c>
      <c r="C134" s="501" t="str">
        <f t="shared" si="7"/>
        <v/>
      </c>
      <c r="D134" s="502" t="str">
        <f t="shared" si="8"/>
        <v/>
      </c>
      <c r="E134" s="190" t="str">
        <f t="shared" si="9"/>
        <v/>
      </c>
      <c r="F134" s="196" t="str">
        <f t="shared" si="6"/>
        <v/>
      </c>
      <c r="G134" s="190" t="str">
        <f t="shared" si="10"/>
        <v/>
      </c>
      <c r="H134" s="503" t="str">
        <f t="shared" si="11"/>
        <v/>
      </c>
      <c r="I134" s="49"/>
    </row>
    <row r="135" spans="2:9" ht="20.100000000000001" customHeight="1" x14ac:dyDescent="0.3">
      <c r="B135" s="198">
        <v>127</v>
      </c>
      <c r="C135" s="501" t="str">
        <f t="shared" si="7"/>
        <v/>
      </c>
      <c r="D135" s="502" t="str">
        <f t="shared" si="8"/>
        <v/>
      </c>
      <c r="E135" s="190" t="str">
        <f t="shared" si="9"/>
        <v/>
      </c>
      <c r="F135" s="196" t="str">
        <f t="shared" si="6"/>
        <v/>
      </c>
      <c r="G135" s="190" t="str">
        <f t="shared" si="10"/>
        <v/>
      </c>
      <c r="H135" s="503" t="str">
        <f t="shared" si="11"/>
        <v/>
      </c>
      <c r="I135" s="49"/>
    </row>
    <row r="136" spans="2:9" ht="20.100000000000001" customHeight="1" x14ac:dyDescent="0.3">
      <c r="B136" s="198">
        <v>128</v>
      </c>
      <c r="C136" s="501" t="str">
        <f t="shared" si="7"/>
        <v/>
      </c>
      <c r="D136" s="502" t="str">
        <f t="shared" si="8"/>
        <v/>
      </c>
      <c r="E136" s="190" t="str">
        <f t="shared" si="9"/>
        <v/>
      </c>
      <c r="F136" s="196" t="str">
        <f t="shared" si="6"/>
        <v/>
      </c>
      <c r="G136" s="190" t="str">
        <f t="shared" si="10"/>
        <v/>
      </c>
      <c r="H136" s="503" t="str">
        <f t="shared" si="11"/>
        <v/>
      </c>
      <c r="I136" s="49"/>
    </row>
    <row r="137" spans="2:9" ht="20.100000000000001" customHeight="1" x14ac:dyDescent="0.3">
      <c r="B137" s="198">
        <v>129</v>
      </c>
      <c r="C137" s="501" t="str">
        <f t="shared" si="7"/>
        <v/>
      </c>
      <c r="D137" s="502" t="str">
        <f t="shared" si="8"/>
        <v/>
      </c>
      <c r="E137" s="190" t="str">
        <f t="shared" si="9"/>
        <v/>
      </c>
      <c r="F137" s="196" t="str">
        <f t="shared" si="6"/>
        <v/>
      </c>
      <c r="G137" s="190" t="str">
        <f t="shared" si="10"/>
        <v/>
      </c>
      <c r="H137" s="503" t="str">
        <f t="shared" si="11"/>
        <v/>
      </c>
      <c r="I137" s="49"/>
    </row>
    <row r="138" spans="2:9" ht="20.100000000000001" customHeight="1" x14ac:dyDescent="0.3">
      <c r="B138" s="198">
        <v>130</v>
      </c>
      <c r="C138" s="501" t="str">
        <f t="shared" si="7"/>
        <v/>
      </c>
      <c r="D138" s="502" t="str">
        <f t="shared" si="8"/>
        <v/>
      </c>
      <c r="E138" s="190" t="str">
        <f t="shared" si="9"/>
        <v/>
      </c>
      <c r="F138" s="196" t="str">
        <f t="shared" ref="F138:F201" si="12">IF($H$4="","",IF($F$4="원리금균등상환",IFERROR(D138+E138,""),IF($F$4="원금균등상환",D138+E138,"")))</f>
        <v/>
      </c>
      <c r="G138" s="190" t="str">
        <f t="shared" si="10"/>
        <v/>
      </c>
      <c r="H138" s="503" t="str">
        <f t="shared" si="11"/>
        <v/>
      </c>
      <c r="I138" s="49"/>
    </row>
    <row r="139" spans="2:9" ht="20.100000000000001" customHeight="1" x14ac:dyDescent="0.3">
      <c r="B139" s="198">
        <v>131</v>
      </c>
      <c r="C139" s="501" t="str">
        <f t="shared" ref="C139:C202" si="13">IF($H$4="","",IF(B139&gt;($B$6),"",IF(B139&lt;=($B$6),DATE(YEAR($G$4),MONTH($G$4)+B138,DAY($G$4)),"")))</f>
        <v/>
      </c>
      <c r="D139" s="502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190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196" t="str">
        <f t="shared" si="12"/>
        <v/>
      </c>
      <c r="G139" s="190" t="str">
        <f t="shared" ref="G139:G202" si="16">IFERROR(IF(B139&gt;(($D$6+$B$6)*12),"",IF(B139=1,D139,D139+G138)),"")</f>
        <v/>
      </c>
      <c r="H139" s="503" t="str">
        <f t="shared" ref="H139:H202" si="17">IFERROR(IF($H$4="","",H138-D139),"")</f>
        <v/>
      </c>
      <c r="I139" s="49"/>
    </row>
    <row r="140" spans="2:9" ht="20.100000000000001" customHeight="1" x14ac:dyDescent="0.3">
      <c r="B140" s="198">
        <v>132</v>
      </c>
      <c r="C140" s="501" t="str">
        <f t="shared" si="13"/>
        <v/>
      </c>
      <c r="D140" s="502" t="str">
        <f t="shared" si="14"/>
        <v/>
      </c>
      <c r="E140" s="190" t="str">
        <f t="shared" si="15"/>
        <v/>
      </c>
      <c r="F140" s="196" t="str">
        <f t="shared" si="12"/>
        <v/>
      </c>
      <c r="G140" s="190" t="str">
        <f t="shared" si="16"/>
        <v/>
      </c>
      <c r="H140" s="503" t="str">
        <f t="shared" si="17"/>
        <v/>
      </c>
      <c r="I140" s="49"/>
    </row>
    <row r="141" spans="2:9" ht="20.100000000000001" customHeight="1" x14ac:dyDescent="0.3">
      <c r="B141" s="198">
        <v>133</v>
      </c>
      <c r="C141" s="501" t="str">
        <f t="shared" si="13"/>
        <v/>
      </c>
      <c r="D141" s="502" t="str">
        <f t="shared" si="14"/>
        <v/>
      </c>
      <c r="E141" s="190" t="str">
        <f t="shared" si="15"/>
        <v/>
      </c>
      <c r="F141" s="196" t="str">
        <f t="shared" si="12"/>
        <v/>
      </c>
      <c r="G141" s="190" t="str">
        <f t="shared" si="16"/>
        <v/>
      </c>
      <c r="H141" s="503" t="str">
        <f t="shared" si="17"/>
        <v/>
      </c>
      <c r="I141" s="49"/>
    </row>
    <row r="142" spans="2:9" ht="20.100000000000001" customHeight="1" x14ac:dyDescent="0.3">
      <c r="B142" s="198">
        <v>134</v>
      </c>
      <c r="C142" s="501" t="str">
        <f t="shared" si="13"/>
        <v/>
      </c>
      <c r="D142" s="502" t="str">
        <f t="shared" si="14"/>
        <v/>
      </c>
      <c r="E142" s="190" t="str">
        <f t="shared" si="15"/>
        <v/>
      </c>
      <c r="F142" s="196" t="str">
        <f t="shared" si="12"/>
        <v/>
      </c>
      <c r="G142" s="190" t="str">
        <f t="shared" si="16"/>
        <v/>
      </c>
      <c r="H142" s="503" t="str">
        <f t="shared" si="17"/>
        <v/>
      </c>
      <c r="I142" s="49"/>
    </row>
    <row r="143" spans="2:9" ht="20.100000000000001" customHeight="1" x14ac:dyDescent="0.3">
      <c r="B143" s="198">
        <v>135</v>
      </c>
      <c r="C143" s="501" t="str">
        <f t="shared" si="13"/>
        <v/>
      </c>
      <c r="D143" s="502" t="str">
        <f t="shared" si="14"/>
        <v/>
      </c>
      <c r="E143" s="190" t="str">
        <f t="shared" si="15"/>
        <v/>
      </c>
      <c r="F143" s="196" t="str">
        <f t="shared" si="12"/>
        <v/>
      </c>
      <c r="G143" s="190" t="str">
        <f t="shared" si="16"/>
        <v/>
      </c>
      <c r="H143" s="503" t="str">
        <f t="shared" si="17"/>
        <v/>
      </c>
      <c r="I143" s="49"/>
    </row>
    <row r="144" spans="2:9" ht="20.100000000000001" customHeight="1" x14ac:dyDescent="0.3">
      <c r="B144" s="198">
        <v>136</v>
      </c>
      <c r="C144" s="501" t="str">
        <f t="shared" si="13"/>
        <v/>
      </c>
      <c r="D144" s="502" t="str">
        <f t="shared" si="14"/>
        <v/>
      </c>
      <c r="E144" s="190" t="str">
        <f t="shared" si="15"/>
        <v/>
      </c>
      <c r="F144" s="196" t="str">
        <f t="shared" si="12"/>
        <v/>
      </c>
      <c r="G144" s="190" t="str">
        <f t="shared" si="16"/>
        <v/>
      </c>
      <c r="H144" s="503" t="str">
        <f t="shared" si="17"/>
        <v/>
      </c>
      <c r="I144" s="49"/>
    </row>
    <row r="145" spans="2:9" ht="20.100000000000001" customHeight="1" x14ac:dyDescent="0.3">
      <c r="B145" s="198">
        <v>137</v>
      </c>
      <c r="C145" s="501" t="str">
        <f t="shared" si="13"/>
        <v/>
      </c>
      <c r="D145" s="502" t="str">
        <f t="shared" si="14"/>
        <v/>
      </c>
      <c r="E145" s="190" t="str">
        <f t="shared" si="15"/>
        <v/>
      </c>
      <c r="F145" s="196" t="str">
        <f t="shared" si="12"/>
        <v/>
      </c>
      <c r="G145" s="190" t="str">
        <f t="shared" si="16"/>
        <v/>
      </c>
      <c r="H145" s="503" t="str">
        <f t="shared" si="17"/>
        <v/>
      </c>
      <c r="I145" s="49"/>
    </row>
    <row r="146" spans="2:9" ht="20.100000000000001" customHeight="1" x14ac:dyDescent="0.3">
      <c r="B146" s="198">
        <v>138</v>
      </c>
      <c r="C146" s="501" t="str">
        <f t="shared" si="13"/>
        <v/>
      </c>
      <c r="D146" s="502" t="str">
        <f t="shared" si="14"/>
        <v/>
      </c>
      <c r="E146" s="190" t="str">
        <f t="shared" si="15"/>
        <v/>
      </c>
      <c r="F146" s="196" t="str">
        <f t="shared" si="12"/>
        <v/>
      </c>
      <c r="G146" s="190" t="str">
        <f t="shared" si="16"/>
        <v/>
      </c>
      <c r="H146" s="503" t="str">
        <f t="shared" si="17"/>
        <v/>
      </c>
      <c r="I146" s="49"/>
    </row>
    <row r="147" spans="2:9" ht="20.100000000000001" customHeight="1" x14ac:dyDescent="0.3">
      <c r="B147" s="198">
        <v>139</v>
      </c>
      <c r="C147" s="501" t="str">
        <f t="shared" si="13"/>
        <v/>
      </c>
      <c r="D147" s="502" t="str">
        <f t="shared" si="14"/>
        <v/>
      </c>
      <c r="E147" s="190" t="str">
        <f t="shared" si="15"/>
        <v/>
      </c>
      <c r="F147" s="196" t="str">
        <f t="shared" si="12"/>
        <v/>
      </c>
      <c r="G147" s="190" t="str">
        <f t="shared" si="16"/>
        <v/>
      </c>
      <c r="H147" s="503" t="str">
        <f t="shared" si="17"/>
        <v/>
      </c>
      <c r="I147" s="49"/>
    </row>
    <row r="148" spans="2:9" ht="20.100000000000001" customHeight="1" x14ac:dyDescent="0.3">
      <c r="B148" s="198">
        <v>140</v>
      </c>
      <c r="C148" s="501" t="str">
        <f t="shared" si="13"/>
        <v/>
      </c>
      <c r="D148" s="502" t="str">
        <f t="shared" si="14"/>
        <v/>
      </c>
      <c r="E148" s="190" t="str">
        <f t="shared" si="15"/>
        <v/>
      </c>
      <c r="F148" s="196" t="str">
        <f t="shared" si="12"/>
        <v/>
      </c>
      <c r="G148" s="190" t="str">
        <f t="shared" si="16"/>
        <v/>
      </c>
      <c r="H148" s="503" t="str">
        <f t="shared" si="17"/>
        <v/>
      </c>
      <c r="I148" s="49"/>
    </row>
    <row r="149" spans="2:9" ht="20.100000000000001" customHeight="1" x14ac:dyDescent="0.3">
      <c r="B149" s="198">
        <v>141</v>
      </c>
      <c r="C149" s="501" t="str">
        <f t="shared" si="13"/>
        <v/>
      </c>
      <c r="D149" s="502" t="str">
        <f t="shared" si="14"/>
        <v/>
      </c>
      <c r="E149" s="190" t="str">
        <f t="shared" si="15"/>
        <v/>
      </c>
      <c r="F149" s="196" t="str">
        <f t="shared" si="12"/>
        <v/>
      </c>
      <c r="G149" s="190" t="str">
        <f t="shared" si="16"/>
        <v/>
      </c>
      <c r="H149" s="503" t="str">
        <f t="shared" si="17"/>
        <v/>
      </c>
      <c r="I149" s="49"/>
    </row>
    <row r="150" spans="2:9" ht="20.100000000000001" customHeight="1" x14ac:dyDescent="0.3">
      <c r="B150" s="198">
        <v>142</v>
      </c>
      <c r="C150" s="501" t="str">
        <f t="shared" si="13"/>
        <v/>
      </c>
      <c r="D150" s="502" t="str">
        <f t="shared" si="14"/>
        <v/>
      </c>
      <c r="E150" s="190" t="str">
        <f t="shared" si="15"/>
        <v/>
      </c>
      <c r="F150" s="196" t="str">
        <f t="shared" si="12"/>
        <v/>
      </c>
      <c r="G150" s="190" t="str">
        <f t="shared" si="16"/>
        <v/>
      </c>
      <c r="H150" s="503" t="str">
        <f t="shared" si="17"/>
        <v/>
      </c>
      <c r="I150" s="49"/>
    </row>
    <row r="151" spans="2:9" ht="20.100000000000001" customHeight="1" x14ac:dyDescent="0.3">
      <c r="B151" s="198">
        <v>143</v>
      </c>
      <c r="C151" s="501" t="str">
        <f t="shared" si="13"/>
        <v/>
      </c>
      <c r="D151" s="502" t="str">
        <f t="shared" si="14"/>
        <v/>
      </c>
      <c r="E151" s="190" t="str">
        <f t="shared" si="15"/>
        <v/>
      </c>
      <c r="F151" s="196" t="str">
        <f t="shared" si="12"/>
        <v/>
      </c>
      <c r="G151" s="190" t="str">
        <f t="shared" si="16"/>
        <v/>
      </c>
      <c r="H151" s="503" t="str">
        <f t="shared" si="17"/>
        <v/>
      </c>
      <c r="I151" s="49"/>
    </row>
    <row r="152" spans="2:9" ht="20.100000000000001" customHeight="1" x14ac:dyDescent="0.3">
      <c r="B152" s="198">
        <v>144</v>
      </c>
      <c r="C152" s="501" t="str">
        <f t="shared" si="13"/>
        <v/>
      </c>
      <c r="D152" s="502" t="str">
        <f t="shared" si="14"/>
        <v/>
      </c>
      <c r="E152" s="190" t="str">
        <f t="shared" si="15"/>
        <v/>
      </c>
      <c r="F152" s="196" t="str">
        <f t="shared" si="12"/>
        <v/>
      </c>
      <c r="G152" s="190" t="str">
        <f t="shared" si="16"/>
        <v/>
      </c>
      <c r="H152" s="503" t="str">
        <f t="shared" si="17"/>
        <v/>
      </c>
      <c r="I152" s="49"/>
    </row>
    <row r="153" spans="2:9" ht="20.100000000000001" customHeight="1" x14ac:dyDescent="0.3">
      <c r="B153" s="198">
        <v>145</v>
      </c>
      <c r="C153" s="501" t="str">
        <f t="shared" si="13"/>
        <v/>
      </c>
      <c r="D153" s="502" t="str">
        <f t="shared" si="14"/>
        <v/>
      </c>
      <c r="E153" s="190" t="str">
        <f t="shared" si="15"/>
        <v/>
      </c>
      <c r="F153" s="196" t="str">
        <f t="shared" si="12"/>
        <v/>
      </c>
      <c r="G153" s="190" t="str">
        <f t="shared" si="16"/>
        <v/>
      </c>
      <c r="H153" s="503" t="str">
        <f t="shared" si="17"/>
        <v/>
      </c>
      <c r="I153" s="49"/>
    </row>
    <row r="154" spans="2:9" ht="20.100000000000001" customHeight="1" x14ac:dyDescent="0.3">
      <c r="B154" s="198">
        <v>146</v>
      </c>
      <c r="C154" s="501" t="str">
        <f t="shared" si="13"/>
        <v/>
      </c>
      <c r="D154" s="502" t="str">
        <f t="shared" si="14"/>
        <v/>
      </c>
      <c r="E154" s="190" t="str">
        <f t="shared" si="15"/>
        <v/>
      </c>
      <c r="F154" s="196" t="str">
        <f t="shared" si="12"/>
        <v/>
      </c>
      <c r="G154" s="190" t="str">
        <f t="shared" si="16"/>
        <v/>
      </c>
      <c r="H154" s="503" t="str">
        <f t="shared" si="17"/>
        <v/>
      </c>
      <c r="I154" s="49"/>
    </row>
    <row r="155" spans="2:9" ht="20.100000000000001" customHeight="1" x14ac:dyDescent="0.3">
      <c r="B155" s="198">
        <v>147</v>
      </c>
      <c r="C155" s="501" t="str">
        <f t="shared" si="13"/>
        <v/>
      </c>
      <c r="D155" s="502" t="str">
        <f t="shared" si="14"/>
        <v/>
      </c>
      <c r="E155" s="190" t="str">
        <f t="shared" si="15"/>
        <v/>
      </c>
      <c r="F155" s="196" t="str">
        <f t="shared" si="12"/>
        <v/>
      </c>
      <c r="G155" s="190" t="str">
        <f t="shared" si="16"/>
        <v/>
      </c>
      <c r="H155" s="503" t="str">
        <f t="shared" si="17"/>
        <v/>
      </c>
      <c r="I155" s="49"/>
    </row>
    <row r="156" spans="2:9" ht="20.100000000000001" customHeight="1" x14ac:dyDescent="0.3">
      <c r="B156" s="198">
        <v>148</v>
      </c>
      <c r="C156" s="501" t="str">
        <f t="shared" si="13"/>
        <v/>
      </c>
      <c r="D156" s="502" t="str">
        <f t="shared" si="14"/>
        <v/>
      </c>
      <c r="E156" s="190" t="str">
        <f t="shared" si="15"/>
        <v/>
      </c>
      <c r="F156" s="196" t="str">
        <f t="shared" si="12"/>
        <v/>
      </c>
      <c r="G156" s="190" t="str">
        <f t="shared" si="16"/>
        <v/>
      </c>
      <c r="H156" s="503" t="str">
        <f t="shared" si="17"/>
        <v/>
      </c>
      <c r="I156" s="49"/>
    </row>
    <row r="157" spans="2:9" ht="20.100000000000001" customHeight="1" x14ac:dyDescent="0.3">
      <c r="B157" s="198">
        <v>149</v>
      </c>
      <c r="C157" s="501" t="str">
        <f t="shared" si="13"/>
        <v/>
      </c>
      <c r="D157" s="502" t="str">
        <f t="shared" si="14"/>
        <v/>
      </c>
      <c r="E157" s="190" t="str">
        <f t="shared" si="15"/>
        <v/>
      </c>
      <c r="F157" s="196" t="str">
        <f t="shared" si="12"/>
        <v/>
      </c>
      <c r="G157" s="190" t="str">
        <f t="shared" si="16"/>
        <v/>
      </c>
      <c r="H157" s="503" t="str">
        <f t="shared" si="17"/>
        <v/>
      </c>
      <c r="I157" s="49"/>
    </row>
    <row r="158" spans="2:9" ht="20.100000000000001" customHeight="1" x14ac:dyDescent="0.3">
      <c r="B158" s="198">
        <v>150</v>
      </c>
      <c r="C158" s="501" t="str">
        <f t="shared" si="13"/>
        <v/>
      </c>
      <c r="D158" s="502" t="str">
        <f t="shared" si="14"/>
        <v/>
      </c>
      <c r="E158" s="190" t="str">
        <f t="shared" si="15"/>
        <v/>
      </c>
      <c r="F158" s="196" t="str">
        <f t="shared" si="12"/>
        <v/>
      </c>
      <c r="G158" s="190" t="str">
        <f t="shared" si="16"/>
        <v/>
      </c>
      <c r="H158" s="503" t="str">
        <f t="shared" si="17"/>
        <v/>
      </c>
      <c r="I158" s="49"/>
    </row>
    <row r="159" spans="2:9" ht="20.100000000000001" customHeight="1" x14ac:dyDescent="0.3">
      <c r="B159" s="198">
        <v>151</v>
      </c>
      <c r="C159" s="501" t="str">
        <f t="shared" si="13"/>
        <v/>
      </c>
      <c r="D159" s="502" t="str">
        <f t="shared" si="14"/>
        <v/>
      </c>
      <c r="E159" s="190" t="str">
        <f t="shared" si="15"/>
        <v/>
      </c>
      <c r="F159" s="196" t="str">
        <f t="shared" si="12"/>
        <v/>
      </c>
      <c r="G159" s="190" t="str">
        <f t="shared" si="16"/>
        <v/>
      </c>
      <c r="H159" s="503" t="str">
        <f t="shared" si="17"/>
        <v/>
      </c>
      <c r="I159" s="49"/>
    </row>
    <row r="160" spans="2:9" ht="20.100000000000001" customHeight="1" x14ac:dyDescent="0.3">
      <c r="B160" s="198">
        <v>152</v>
      </c>
      <c r="C160" s="501" t="str">
        <f t="shared" si="13"/>
        <v/>
      </c>
      <c r="D160" s="502" t="str">
        <f t="shared" si="14"/>
        <v/>
      </c>
      <c r="E160" s="190" t="str">
        <f t="shared" si="15"/>
        <v/>
      </c>
      <c r="F160" s="196" t="str">
        <f t="shared" si="12"/>
        <v/>
      </c>
      <c r="G160" s="190" t="str">
        <f t="shared" si="16"/>
        <v/>
      </c>
      <c r="H160" s="503" t="str">
        <f t="shared" si="17"/>
        <v/>
      </c>
      <c r="I160" s="49"/>
    </row>
    <row r="161" spans="2:9" ht="20.100000000000001" customHeight="1" x14ac:dyDescent="0.3">
      <c r="B161" s="198">
        <v>153</v>
      </c>
      <c r="C161" s="501" t="str">
        <f t="shared" si="13"/>
        <v/>
      </c>
      <c r="D161" s="502" t="str">
        <f t="shared" si="14"/>
        <v/>
      </c>
      <c r="E161" s="190" t="str">
        <f t="shared" si="15"/>
        <v/>
      </c>
      <c r="F161" s="196" t="str">
        <f t="shared" si="12"/>
        <v/>
      </c>
      <c r="G161" s="190" t="str">
        <f t="shared" si="16"/>
        <v/>
      </c>
      <c r="H161" s="503" t="str">
        <f t="shared" si="17"/>
        <v/>
      </c>
      <c r="I161" s="49"/>
    </row>
    <row r="162" spans="2:9" ht="20.100000000000001" customHeight="1" x14ac:dyDescent="0.3">
      <c r="B162" s="198">
        <v>154</v>
      </c>
      <c r="C162" s="501" t="str">
        <f t="shared" si="13"/>
        <v/>
      </c>
      <c r="D162" s="502" t="str">
        <f t="shared" si="14"/>
        <v/>
      </c>
      <c r="E162" s="190" t="str">
        <f t="shared" si="15"/>
        <v/>
      </c>
      <c r="F162" s="196" t="str">
        <f t="shared" si="12"/>
        <v/>
      </c>
      <c r="G162" s="190" t="str">
        <f t="shared" si="16"/>
        <v/>
      </c>
      <c r="H162" s="503" t="str">
        <f t="shared" si="17"/>
        <v/>
      </c>
      <c r="I162" s="49"/>
    </row>
    <row r="163" spans="2:9" ht="20.100000000000001" customHeight="1" x14ac:dyDescent="0.3">
      <c r="B163" s="198">
        <v>155</v>
      </c>
      <c r="C163" s="501" t="str">
        <f t="shared" si="13"/>
        <v/>
      </c>
      <c r="D163" s="502" t="str">
        <f t="shared" si="14"/>
        <v/>
      </c>
      <c r="E163" s="190" t="str">
        <f t="shared" si="15"/>
        <v/>
      </c>
      <c r="F163" s="196" t="str">
        <f t="shared" si="12"/>
        <v/>
      </c>
      <c r="G163" s="190" t="str">
        <f t="shared" si="16"/>
        <v/>
      </c>
      <c r="H163" s="503" t="str">
        <f t="shared" si="17"/>
        <v/>
      </c>
      <c r="I163" s="49"/>
    </row>
    <row r="164" spans="2:9" ht="20.100000000000001" customHeight="1" x14ac:dyDescent="0.3">
      <c r="B164" s="198">
        <v>156</v>
      </c>
      <c r="C164" s="501" t="str">
        <f t="shared" si="13"/>
        <v/>
      </c>
      <c r="D164" s="502" t="str">
        <f t="shared" si="14"/>
        <v/>
      </c>
      <c r="E164" s="190" t="str">
        <f t="shared" si="15"/>
        <v/>
      </c>
      <c r="F164" s="196" t="str">
        <f t="shared" si="12"/>
        <v/>
      </c>
      <c r="G164" s="190" t="str">
        <f t="shared" si="16"/>
        <v/>
      </c>
      <c r="H164" s="503" t="str">
        <f t="shared" si="17"/>
        <v/>
      </c>
      <c r="I164" s="49"/>
    </row>
    <row r="165" spans="2:9" ht="20.100000000000001" customHeight="1" x14ac:dyDescent="0.3">
      <c r="B165" s="198">
        <v>157</v>
      </c>
      <c r="C165" s="501" t="str">
        <f t="shared" si="13"/>
        <v/>
      </c>
      <c r="D165" s="502" t="str">
        <f t="shared" si="14"/>
        <v/>
      </c>
      <c r="E165" s="190" t="str">
        <f t="shared" si="15"/>
        <v/>
      </c>
      <c r="F165" s="196" t="str">
        <f t="shared" si="12"/>
        <v/>
      </c>
      <c r="G165" s="190" t="str">
        <f t="shared" si="16"/>
        <v/>
      </c>
      <c r="H165" s="503" t="str">
        <f t="shared" si="17"/>
        <v/>
      </c>
      <c r="I165" s="49"/>
    </row>
    <row r="166" spans="2:9" ht="20.100000000000001" customHeight="1" x14ac:dyDescent="0.3">
      <c r="B166" s="198">
        <v>158</v>
      </c>
      <c r="C166" s="501" t="str">
        <f t="shared" si="13"/>
        <v/>
      </c>
      <c r="D166" s="502" t="str">
        <f t="shared" si="14"/>
        <v/>
      </c>
      <c r="E166" s="190" t="str">
        <f t="shared" si="15"/>
        <v/>
      </c>
      <c r="F166" s="196" t="str">
        <f t="shared" si="12"/>
        <v/>
      </c>
      <c r="G166" s="190" t="str">
        <f t="shared" si="16"/>
        <v/>
      </c>
      <c r="H166" s="503" t="str">
        <f t="shared" si="17"/>
        <v/>
      </c>
      <c r="I166" s="49"/>
    </row>
    <row r="167" spans="2:9" ht="20.100000000000001" customHeight="1" x14ac:dyDescent="0.3">
      <c r="B167" s="198">
        <v>159</v>
      </c>
      <c r="C167" s="501" t="str">
        <f t="shared" si="13"/>
        <v/>
      </c>
      <c r="D167" s="502" t="str">
        <f t="shared" si="14"/>
        <v/>
      </c>
      <c r="E167" s="190" t="str">
        <f t="shared" si="15"/>
        <v/>
      </c>
      <c r="F167" s="196" t="str">
        <f t="shared" si="12"/>
        <v/>
      </c>
      <c r="G167" s="190" t="str">
        <f t="shared" si="16"/>
        <v/>
      </c>
      <c r="H167" s="503" t="str">
        <f t="shared" si="17"/>
        <v/>
      </c>
      <c r="I167" s="49"/>
    </row>
    <row r="168" spans="2:9" ht="20.100000000000001" customHeight="1" x14ac:dyDescent="0.3">
      <c r="B168" s="198">
        <v>160</v>
      </c>
      <c r="C168" s="501" t="str">
        <f t="shared" si="13"/>
        <v/>
      </c>
      <c r="D168" s="502" t="str">
        <f t="shared" si="14"/>
        <v/>
      </c>
      <c r="E168" s="190" t="str">
        <f t="shared" si="15"/>
        <v/>
      </c>
      <c r="F168" s="196" t="str">
        <f t="shared" si="12"/>
        <v/>
      </c>
      <c r="G168" s="190" t="str">
        <f t="shared" si="16"/>
        <v/>
      </c>
      <c r="H168" s="503" t="str">
        <f t="shared" si="17"/>
        <v/>
      </c>
      <c r="I168" s="49"/>
    </row>
    <row r="169" spans="2:9" ht="20.100000000000001" customHeight="1" x14ac:dyDescent="0.3">
      <c r="B169" s="198">
        <v>161</v>
      </c>
      <c r="C169" s="501" t="str">
        <f t="shared" si="13"/>
        <v/>
      </c>
      <c r="D169" s="502" t="str">
        <f t="shared" si="14"/>
        <v/>
      </c>
      <c r="E169" s="190" t="str">
        <f t="shared" si="15"/>
        <v/>
      </c>
      <c r="F169" s="196" t="str">
        <f t="shared" si="12"/>
        <v/>
      </c>
      <c r="G169" s="190" t="str">
        <f t="shared" si="16"/>
        <v/>
      </c>
      <c r="H169" s="503" t="str">
        <f t="shared" si="17"/>
        <v/>
      </c>
      <c r="I169" s="49"/>
    </row>
    <row r="170" spans="2:9" ht="20.100000000000001" customHeight="1" x14ac:dyDescent="0.3">
      <c r="B170" s="198">
        <v>162</v>
      </c>
      <c r="C170" s="501" t="str">
        <f t="shared" si="13"/>
        <v/>
      </c>
      <c r="D170" s="502" t="str">
        <f t="shared" si="14"/>
        <v/>
      </c>
      <c r="E170" s="190" t="str">
        <f t="shared" si="15"/>
        <v/>
      </c>
      <c r="F170" s="196" t="str">
        <f t="shared" si="12"/>
        <v/>
      </c>
      <c r="G170" s="190" t="str">
        <f t="shared" si="16"/>
        <v/>
      </c>
      <c r="H170" s="503" t="str">
        <f t="shared" si="17"/>
        <v/>
      </c>
      <c r="I170" s="49"/>
    </row>
    <row r="171" spans="2:9" ht="20.100000000000001" customHeight="1" x14ac:dyDescent="0.3">
      <c r="B171" s="198">
        <v>163</v>
      </c>
      <c r="C171" s="501" t="str">
        <f t="shared" si="13"/>
        <v/>
      </c>
      <c r="D171" s="502" t="str">
        <f t="shared" si="14"/>
        <v/>
      </c>
      <c r="E171" s="190" t="str">
        <f t="shared" si="15"/>
        <v/>
      </c>
      <c r="F171" s="196" t="str">
        <f t="shared" si="12"/>
        <v/>
      </c>
      <c r="G171" s="190" t="str">
        <f t="shared" si="16"/>
        <v/>
      </c>
      <c r="H171" s="503" t="str">
        <f t="shared" si="17"/>
        <v/>
      </c>
      <c r="I171" s="49"/>
    </row>
    <row r="172" spans="2:9" ht="20.100000000000001" customHeight="1" x14ac:dyDescent="0.3">
      <c r="B172" s="198">
        <v>164</v>
      </c>
      <c r="C172" s="501" t="str">
        <f t="shared" si="13"/>
        <v/>
      </c>
      <c r="D172" s="502" t="str">
        <f t="shared" si="14"/>
        <v/>
      </c>
      <c r="E172" s="190" t="str">
        <f t="shared" si="15"/>
        <v/>
      </c>
      <c r="F172" s="196" t="str">
        <f t="shared" si="12"/>
        <v/>
      </c>
      <c r="G172" s="190" t="str">
        <f t="shared" si="16"/>
        <v/>
      </c>
      <c r="H172" s="503" t="str">
        <f t="shared" si="17"/>
        <v/>
      </c>
      <c r="I172" s="49"/>
    </row>
    <row r="173" spans="2:9" ht="20.100000000000001" customHeight="1" x14ac:dyDescent="0.3">
      <c r="B173" s="198">
        <v>165</v>
      </c>
      <c r="C173" s="501" t="str">
        <f t="shared" si="13"/>
        <v/>
      </c>
      <c r="D173" s="502" t="str">
        <f t="shared" si="14"/>
        <v/>
      </c>
      <c r="E173" s="190" t="str">
        <f t="shared" si="15"/>
        <v/>
      </c>
      <c r="F173" s="196" t="str">
        <f t="shared" si="12"/>
        <v/>
      </c>
      <c r="G173" s="190" t="str">
        <f t="shared" si="16"/>
        <v/>
      </c>
      <c r="H173" s="503" t="str">
        <f t="shared" si="17"/>
        <v/>
      </c>
      <c r="I173" s="49"/>
    </row>
    <row r="174" spans="2:9" ht="20.100000000000001" customHeight="1" x14ac:dyDescent="0.3">
      <c r="B174" s="198">
        <v>166</v>
      </c>
      <c r="C174" s="501" t="str">
        <f t="shared" si="13"/>
        <v/>
      </c>
      <c r="D174" s="502" t="str">
        <f t="shared" si="14"/>
        <v/>
      </c>
      <c r="E174" s="190" t="str">
        <f t="shared" si="15"/>
        <v/>
      </c>
      <c r="F174" s="196" t="str">
        <f t="shared" si="12"/>
        <v/>
      </c>
      <c r="G174" s="190" t="str">
        <f t="shared" si="16"/>
        <v/>
      </c>
      <c r="H174" s="503" t="str">
        <f t="shared" si="17"/>
        <v/>
      </c>
      <c r="I174" s="49"/>
    </row>
    <row r="175" spans="2:9" ht="20.100000000000001" customHeight="1" x14ac:dyDescent="0.3">
      <c r="B175" s="198">
        <v>167</v>
      </c>
      <c r="C175" s="501" t="str">
        <f t="shared" si="13"/>
        <v/>
      </c>
      <c r="D175" s="502" t="str">
        <f t="shared" si="14"/>
        <v/>
      </c>
      <c r="E175" s="190" t="str">
        <f t="shared" si="15"/>
        <v/>
      </c>
      <c r="F175" s="196" t="str">
        <f t="shared" si="12"/>
        <v/>
      </c>
      <c r="G175" s="190" t="str">
        <f t="shared" si="16"/>
        <v/>
      </c>
      <c r="H175" s="503" t="str">
        <f t="shared" si="17"/>
        <v/>
      </c>
      <c r="I175" s="49"/>
    </row>
    <row r="176" spans="2:9" ht="20.100000000000001" customHeight="1" x14ac:dyDescent="0.3">
      <c r="B176" s="198">
        <v>168</v>
      </c>
      <c r="C176" s="501" t="str">
        <f t="shared" si="13"/>
        <v/>
      </c>
      <c r="D176" s="502" t="str">
        <f t="shared" si="14"/>
        <v/>
      </c>
      <c r="E176" s="190" t="str">
        <f t="shared" si="15"/>
        <v/>
      </c>
      <c r="F176" s="196" t="str">
        <f t="shared" si="12"/>
        <v/>
      </c>
      <c r="G176" s="190" t="str">
        <f t="shared" si="16"/>
        <v/>
      </c>
      <c r="H176" s="503" t="str">
        <f t="shared" si="17"/>
        <v/>
      </c>
      <c r="I176" s="49"/>
    </row>
    <row r="177" spans="2:9" ht="20.100000000000001" customHeight="1" x14ac:dyDescent="0.3">
      <c r="B177" s="198">
        <v>169</v>
      </c>
      <c r="C177" s="501" t="str">
        <f t="shared" si="13"/>
        <v/>
      </c>
      <c r="D177" s="502" t="str">
        <f t="shared" si="14"/>
        <v/>
      </c>
      <c r="E177" s="190" t="str">
        <f t="shared" si="15"/>
        <v/>
      </c>
      <c r="F177" s="196" t="str">
        <f t="shared" si="12"/>
        <v/>
      </c>
      <c r="G177" s="190" t="str">
        <f t="shared" si="16"/>
        <v/>
      </c>
      <c r="H177" s="503" t="str">
        <f t="shared" si="17"/>
        <v/>
      </c>
      <c r="I177" s="49"/>
    </row>
    <row r="178" spans="2:9" ht="20.100000000000001" customHeight="1" x14ac:dyDescent="0.3">
      <c r="B178" s="198">
        <v>170</v>
      </c>
      <c r="C178" s="501" t="str">
        <f t="shared" si="13"/>
        <v/>
      </c>
      <c r="D178" s="502" t="str">
        <f t="shared" si="14"/>
        <v/>
      </c>
      <c r="E178" s="190" t="str">
        <f t="shared" si="15"/>
        <v/>
      </c>
      <c r="F178" s="196" t="str">
        <f t="shared" si="12"/>
        <v/>
      </c>
      <c r="G178" s="190" t="str">
        <f t="shared" si="16"/>
        <v/>
      </c>
      <c r="H178" s="503" t="str">
        <f t="shared" si="17"/>
        <v/>
      </c>
      <c r="I178" s="49"/>
    </row>
    <row r="179" spans="2:9" ht="20.100000000000001" customHeight="1" x14ac:dyDescent="0.3">
      <c r="B179" s="198">
        <v>171</v>
      </c>
      <c r="C179" s="501" t="str">
        <f t="shared" si="13"/>
        <v/>
      </c>
      <c r="D179" s="502" t="str">
        <f t="shared" si="14"/>
        <v/>
      </c>
      <c r="E179" s="190" t="str">
        <f t="shared" si="15"/>
        <v/>
      </c>
      <c r="F179" s="196" t="str">
        <f t="shared" si="12"/>
        <v/>
      </c>
      <c r="G179" s="190" t="str">
        <f t="shared" si="16"/>
        <v/>
      </c>
      <c r="H179" s="503" t="str">
        <f t="shared" si="17"/>
        <v/>
      </c>
      <c r="I179" s="49"/>
    </row>
    <row r="180" spans="2:9" ht="20.100000000000001" customHeight="1" x14ac:dyDescent="0.3">
      <c r="B180" s="198">
        <v>172</v>
      </c>
      <c r="C180" s="501" t="str">
        <f t="shared" si="13"/>
        <v/>
      </c>
      <c r="D180" s="502" t="str">
        <f t="shared" si="14"/>
        <v/>
      </c>
      <c r="E180" s="190" t="str">
        <f t="shared" si="15"/>
        <v/>
      </c>
      <c r="F180" s="196" t="str">
        <f t="shared" si="12"/>
        <v/>
      </c>
      <c r="G180" s="190" t="str">
        <f t="shared" si="16"/>
        <v/>
      </c>
      <c r="H180" s="503" t="str">
        <f t="shared" si="17"/>
        <v/>
      </c>
      <c r="I180" s="49"/>
    </row>
    <row r="181" spans="2:9" ht="20.100000000000001" customHeight="1" x14ac:dyDescent="0.3">
      <c r="B181" s="198">
        <v>173</v>
      </c>
      <c r="C181" s="501" t="str">
        <f t="shared" si="13"/>
        <v/>
      </c>
      <c r="D181" s="502" t="str">
        <f t="shared" si="14"/>
        <v/>
      </c>
      <c r="E181" s="190" t="str">
        <f t="shared" si="15"/>
        <v/>
      </c>
      <c r="F181" s="196" t="str">
        <f t="shared" si="12"/>
        <v/>
      </c>
      <c r="G181" s="190" t="str">
        <f t="shared" si="16"/>
        <v/>
      </c>
      <c r="H181" s="503" t="str">
        <f t="shared" si="17"/>
        <v/>
      </c>
      <c r="I181" s="49"/>
    </row>
    <row r="182" spans="2:9" ht="20.100000000000001" customHeight="1" x14ac:dyDescent="0.3">
      <c r="B182" s="198">
        <v>174</v>
      </c>
      <c r="C182" s="501" t="str">
        <f t="shared" si="13"/>
        <v/>
      </c>
      <c r="D182" s="502" t="str">
        <f t="shared" si="14"/>
        <v/>
      </c>
      <c r="E182" s="190" t="str">
        <f t="shared" si="15"/>
        <v/>
      </c>
      <c r="F182" s="196" t="str">
        <f t="shared" si="12"/>
        <v/>
      </c>
      <c r="G182" s="190" t="str">
        <f t="shared" si="16"/>
        <v/>
      </c>
      <c r="H182" s="503" t="str">
        <f t="shared" si="17"/>
        <v/>
      </c>
      <c r="I182" s="49"/>
    </row>
    <row r="183" spans="2:9" ht="20.100000000000001" customHeight="1" x14ac:dyDescent="0.3">
      <c r="B183" s="198">
        <v>175</v>
      </c>
      <c r="C183" s="501" t="str">
        <f t="shared" si="13"/>
        <v/>
      </c>
      <c r="D183" s="502" t="str">
        <f t="shared" si="14"/>
        <v/>
      </c>
      <c r="E183" s="190" t="str">
        <f t="shared" si="15"/>
        <v/>
      </c>
      <c r="F183" s="196" t="str">
        <f t="shared" si="12"/>
        <v/>
      </c>
      <c r="G183" s="190" t="str">
        <f t="shared" si="16"/>
        <v/>
      </c>
      <c r="H183" s="503" t="str">
        <f t="shared" si="17"/>
        <v/>
      </c>
      <c r="I183" s="49"/>
    </row>
    <row r="184" spans="2:9" ht="20.100000000000001" customHeight="1" x14ac:dyDescent="0.3">
      <c r="B184" s="198">
        <v>176</v>
      </c>
      <c r="C184" s="501" t="str">
        <f t="shared" si="13"/>
        <v/>
      </c>
      <c r="D184" s="502" t="str">
        <f t="shared" si="14"/>
        <v/>
      </c>
      <c r="E184" s="190" t="str">
        <f t="shared" si="15"/>
        <v/>
      </c>
      <c r="F184" s="196" t="str">
        <f t="shared" si="12"/>
        <v/>
      </c>
      <c r="G184" s="190" t="str">
        <f t="shared" si="16"/>
        <v/>
      </c>
      <c r="H184" s="503" t="str">
        <f t="shared" si="17"/>
        <v/>
      </c>
      <c r="I184" s="49"/>
    </row>
    <row r="185" spans="2:9" ht="20.100000000000001" customHeight="1" x14ac:dyDescent="0.3">
      <c r="B185" s="198">
        <v>177</v>
      </c>
      <c r="C185" s="501" t="str">
        <f t="shared" si="13"/>
        <v/>
      </c>
      <c r="D185" s="502" t="str">
        <f t="shared" si="14"/>
        <v/>
      </c>
      <c r="E185" s="190" t="str">
        <f t="shared" si="15"/>
        <v/>
      </c>
      <c r="F185" s="196" t="str">
        <f t="shared" si="12"/>
        <v/>
      </c>
      <c r="G185" s="190" t="str">
        <f t="shared" si="16"/>
        <v/>
      </c>
      <c r="H185" s="503" t="str">
        <f t="shared" si="17"/>
        <v/>
      </c>
      <c r="I185" s="49"/>
    </row>
    <row r="186" spans="2:9" ht="20.100000000000001" customHeight="1" x14ac:dyDescent="0.3">
      <c r="B186" s="198">
        <v>178</v>
      </c>
      <c r="C186" s="501" t="str">
        <f t="shared" si="13"/>
        <v/>
      </c>
      <c r="D186" s="502" t="str">
        <f t="shared" si="14"/>
        <v/>
      </c>
      <c r="E186" s="190" t="str">
        <f t="shared" si="15"/>
        <v/>
      </c>
      <c r="F186" s="196" t="str">
        <f t="shared" si="12"/>
        <v/>
      </c>
      <c r="G186" s="190" t="str">
        <f t="shared" si="16"/>
        <v/>
      </c>
      <c r="H186" s="503" t="str">
        <f t="shared" si="17"/>
        <v/>
      </c>
      <c r="I186" s="49"/>
    </row>
    <row r="187" spans="2:9" ht="20.100000000000001" customHeight="1" x14ac:dyDescent="0.3">
      <c r="B187" s="198">
        <v>179</v>
      </c>
      <c r="C187" s="501" t="str">
        <f t="shared" si="13"/>
        <v/>
      </c>
      <c r="D187" s="502" t="str">
        <f t="shared" si="14"/>
        <v/>
      </c>
      <c r="E187" s="190" t="str">
        <f t="shared" si="15"/>
        <v/>
      </c>
      <c r="F187" s="196" t="str">
        <f t="shared" si="12"/>
        <v/>
      </c>
      <c r="G187" s="190" t="str">
        <f t="shared" si="16"/>
        <v/>
      </c>
      <c r="H187" s="503" t="str">
        <f t="shared" si="17"/>
        <v/>
      </c>
      <c r="I187" s="49"/>
    </row>
    <row r="188" spans="2:9" ht="20.100000000000001" customHeight="1" x14ac:dyDescent="0.3">
      <c r="B188" s="198">
        <v>180</v>
      </c>
      <c r="C188" s="501" t="str">
        <f t="shared" si="13"/>
        <v/>
      </c>
      <c r="D188" s="502" t="str">
        <f t="shared" si="14"/>
        <v/>
      </c>
      <c r="E188" s="190" t="str">
        <f t="shared" si="15"/>
        <v/>
      </c>
      <c r="F188" s="196" t="str">
        <f t="shared" si="12"/>
        <v/>
      </c>
      <c r="G188" s="190" t="str">
        <f t="shared" si="16"/>
        <v/>
      </c>
      <c r="H188" s="503" t="str">
        <f t="shared" si="17"/>
        <v/>
      </c>
      <c r="I188" s="49"/>
    </row>
    <row r="189" spans="2:9" ht="20.100000000000001" customHeight="1" x14ac:dyDescent="0.3">
      <c r="B189" s="198">
        <v>181</v>
      </c>
      <c r="C189" s="501" t="str">
        <f t="shared" si="13"/>
        <v/>
      </c>
      <c r="D189" s="502" t="str">
        <f t="shared" si="14"/>
        <v/>
      </c>
      <c r="E189" s="190" t="str">
        <f t="shared" si="15"/>
        <v/>
      </c>
      <c r="F189" s="196" t="str">
        <f t="shared" si="12"/>
        <v/>
      </c>
      <c r="G189" s="190" t="str">
        <f t="shared" si="16"/>
        <v/>
      </c>
      <c r="H189" s="503" t="str">
        <f t="shared" si="17"/>
        <v/>
      </c>
      <c r="I189" s="49"/>
    </row>
    <row r="190" spans="2:9" ht="20.100000000000001" customHeight="1" x14ac:dyDescent="0.3">
      <c r="B190" s="198">
        <v>182</v>
      </c>
      <c r="C190" s="501" t="str">
        <f t="shared" si="13"/>
        <v/>
      </c>
      <c r="D190" s="502" t="str">
        <f t="shared" si="14"/>
        <v/>
      </c>
      <c r="E190" s="190" t="str">
        <f t="shared" si="15"/>
        <v/>
      </c>
      <c r="F190" s="196" t="str">
        <f t="shared" si="12"/>
        <v/>
      </c>
      <c r="G190" s="190" t="str">
        <f t="shared" si="16"/>
        <v/>
      </c>
      <c r="H190" s="503" t="str">
        <f t="shared" si="17"/>
        <v/>
      </c>
      <c r="I190" s="49"/>
    </row>
    <row r="191" spans="2:9" ht="20.100000000000001" customHeight="1" x14ac:dyDescent="0.3">
      <c r="B191" s="198">
        <v>183</v>
      </c>
      <c r="C191" s="501" t="str">
        <f t="shared" si="13"/>
        <v/>
      </c>
      <c r="D191" s="502" t="str">
        <f t="shared" si="14"/>
        <v/>
      </c>
      <c r="E191" s="190" t="str">
        <f t="shared" si="15"/>
        <v/>
      </c>
      <c r="F191" s="196" t="str">
        <f t="shared" si="12"/>
        <v/>
      </c>
      <c r="G191" s="190" t="str">
        <f t="shared" si="16"/>
        <v/>
      </c>
      <c r="H191" s="503" t="str">
        <f t="shared" si="17"/>
        <v/>
      </c>
      <c r="I191" s="49"/>
    </row>
    <row r="192" spans="2:9" ht="20.100000000000001" customHeight="1" x14ac:dyDescent="0.3">
      <c r="B192" s="198">
        <v>184</v>
      </c>
      <c r="C192" s="501" t="str">
        <f t="shared" si="13"/>
        <v/>
      </c>
      <c r="D192" s="502" t="str">
        <f t="shared" si="14"/>
        <v/>
      </c>
      <c r="E192" s="190" t="str">
        <f t="shared" si="15"/>
        <v/>
      </c>
      <c r="F192" s="196" t="str">
        <f t="shared" si="12"/>
        <v/>
      </c>
      <c r="G192" s="190" t="str">
        <f t="shared" si="16"/>
        <v/>
      </c>
      <c r="H192" s="503" t="str">
        <f t="shared" si="17"/>
        <v/>
      </c>
      <c r="I192" s="49"/>
    </row>
    <row r="193" spans="2:9" ht="20.100000000000001" customHeight="1" x14ac:dyDescent="0.3">
      <c r="B193" s="198">
        <v>185</v>
      </c>
      <c r="C193" s="501" t="str">
        <f t="shared" si="13"/>
        <v/>
      </c>
      <c r="D193" s="502" t="str">
        <f t="shared" si="14"/>
        <v/>
      </c>
      <c r="E193" s="190" t="str">
        <f t="shared" si="15"/>
        <v/>
      </c>
      <c r="F193" s="196" t="str">
        <f t="shared" si="12"/>
        <v/>
      </c>
      <c r="G193" s="190" t="str">
        <f t="shared" si="16"/>
        <v/>
      </c>
      <c r="H193" s="503" t="str">
        <f t="shared" si="17"/>
        <v/>
      </c>
      <c r="I193" s="49"/>
    </row>
    <row r="194" spans="2:9" ht="20.100000000000001" customHeight="1" x14ac:dyDescent="0.3">
      <c r="B194" s="198">
        <v>186</v>
      </c>
      <c r="C194" s="501" t="str">
        <f t="shared" si="13"/>
        <v/>
      </c>
      <c r="D194" s="502" t="str">
        <f t="shared" si="14"/>
        <v/>
      </c>
      <c r="E194" s="190" t="str">
        <f t="shared" si="15"/>
        <v/>
      </c>
      <c r="F194" s="196" t="str">
        <f t="shared" si="12"/>
        <v/>
      </c>
      <c r="G194" s="190" t="str">
        <f t="shared" si="16"/>
        <v/>
      </c>
      <c r="H194" s="503" t="str">
        <f t="shared" si="17"/>
        <v/>
      </c>
      <c r="I194" s="49"/>
    </row>
    <row r="195" spans="2:9" ht="20.100000000000001" customHeight="1" x14ac:dyDescent="0.3">
      <c r="B195" s="198">
        <v>187</v>
      </c>
      <c r="C195" s="501" t="str">
        <f t="shared" si="13"/>
        <v/>
      </c>
      <c r="D195" s="502" t="str">
        <f t="shared" si="14"/>
        <v/>
      </c>
      <c r="E195" s="190" t="str">
        <f t="shared" si="15"/>
        <v/>
      </c>
      <c r="F195" s="196" t="str">
        <f t="shared" si="12"/>
        <v/>
      </c>
      <c r="G195" s="190" t="str">
        <f t="shared" si="16"/>
        <v/>
      </c>
      <c r="H195" s="503" t="str">
        <f t="shared" si="17"/>
        <v/>
      </c>
      <c r="I195" s="49"/>
    </row>
    <row r="196" spans="2:9" ht="20.100000000000001" customHeight="1" x14ac:dyDescent="0.3">
      <c r="B196" s="198">
        <v>188</v>
      </c>
      <c r="C196" s="501" t="str">
        <f t="shared" si="13"/>
        <v/>
      </c>
      <c r="D196" s="502" t="str">
        <f t="shared" si="14"/>
        <v/>
      </c>
      <c r="E196" s="190" t="str">
        <f t="shared" si="15"/>
        <v/>
      </c>
      <c r="F196" s="196" t="str">
        <f t="shared" si="12"/>
        <v/>
      </c>
      <c r="G196" s="190" t="str">
        <f t="shared" si="16"/>
        <v/>
      </c>
      <c r="H196" s="503" t="str">
        <f t="shared" si="17"/>
        <v/>
      </c>
      <c r="I196" s="49"/>
    </row>
    <row r="197" spans="2:9" ht="20.100000000000001" customHeight="1" x14ac:dyDescent="0.3">
      <c r="B197" s="198">
        <v>189</v>
      </c>
      <c r="C197" s="501" t="str">
        <f t="shared" si="13"/>
        <v/>
      </c>
      <c r="D197" s="502" t="str">
        <f t="shared" si="14"/>
        <v/>
      </c>
      <c r="E197" s="190" t="str">
        <f t="shared" si="15"/>
        <v/>
      </c>
      <c r="F197" s="196" t="str">
        <f t="shared" si="12"/>
        <v/>
      </c>
      <c r="G197" s="190" t="str">
        <f t="shared" si="16"/>
        <v/>
      </c>
      <c r="H197" s="503" t="str">
        <f t="shared" si="17"/>
        <v/>
      </c>
      <c r="I197" s="49"/>
    </row>
    <row r="198" spans="2:9" ht="20.100000000000001" customHeight="1" x14ac:dyDescent="0.3">
      <c r="B198" s="198">
        <v>190</v>
      </c>
      <c r="C198" s="501" t="str">
        <f t="shared" si="13"/>
        <v/>
      </c>
      <c r="D198" s="502" t="str">
        <f t="shared" si="14"/>
        <v/>
      </c>
      <c r="E198" s="190" t="str">
        <f t="shared" si="15"/>
        <v/>
      </c>
      <c r="F198" s="196" t="str">
        <f t="shared" si="12"/>
        <v/>
      </c>
      <c r="G198" s="190" t="str">
        <f t="shared" si="16"/>
        <v/>
      </c>
      <c r="H198" s="503" t="str">
        <f t="shared" si="17"/>
        <v/>
      </c>
      <c r="I198" s="49"/>
    </row>
    <row r="199" spans="2:9" ht="20.100000000000001" customHeight="1" x14ac:dyDescent="0.3">
      <c r="B199" s="198">
        <v>191</v>
      </c>
      <c r="C199" s="501" t="str">
        <f t="shared" si="13"/>
        <v/>
      </c>
      <c r="D199" s="502" t="str">
        <f t="shared" si="14"/>
        <v/>
      </c>
      <c r="E199" s="190" t="str">
        <f t="shared" si="15"/>
        <v/>
      </c>
      <c r="F199" s="196" t="str">
        <f t="shared" si="12"/>
        <v/>
      </c>
      <c r="G199" s="190" t="str">
        <f t="shared" si="16"/>
        <v/>
      </c>
      <c r="H199" s="503" t="str">
        <f t="shared" si="17"/>
        <v/>
      </c>
      <c r="I199" s="49"/>
    </row>
    <row r="200" spans="2:9" ht="20.100000000000001" customHeight="1" x14ac:dyDescent="0.3">
      <c r="B200" s="198">
        <v>192</v>
      </c>
      <c r="C200" s="501" t="str">
        <f t="shared" si="13"/>
        <v/>
      </c>
      <c r="D200" s="502" t="str">
        <f t="shared" si="14"/>
        <v/>
      </c>
      <c r="E200" s="190" t="str">
        <f t="shared" si="15"/>
        <v/>
      </c>
      <c r="F200" s="196" t="str">
        <f t="shared" si="12"/>
        <v/>
      </c>
      <c r="G200" s="190" t="str">
        <f t="shared" si="16"/>
        <v/>
      </c>
      <c r="H200" s="503" t="str">
        <f t="shared" si="17"/>
        <v/>
      </c>
      <c r="I200" s="49"/>
    </row>
    <row r="201" spans="2:9" ht="20.100000000000001" customHeight="1" x14ac:dyDescent="0.3">
      <c r="B201" s="198">
        <v>193</v>
      </c>
      <c r="C201" s="501" t="str">
        <f t="shared" si="13"/>
        <v/>
      </c>
      <c r="D201" s="502" t="str">
        <f t="shared" si="14"/>
        <v/>
      </c>
      <c r="E201" s="190" t="str">
        <f t="shared" si="15"/>
        <v/>
      </c>
      <c r="F201" s="196" t="str">
        <f t="shared" si="12"/>
        <v/>
      </c>
      <c r="G201" s="190" t="str">
        <f t="shared" si="16"/>
        <v/>
      </c>
      <c r="H201" s="503" t="str">
        <f t="shared" si="17"/>
        <v/>
      </c>
      <c r="I201" s="49"/>
    </row>
    <row r="202" spans="2:9" ht="20.100000000000001" customHeight="1" x14ac:dyDescent="0.3">
      <c r="B202" s="198">
        <v>194</v>
      </c>
      <c r="C202" s="501" t="str">
        <f t="shared" si="13"/>
        <v/>
      </c>
      <c r="D202" s="502" t="str">
        <f t="shared" si="14"/>
        <v/>
      </c>
      <c r="E202" s="190" t="str">
        <f t="shared" si="15"/>
        <v/>
      </c>
      <c r="F202" s="196" t="str">
        <f t="shared" ref="F202:F265" si="18">IF($H$4="","",IF($F$4="원리금균등상환",IFERROR(D202+E202,""),IF($F$4="원금균등상환",D202+E202,"")))</f>
        <v/>
      </c>
      <c r="G202" s="190" t="str">
        <f t="shared" si="16"/>
        <v/>
      </c>
      <c r="H202" s="503" t="str">
        <f t="shared" si="17"/>
        <v/>
      </c>
      <c r="I202" s="49"/>
    </row>
    <row r="203" spans="2:9" ht="20.100000000000001" customHeight="1" x14ac:dyDescent="0.3">
      <c r="B203" s="198">
        <v>195</v>
      </c>
      <c r="C203" s="501" t="str">
        <f t="shared" ref="C203:C266" si="19">IF($H$4="","",IF(B203&gt;($B$6),"",IF(B203&lt;=($B$6),DATE(YEAR($G$4),MONTH($G$4)+B202,DAY($G$4)),"")))</f>
        <v/>
      </c>
      <c r="D203" s="502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190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196" t="str">
        <f t="shared" si="18"/>
        <v/>
      </c>
      <c r="G203" s="190" t="str">
        <f t="shared" ref="G203:G266" si="22">IFERROR(IF(B203&gt;(($D$6+$B$6)*12),"",IF(B203=1,D203,D203+G202)),"")</f>
        <v/>
      </c>
      <c r="H203" s="503" t="str">
        <f t="shared" ref="H203:H266" si="23">IFERROR(IF($H$4="","",H202-D203),"")</f>
        <v/>
      </c>
      <c r="I203" s="49"/>
    </row>
    <row r="204" spans="2:9" ht="20.100000000000001" customHeight="1" x14ac:dyDescent="0.3">
      <c r="B204" s="198">
        <v>196</v>
      </c>
      <c r="C204" s="501" t="str">
        <f t="shared" si="19"/>
        <v/>
      </c>
      <c r="D204" s="502" t="str">
        <f t="shared" si="20"/>
        <v/>
      </c>
      <c r="E204" s="190" t="str">
        <f t="shared" si="21"/>
        <v/>
      </c>
      <c r="F204" s="196" t="str">
        <f t="shared" si="18"/>
        <v/>
      </c>
      <c r="G204" s="190" t="str">
        <f t="shared" si="22"/>
        <v/>
      </c>
      <c r="H204" s="503" t="str">
        <f t="shared" si="23"/>
        <v/>
      </c>
      <c r="I204" s="49"/>
    </row>
    <row r="205" spans="2:9" ht="20.100000000000001" customHeight="1" x14ac:dyDescent="0.3">
      <c r="B205" s="198">
        <v>197</v>
      </c>
      <c r="C205" s="501" t="str">
        <f t="shared" si="19"/>
        <v/>
      </c>
      <c r="D205" s="502" t="str">
        <f t="shared" si="20"/>
        <v/>
      </c>
      <c r="E205" s="190" t="str">
        <f t="shared" si="21"/>
        <v/>
      </c>
      <c r="F205" s="196" t="str">
        <f t="shared" si="18"/>
        <v/>
      </c>
      <c r="G205" s="190" t="str">
        <f t="shared" si="22"/>
        <v/>
      </c>
      <c r="H205" s="503" t="str">
        <f t="shared" si="23"/>
        <v/>
      </c>
      <c r="I205" s="49"/>
    </row>
    <row r="206" spans="2:9" ht="20.100000000000001" customHeight="1" x14ac:dyDescent="0.3">
      <c r="B206" s="198">
        <v>198</v>
      </c>
      <c r="C206" s="501" t="str">
        <f t="shared" si="19"/>
        <v/>
      </c>
      <c r="D206" s="502" t="str">
        <f t="shared" si="20"/>
        <v/>
      </c>
      <c r="E206" s="190" t="str">
        <f t="shared" si="21"/>
        <v/>
      </c>
      <c r="F206" s="196" t="str">
        <f t="shared" si="18"/>
        <v/>
      </c>
      <c r="G206" s="190" t="str">
        <f t="shared" si="22"/>
        <v/>
      </c>
      <c r="H206" s="503" t="str">
        <f t="shared" si="23"/>
        <v/>
      </c>
      <c r="I206" s="49"/>
    </row>
    <row r="207" spans="2:9" ht="20.100000000000001" customHeight="1" x14ac:dyDescent="0.3">
      <c r="B207" s="198">
        <v>199</v>
      </c>
      <c r="C207" s="501" t="str">
        <f t="shared" si="19"/>
        <v/>
      </c>
      <c r="D207" s="502" t="str">
        <f t="shared" si="20"/>
        <v/>
      </c>
      <c r="E207" s="190" t="str">
        <f t="shared" si="21"/>
        <v/>
      </c>
      <c r="F207" s="196" t="str">
        <f t="shared" si="18"/>
        <v/>
      </c>
      <c r="G207" s="190" t="str">
        <f t="shared" si="22"/>
        <v/>
      </c>
      <c r="H207" s="503" t="str">
        <f t="shared" si="23"/>
        <v/>
      </c>
      <c r="I207" s="49"/>
    </row>
    <row r="208" spans="2:9" ht="20.100000000000001" customHeight="1" x14ac:dyDescent="0.3">
      <c r="B208" s="198">
        <v>200</v>
      </c>
      <c r="C208" s="501" t="str">
        <f t="shared" si="19"/>
        <v/>
      </c>
      <c r="D208" s="502" t="str">
        <f t="shared" si="20"/>
        <v/>
      </c>
      <c r="E208" s="190" t="str">
        <f t="shared" si="21"/>
        <v/>
      </c>
      <c r="F208" s="196" t="str">
        <f t="shared" si="18"/>
        <v/>
      </c>
      <c r="G208" s="190" t="str">
        <f t="shared" si="22"/>
        <v/>
      </c>
      <c r="H208" s="503" t="str">
        <f t="shared" si="23"/>
        <v/>
      </c>
      <c r="I208" s="49"/>
    </row>
    <row r="209" spans="2:9" ht="20.100000000000001" customHeight="1" x14ac:dyDescent="0.3">
      <c r="B209" s="198">
        <v>201</v>
      </c>
      <c r="C209" s="501" t="str">
        <f t="shared" si="19"/>
        <v/>
      </c>
      <c r="D209" s="502" t="str">
        <f t="shared" si="20"/>
        <v/>
      </c>
      <c r="E209" s="190" t="str">
        <f t="shared" si="21"/>
        <v/>
      </c>
      <c r="F209" s="196" t="str">
        <f t="shared" si="18"/>
        <v/>
      </c>
      <c r="G209" s="190" t="str">
        <f t="shared" si="22"/>
        <v/>
      </c>
      <c r="H209" s="503" t="str">
        <f t="shared" si="23"/>
        <v/>
      </c>
      <c r="I209" s="49"/>
    </row>
    <row r="210" spans="2:9" ht="20.100000000000001" customHeight="1" x14ac:dyDescent="0.3">
      <c r="B210" s="198">
        <v>202</v>
      </c>
      <c r="C210" s="501" t="str">
        <f t="shared" si="19"/>
        <v/>
      </c>
      <c r="D210" s="502" t="str">
        <f t="shared" si="20"/>
        <v/>
      </c>
      <c r="E210" s="190" t="str">
        <f t="shared" si="21"/>
        <v/>
      </c>
      <c r="F210" s="196" t="str">
        <f t="shared" si="18"/>
        <v/>
      </c>
      <c r="G210" s="190" t="str">
        <f t="shared" si="22"/>
        <v/>
      </c>
      <c r="H210" s="503" t="str">
        <f t="shared" si="23"/>
        <v/>
      </c>
      <c r="I210" s="49"/>
    </row>
    <row r="211" spans="2:9" ht="20.100000000000001" customHeight="1" x14ac:dyDescent="0.3">
      <c r="B211" s="198">
        <v>203</v>
      </c>
      <c r="C211" s="501" t="str">
        <f t="shared" si="19"/>
        <v/>
      </c>
      <c r="D211" s="502" t="str">
        <f t="shared" si="20"/>
        <v/>
      </c>
      <c r="E211" s="190" t="str">
        <f t="shared" si="21"/>
        <v/>
      </c>
      <c r="F211" s="196" t="str">
        <f t="shared" si="18"/>
        <v/>
      </c>
      <c r="G211" s="190" t="str">
        <f t="shared" si="22"/>
        <v/>
      </c>
      <c r="H211" s="503" t="str">
        <f t="shared" si="23"/>
        <v/>
      </c>
      <c r="I211" s="49"/>
    </row>
    <row r="212" spans="2:9" ht="20.100000000000001" customHeight="1" x14ac:dyDescent="0.3">
      <c r="B212" s="198">
        <v>204</v>
      </c>
      <c r="C212" s="501" t="str">
        <f t="shared" si="19"/>
        <v/>
      </c>
      <c r="D212" s="502" t="str">
        <f t="shared" si="20"/>
        <v/>
      </c>
      <c r="E212" s="190" t="str">
        <f t="shared" si="21"/>
        <v/>
      </c>
      <c r="F212" s="196" t="str">
        <f t="shared" si="18"/>
        <v/>
      </c>
      <c r="G212" s="190" t="str">
        <f t="shared" si="22"/>
        <v/>
      </c>
      <c r="H212" s="503" t="str">
        <f t="shared" si="23"/>
        <v/>
      </c>
      <c r="I212" s="49"/>
    </row>
    <row r="213" spans="2:9" ht="20.100000000000001" customHeight="1" x14ac:dyDescent="0.3">
      <c r="B213" s="198">
        <v>205</v>
      </c>
      <c r="C213" s="501" t="str">
        <f t="shared" si="19"/>
        <v/>
      </c>
      <c r="D213" s="502" t="str">
        <f t="shared" si="20"/>
        <v/>
      </c>
      <c r="E213" s="190" t="str">
        <f t="shared" si="21"/>
        <v/>
      </c>
      <c r="F213" s="196" t="str">
        <f t="shared" si="18"/>
        <v/>
      </c>
      <c r="G213" s="190" t="str">
        <f t="shared" si="22"/>
        <v/>
      </c>
      <c r="H213" s="503" t="str">
        <f t="shared" si="23"/>
        <v/>
      </c>
      <c r="I213" s="49"/>
    </row>
    <row r="214" spans="2:9" ht="20.100000000000001" customHeight="1" x14ac:dyDescent="0.3">
      <c r="B214" s="198">
        <v>206</v>
      </c>
      <c r="C214" s="501" t="str">
        <f t="shared" si="19"/>
        <v/>
      </c>
      <c r="D214" s="502" t="str">
        <f t="shared" si="20"/>
        <v/>
      </c>
      <c r="E214" s="190" t="str">
        <f t="shared" si="21"/>
        <v/>
      </c>
      <c r="F214" s="196" t="str">
        <f t="shared" si="18"/>
        <v/>
      </c>
      <c r="G214" s="190" t="str">
        <f t="shared" si="22"/>
        <v/>
      </c>
      <c r="H214" s="503" t="str">
        <f t="shared" si="23"/>
        <v/>
      </c>
      <c r="I214" s="49"/>
    </row>
    <row r="215" spans="2:9" ht="20.100000000000001" customHeight="1" x14ac:dyDescent="0.3">
      <c r="B215" s="198">
        <v>207</v>
      </c>
      <c r="C215" s="501" t="str">
        <f t="shared" si="19"/>
        <v/>
      </c>
      <c r="D215" s="502" t="str">
        <f t="shared" si="20"/>
        <v/>
      </c>
      <c r="E215" s="190" t="str">
        <f t="shared" si="21"/>
        <v/>
      </c>
      <c r="F215" s="196" t="str">
        <f t="shared" si="18"/>
        <v/>
      </c>
      <c r="G215" s="190" t="str">
        <f t="shared" si="22"/>
        <v/>
      </c>
      <c r="H215" s="503" t="str">
        <f t="shared" si="23"/>
        <v/>
      </c>
      <c r="I215" s="49"/>
    </row>
    <row r="216" spans="2:9" ht="20.100000000000001" customHeight="1" x14ac:dyDescent="0.3">
      <c r="B216" s="198">
        <v>208</v>
      </c>
      <c r="C216" s="501" t="str">
        <f t="shared" si="19"/>
        <v/>
      </c>
      <c r="D216" s="502" t="str">
        <f t="shared" si="20"/>
        <v/>
      </c>
      <c r="E216" s="190" t="str">
        <f t="shared" si="21"/>
        <v/>
      </c>
      <c r="F216" s="196" t="str">
        <f t="shared" si="18"/>
        <v/>
      </c>
      <c r="G216" s="190" t="str">
        <f t="shared" si="22"/>
        <v/>
      </c>
      <c r="H216" s="503" t="str">
        <f t="shared" si="23"/>
        <v/>
      </c>
      <c r="I216" s="49"/>
    </row>
    <row r="217" spans="2:9" ht="20.100000000000001" customHeight="1" x14ac:dyDescent="0.3">
      <c r="B217" s="198">
        <v>209</v>
      </c>
      <c r="C217" s="501" t="str">
        <f t="shared" si="19"/>
        <v/>
      </c>
      <c r="D217" s="502" t="str">
        <f t="shared" si="20"/>
        <v/>
      </c>
      <c r="E217" s="190" t="str">
        <f t="shared" si="21"/>
        <v/>
      </c>
      <c r="F217" s="196" t="str">
        <f t="shared" si="18"/>
        <v/>
      </c>
      <c r="G217" s="190" t="str">
        <f t="shared" si="22"/>
        <v/>
      </c>
      <c r="H217" s="503" t="str">
        <f t="shared" si="23"/>
        <v/>
      </c>
      <c r="I217" s="49"/>
    </row>
    <row r="218" spans="2:9" ht="20.100000000000001" customHeight="1" x14ac:dyDescent="0.3">
      <c r="B218" s="198">
        <v>210</v>
      </c>
      <c r="C218" s="501" t="str">
        <f t="shared" si="19"/>
        <v/>
      </c>
      <c r="D218" s="502" t="str">
        <f t="shared" si="20"/>
        <v/>
      </c>
      <c r="E218" s="190" t="str">
        <f t="shared" si="21"/>
        <v/>
      </c>
      <c r="F218" s="196" t="str">
        <f t="shared" si="18"/>
        <v/>
      </c>
      <c r="G218" s="190" t="str">
        <f t="shared" si="22"/>
        <v/>
      </c>
      <c r="H218" s="503" t="str">
        <f t="shared" si="23"/>
        <v/>
      </c>
      <c r="I218" s="49"/>
    </row>
    <row r="219" spans="2:9" ht="20.100000000000001" customHeight="1" x14ac:dyDescent="0.3">
      <c r="B219" s="198">
        <v>211</v>
      </c>
      <c r="C219" s="501" t="str">
        <f t="shared" si="19"/>
        <v/>
      </c>
      <c r="D219" s="502" t="str">
        <f t="shared" si="20"/>
        <v/>
      </c>
      <c r="E219" s="190" t="str">
        <f t="shared" si="21"/>
        <v/>
      </c>
      <c r="F219" s="196" t="str">
        <f t="shared" si="18"/>
        <v/>
      </c>
      <c r="G219" s="190" t="str">
        <f t="shared" si="22"/>
        <v/>
      </c>
      <c r="H219" s="503" t="str">
        <f t="shared" si="23"/>
        <v/>
      </c>
      <c r="I219" s="49"/>
    </row>
    <row r="220" spans="2:9" ht="20.100000000000001" customHeight="1" x14ac:dyDescent="0.3">
      <c r="B220" s="198">
        <v>212</v>
      </c>
      <c r="C220" s="501" t="str">
        <f t="shared" si="19"/>
        <v/>
      </c>
      <c r="D220" s="502" t="str">
        <f t="shared" si="20"/>
        <v/>
      </c>
      <c r="E220" s="190" t="str">
        <f t="shared" si="21"/>
        <v/>
      </c>
      <c r="F220" s="196" t="str">
        <f t="shared" si="18"/>
        <v/>
      </c>
      <c r="G220" s="190" t="str">
        <f t="shared" si="22"/>
        <v/>
      </c>
      <c r="H220" s="503" t="str">
        <f t="shared" si="23"/>
        <v/>
      </c>
      <c r="I220" s="49"/>
    </row>
    <row r="221" spans="2:9" ht="20.100000000000001" customHeight="1" x14ac:dyDescent="0.3">
      <c r="B221" s="198">
        <v>213</v>
      </c>
      <c r="C221" s="501" t="str">
        <f t="shared" si="19"/>
        <v/>
      </c>
      <c r="D221" s="502" t="str">
        <f t="shared" si="20"/>
        <v/>
      </c>
      <c r="E221" s="190" t="str">
        <f t="shared" si="21"/>
        <v/>
      </c>
      <c r="F221" s="196" t="str">
        <f t="shared" si="18"/>
        <v/>
      </c>
      <c r="G221" s="190" t="str">
        <f t="shared" si="22"/>
        <v/>
      </c>
      <c r="H221" s="503" t="str">
        <f t="shared" si="23"/>
        <v/>
      </c>
      <c r="I221" s="49"/>
    </row>
    <row r="222" spans="2:9" ht="20.100000000000001" customHeight="1" x14ac:dyDescent="0.3">
      <c r="B222" s="198">
        <v>214</v>
      </c>
      <c r="C222" s="501" t="str">
        <f t="shared" si="19"/>
        <v/>
      </c>
      <c r="D222" s="502" t="str">
        <f t="shared" si="20"/>
        <v/>
      </c>
      <c r="E222" s="190" t="str">
        <f t="shared" si="21"/>
        <v/>
      </c>
      <c r="F222" s="196" t="str">
        <f t="shared" si="18"/>
        <v/>
      </c>
      <c r="G222" s="190" t="str">
        <f t="shared" si="22"/>
        <v/>
      </c>
      <c r="H222" s="503" t="str">
        <f t="shared" si="23"/>
        <v/>
      </c>
      <c r="I222" s="49"/>
    </row>
    <row r="223" spans="2:9" ht="20.100000000000001" customHeight="1" x14ac:dyDescent="0.3">
      <c r="B223" s="198">
        <v>215</v>
      </c>
      <c r="C223" s="501" t="str">
        <f t="shared" si="19"/>
        <v/>
      </c>
      <c r="D223" s="502" t="str">
        <f t="shared" si="20"/>
        <v/>
      </c>
      <c r="E223" s="190" t="str">
        <f t="shared" si="21"/>
        <v/>
      </c>
      <c r="F223" s="196" t="str">
        <f t="shared" si="18"/>
        <v/>
      </c>
      <c r="G223" s="190" t="str">
        <f t="shared" si="22"/>
        <v/>
      </c>
      <c r="H223" s="503" t="str">
        <f t="shared" si="23"/>
        <v/>
      </c>
      <c r="I223" s="49"/>
    </row>
    <row r="224" spans="2:9" ht="20.100000000000001" customHeight="1" x14ac:dyDescent="0.3">
      <c r="B224" s="198">
        <v>216</v>
      </c>
      <c r="C224" s="501" t="str">
        <f t="shared" si="19"/>
        <v/>
      </c>
      <c r="D224" s="502" t="str">
        <f t="shared" si="20"/>
        <v/>
      </c>
      <c r="E224" s="190" t="str">
        <f t="shared" si="21"/>
        <v/>
      </c>
      <c r="F224" s="196" t="str">
        <f t="shared" si="18"/>
        <v/>
      </c>
      <c r="G224" s="190" t="str">
        <f t="shared" si="22"/>
        <v/>
      </c>
      <c r="H224" s="503" t="str">
        <f t="shared" si="23"/>
        <v/>
      </c>
      <c r="I224" s="49"/>
    </row>
    <row r="225" spans="2:9" ht="20.100000000000001" customHeight="1" x14ac:dyDescent="0.3">
      <c r="B225" s="198">
        <v>217</v>
      </c>
      <c r="C225" s="501" t="str">
        <f t="shared" si="19"/>
        <v/>
      </c>
      <c r="D225" s="502" t="str">
        <f t="shared" si="20"/>
        <v/>
      </c>
      <c r="E225" s="190" t="str">
        <f t="shared" si="21"/>
        <v/>
      </c>
      <c r="F225" s="196" t="str">
        <f t="shared" si="18"/>
        <v/>
      </c>
      <c r="G225" s="190" t="str">
        <f t="shared" si="22"/>
        <v/>
      </c>
      <c r="H225" s="503" t="str">
        <f t="shared" si="23"/>
        <v/>
      </c>
      <c r="I225" s="49"/>
    </row>
    <row r="226" spans="2:9" ht="20.100000000000001" customHeight="1" x14ac:dyDescent="0.3">
      <c r="B226" s="198">
        <v>218</v>
      </c>
      <c r="C226" s="501" t="str">
        <f t="shared" si="19"/>
        <v/>
      </c>
      <c r="D226" s="502" t="str">
        <f t="shared" si="20"/>
        <v/>
      </c>
      <c r="E226" s="190" t="str">
        <f t="shared" si="21"/>
        <v/>
      </c>
      <c r="F226" s="196" t="str">
        <f t="shared" si="18"/>
        <v/>
      </c>
      <c r="G226" s="190" t="str">
        <f t="shared" si="22"/>
        <v/>
      </c>
      <c r="H226" s="503" t="str">
        <f t="shared" si="23"/>
        <v/>
      </c>
      <c r="I226" s="49"/>
    </row>
    <row r="227" spans="2:9" ht="20.100000000000001" customHeight="1" x14ac:dyDescent="0.3">
      <c r="B227" s="198">
        <v>219</v>
      </c>
      <c r="C227" s="501" t="str">
        <f t="shared" si="19"/>
        <v/>
      </c>
      <c r="D227" s="502" t="str">
        <f t="shared" si="20"/>
        <v/>
      </c>
      <c r="E227" s="190" t="str">
        <f t="shared" si="21"/>
        <v/>
      </c>
      <c r="F227" s="196" t="str">
        <f t="shared" si="18"/>
        <v/>
      </c>
      <c r="G227" s="190" t="str">
        <f t="shared" si="22"/>
        <v/>
      </c>
      <c r="H227" s="503" t="str">
        <f t="shared" si="23"/>
        <v/>
      </c>
      <c r="I227" s="49"/>
    </row>
    <row r="228" spans="2:9" ht="20.100000000000001" customHeight="1" x14ac:dyDescent="0.3">
      <c r="B228" s="198">
        <v>220</v>
      </c>
      <c r="C228" s="501" t="str">
        <f t="shared" si="19"/>
        <v/>
      </c>
      <c r="D228" s="502" t="str">
        <f t="shared" si="20"/>
        <v/>
      </c>
      <c r="E228" s="190" t="str">
        <f t="shared" si="21"/>
        <v/>
      </c>
      <c r="F228" s="196" t="str">
        <f t="shared" si="18"/>
        <v/>
      </c>
      <c r="G228" s="190" t="str">
        <f t="shared" si="22"/>
        <v/>
      </c>
      <c r="H228" s="503" t="str">
        <f t="shared" si="23"/>
        <v/>
      </c>
      <c r="I228" s="49"/>
    </row>
    <row r="229" spans="2:9" ht="20.100000000000001" customHeight="1" x14ac:dyDescent="0.3">
      <c r="B229" s="198">
        <v>221</v>
      </c>
      <c r="C229" s="501" t="str">
        <f t="shared" si="19"/>
        <v/>
      </c>
      <c r="D229" s="502" t="str">
        <f t="shared" si="20"/>
        <v/>
      </c>
      <c r="E229" s="190" t="str">
        <f t="shared" si="21"/>
        <v/>
      </c>
      <c r="F229" s="196" t="str">
        <f t="shared" si="18"/>
        <v/>
      </c>
      <c r="G229" s="190" t="str">
        <f t="shared" si="22"/>
        <v/>
      </c>
      <c r="H229" s="503" t="str">
        <f t="shared" si="23"/>
        <v/>
      </c>
      <c r="I229" s="49"/>
    </row>
    <row r="230" spans="2:9" ht="20.100000000000001" customHeight="1" x14ac:dyDescent="0.3">
      <c r="B230" s="198">
        <v>222</v>
      </c>
      <c r="C230" s="501" t="str">
        <f t="shared" si="19"/>
        <v/>
      </c>
      <c r="D230" s="502" t="str">
        <f t="shared" si="20"/>
        <v/>
      </c>
      <c r="E230" s="190" t="str">
        <f t="shared" si="21"/>
        <v/>
      </c>
      <c r="F230" s="196" t="str">
        <f t="shared" si="18"/>
        <v/>
      </c>
      <c r="G230" s="190" t="str">
        <f t="shared" si="22"/>
        <v/>
      </c>
      <c r="H230" s="503" t="str">
        <f t="shared" si="23"/>
        <v/>
      </c>
      <c r="I230" s="49"/>
    </row>
    <row r="231" spans="2:9" ht="20.100000000000001" customHeight="1" x14ac:dyDescent="0.3">
      <c r="B231" s="198">
        <v>223</v>
      </c>
      <c r="C231" s="501" t="str">
        <f t="shared" si="19"/>
        <v/>
      </c>
      <c r="D231" s="502" t="str">
        <f t="shared" si="20"/>
        <v/>
      </c>
      <c r="E231" s="190" t="str">
        <f t="shared" si="21"/>
        <v/>
      </c>
      <c r="F231" s="196" t="str">
        <f t="shared" si="18"/>
        <v/>
      </c>
      <c r="G231" s="190" t="str">
        <f t="shared" si="22"/>
        <v/>
      </c>
      <c r="H231" s="503" t="str">
        <f t="shared" si="23"/>
        <v/>
      </c>
      <c r="I231" s="49"/>
    </row>
    <row r="232" spans="2:9" ht="20.100000000000001" customHeight="1" x14ac:dyDescent="0.3">
      <c r="B232" s="198">
        <v>224</v>
      </c>
      <c r="C232" s="501" t="str">
        <f t="shared" si="19"/>
        <v/>
      </c>
      <c r="D232" s="502" t="str">
        <f t="shared" si="20"/>
        <v/>
      </c>
      <c r="E232" s="190" t="str">
        <f t="shared" si="21"/>
        <v/>
      </c>
      <c r="F232" s="196" t="str">
        <f t="shared" si="18"/>
        <v/>
      </c>
      <c r="G232" s="190" t="str">
        <f t="shared" si="22"/>
        <v/>
      </c>
      <c r="H232" s="503" t="str">
        <f t="shared" si="23"/>
        <v/>
      </c>
      <c r="I232" s="49"/>
    </row>
    <row r="233" spans="2:9" ht="20.100000000000001" customHeight="1" x14ac:dyDescent="0.3">
      <c r="B233" s="198">
        <v>225</v>
      </c>
      <c r="C233" s="501" t="str">
        <f t="shared" si="19"/>
        <v/>
      </c>
      <c r="D233" s="502" t="str">
        <f t="shared" si="20"/>
        <v/>
      </c>
      <c r="E233" s="190" t="str">
        <f t="shared" si="21"/>
        <v/>
      </c>
      <c r="F233" s="196" t="str">
        <f t="shared" si="18"/>
        <v/>
      </c>
      <c r="G233" s="190" t="str">
        <f t="shared" si="22"/>
        <v/>
      </c>
      <c r="H233" s="503" t="str">
        <f t="shared" si="23"/>
        <v/>
      </c>
      <c r="I233" s="49"/>
    </row>
    <row r="234" spans="2:9" ht="20.100000000000001" customHeight="1" x14ac:dyDescent="0.3">
      <c r="B234" s="198">
        <v>226</v>
      </c>
      <c r="C234" s="501" t="str">
        <f t="shared" si="19"/>
        <v/>
      </c>
      <c r="D234" s="502" t="str">
        <f t="shared" si="20"/>
        <v/>
      </c>
      <c r="E234" s="190" t="str">
        <f t="shared" si="21"/>
        <v/>
      </c>
      <c r="F234" s="196" t="str">
        <f t="shared" si="18"/>
        <v/>
      </c>
      <c r="G234" s="190" t="str">
        <f t="shared" si="22"/>
        <v/>
      </c>
      <c r="H234" s="503" t="str">
        <f t="shared" si="23"/>
        <v/>
      </c>
      <c r="I234" s="49"/>
    </row>
    <row r="235" spans="2:9" ht="20.100000000000001" customHeight="1" x14ac:dyDescent="0.3">
      <c r="B235" s="198">
        <v>227</v>
      </c>
      <c r="C235" s="501" t="str">
        <f t="shared" si="19"/>
        <v/>
      </c>
      <c r="D235" s="502" t="str">
        <f t="shared" si="20"/>
        <v/>
      </c>
      <c r="E235" s="190" t="str">
        <f t="shared" si="21"/>
        <v/>
      </c>
      <c r="F235" s="196" t="str">
        <f t="shared" si="18"/>
        <v/>
      </c>
      <c r="G235" s="190" t="str">
        <f t="shared" si="22"/>
        <v/>
      </c>
      <c r="H235" s="503" t="str">
        <f t="shared" si="23"/>
        <v/>
      </c>
      <c r="I235" s="49"/>
    </row>
    <row r="236" spans="2:9" ht="20.100000000000001" customHeight="1" x14ac:dyDescent="0.3">
      <c r="B236" s="198">
        <v>228</v>
      </c>
      <c r="C236" s="501" t="str">
        <f t="shared" si="19"/>
        <v/>
      </c>
      <c r="D236" s="502" t="str">
        <f t="shared" si="20"/>
        <v/>
      </c>
      <c r="E236" s="190" t="str">
        <f t="shared" si="21"/>
        <v/>
      </c>
      <c r="F236" s="196" t="str">
        <f t="shared" si="18"/>
        <v/>
      </c>
      <c r="G236" s="190" t="str">
        <f t="shared" si="22"/>
        <v/>
      </c>
      <c r="H236" s="503" t="str">
        <f t="shared" si="23"/>
        <v/>
      </c>
      <c r="I236" s="49"/>
    </row>
    <row r="237" spans="2:9" ht="20.100000000000001" customHeight="1" x14ac:dyDescent="0.3">
      <c r="B237" s="198">
        <v>229</v>
      </c>
      <c r="C237" s="501" t="str">
        <f t="shared" si="19"/>
        <v/>
      </c>
      <c r="D237" s="502" t="str">
        <f t="shared" si="20"/>
        <v/>
      </c>
      <c r="E237" s="190" t="str">
        <f t="shared" si="21"/>
        <v/>
      </c>
      <c r="F237" s="196" t="str">
        <f t="shared" si="18"/>
        <v/>
      </c>
      <c r="G237" s="190" t="str">
        <f t="shared" si="22"/>
        <v/>
      </c>
      <c r="H237" s="503" t="str">
        <f t="shared" si="23"/>
        <v/>
      </c>
      <c r="I237" s="49"/>
    </row>
    <row r="238" spans="2:9" ht="20.100000000000001" customHeight="1" x14ac:dyDescent="0.3">
      <c r="B238" s="198">
        <v>230</v>
      </c>
      <c r="C238" s="501" t="str">
        <f t="shared" si="19"/>
        <v/>
      </c>
      <c r="D238" s="502" t="str">
        <f t="shared" si="20"/>
        <v/>
      </c>
      <c r="E238" s="190" t="str">
        <f t="shared" si="21"/>
        <v/>
      </c>
      <c r="F238" s="196" t="str">
        <f t="shared" si="18"/>
        <v/>
      </c>
      <c r="G238" s="190" t="str">
        <f t="shared" si="22"/>
        <v/>
      </c>
      <c r="H238" s="503" t="str">
        <f t="shared" si="23"/>
        <v/>
      </c>
      <c r="I238" s="49"/>
    </row>
    <row r="239" spans="2:9" ht="20.100000000000001" customHeight="1" x14ac:dyDescent="0.3">
      <c r="B239" s="198">
        <v>231</v>
      </c>
      <c r="C239" s="501" t="str">
        <f t="shared" si="19"/>
        <v/>
      </c>
      <c r="D239" s="502" t="str">
        <f t="shared" si="20"/>
        <v/>
      </c>
      <c r="E239" s="190" t="str">
        <f t="shared" si="21"/>
        <v/>
      </c>
      <c r="F239" s="196" t="str">
        <f t="shared" si="18"/>
        <v/>
      </c>
      <c r="G239" s="190" t="str">
        <f t="shared" si="22"/>
        <v/>
      </c>
      <c r="H239" s="503" t="str">
        <f t="shared" si="23"/>
        <v/>
      </c>
      <c r="I239" s="49"/>
    </row>
    <row r="240" spans="2:9" ht="20.100000000000001" customHeight="1" x14ac:dyDescent="0.3">
      <c r="B240" s="198">
        <v>232</v>
      </c>
      <c r="C240" s="501" t="str">
        <f t="shared" si="19"/>
        <v/>
      </c>
      <c r="D240" s="502" t="str">
        <f t="shared" si="20"/>
        <v/>
      </c>
      <c r="E240" s="190" t="str">
        <f t="shared" si="21"/>
        <v/>
      </c>
      <c r="F240" s="196" t="str">
        <f t="shared" si="18"/>
        <v/>
      </c>
      <c r="G240" s="190" t="str">
        <f t="shared" si="22"/>
        <v/>
      </c>
      <c r="H240" s="503" t="str">
        <f t="shared" si="23"/>
        <v/>
      </c>
      <c r="I240" s="49"/>
    </row>
    <row r="241" spans="2:9" ht="20.100000000000001" customHeight="1" x14ac:dyDescent="0.3">
      <c r="B241" s="198">
        <v>233</v>
      </c>
      <c r="C241" s="501" t="str">
        <f t="shared" si="19"/>
        <v/>
      </c>
      <c r="D241" s="502" t="str">
        <f t="shared" si="20"/>
        <v/>
      </c>
      <c r="E241" s="190" t="str">
        <f t="shared" si="21"/>
        <v/>
      </c>
      <c r="F241" s="196" t="str">
        <f t="shared" si="18"/>
        <v/>
      </c>
      <c r="G241" s="190" t="str">
        <f t="shared" si="22"/>
        <v/>
      </c>
      <c r="H241" s="503" t="str">
        <f t="shared" si="23"/>
        <v/>
      </c>
      <c r="I241" s="49"/>
    </row>
    <row r="242" spans="2:9" ht="20.100000000000001" customHeight="1" x14ac:dyDescent="0.3">
      <c r="B242" s="198">
        <v>234</v>
      </c>
      <c r="C242" s="501" t="str">
        <f t="shared" si="19"/>
        <v/>
      </c>
      <c r="D242" s="502" t="str">
        <f t="shared" si="20"/>
        <v/>
      </c>
      <c r="E242" s="190" t="str">
        <f t="shared" si="21"/>
        <v/>
      </c>
      <c r="F242" s="196" t="str">
        <f t="shared" si="18"/>
        <v/>
      </c>
      <c r="G242" s="190" t="str">
        <f t="shared" si="22"/>
        <v/>
      </c>
      <c r="H242" s="503" t="str">
        <f t="shared" si="23"/>
        <v/>
      </c>
      <c r="I242" s="49"/>
    </row>
    <row r="243" spans="2:9" ht="20.100000000000001" customHeight="1" x14ac:dyDescent="0.3">
      <c r="B243" s="198">
        <v>235</v>
      </c>
      <c r="C243" s="501" t="str">
        <f t="shared" si="19"/>
        <v/>
      </c>
      <c r="D243" s="502" t="str">
        <f t="shared" si="20"/>
        <v/>
      </c>
      <c r="E243" s="190" t="str">
        <f t="shared" si="21"/>
        <v/>
      </c>
      <c r="F243" s="196" t="str">
        <f t="shared" si="18"/>
        <v/>
      </c>
      <c r="G243" s="190" t="str">
        <f t="shared" si="22"/>
        <v/>
      </c>
      <c r="H243" s="503" t="str">
        <f t="shared" si="23"/>
        <v/>
      </c>
      <c r="I243" s="49"/>
    </row>
    <row r="244" spans="2:9" ht="20.100000000000001" customHeight="1" x14ac:dyDescent="0.3">
      <c r="B244" s="198">
        <v>236</v>
      </c>
      <c r="C244" s="501" t="str">
        <f t="shared" si="19"/>
        <v/>
      </c>
      <c r="D244" s="502" t="str">
        <f t="shared" si="20"/>
        <v/>
      </c>
      <c r="E244" s="190" t="str">
        <f t="shared" si="21"/>
        <v/>
      </c>
      <c r="F244" s="196" t="str">
        <f t="shared" si="18"/>
        <v/>
      </c>
      <c r="G244" s="190" t="str">
        <f t="shared" si="22"/>
        <v/>
      </c>
      <c r="H244" s="503" t="str">
        <f t="shared" si="23"/>
        <v/>
      </c>
      <c r="I244" s="49"/>
    </row>
    <row r="245" spans="2:9" ht="20.100000000000001" customHeight="1" x14ac:dyDescent="0.3">
      <c r="B245" s="198">
        <v>237</v>
      </c>
      <c r="C245" s="501" t="str">
        <f t="shared" si="19"/>
        <v/>
      </c>
      <c r="D245" s="502" t="str">
        <f t="shared" si="20"/>
        <v/>
      </c>
      <c r="E245" s="190" t="str">
        <f t="shared" si="21"/>
        <v/>
      </c>
      <c r="F245" s="196" t="str">
        <f t="shared" si="18"/>
        <v/>
      </c>
      <c r="G245" s="190" t="str">
        <f t="shared" si="22"/>
        <v/>
      </c>
      <c r="H245" s="503" t="str">
        <f t="shared" si="23"/>
        <v/>
      </c>
      <c r="I245" s="49"/>
    </row>
    <row r="246" spans="2:9" ht="20.100000000000001" customHeight="1" x14ac:dyDescent="0.3">
      <c r="B246" s="198">
        <v>238</v>
      </c>
      <c r="C246" s="501" t="str">
        <f t="shared" si="19"/>
        <v/>
      </c>
      <c r="D246" s="502" t="str">
        <f t="shared" si="20"/>
        <v/>
      </c>
      <c r="E246" s="190" t="str">
        <f t="shared" si="21"/>
        <v/>
      </c>
      <c r="F246" s="196" t="str">
        <f t="shared" si="18"/>
        <v/>
      </c>
      <c r="G246" s="190" t="str">
        <f t="shared" si="22"/>
        <v/>
      </c>
      <c r="H246" s="503" t="str">
        <f t="shared" si="23"/>
        <v/>
      </c>
      <c r="I246" s="49"/>
    </row>
    <row r="247" spans="2:9" ht="20.100000000000001" customHeight="1" x14ac:dyDescent="0.3">
      <c r="B247" s="198">
        <v>239</v>
      </c>
      <c r="C247" s="501" t="str">
        <f t="shared" si="19"/>
        <v/>
      </c>
      <c r="D247" s="502" t="str">
        <f t="shared" si="20"/>
        <v/>
      </c>
      <c r="E247" s="190" t="str">
        <f t="shared" si="21"/>
        <v/>
      </c>
      <c r="F247" s="196" t="str">
        <f t="shared" si="18"/>
        <v/>
      </c>
      <c r="G247" s="190" t="str">
        <f t="shared" si="22"/>
        <v/>
      </c>
      <c r="H247" s="503" t="str">
        <f t="shared" si="23"/>
        <v/>
      </c>
      <c r="I247" s="49"/>
    </row>
    <row r="248" spans="2:9" ht="20.100000000000001" customHeight="1" x14ac:dyDescent="0.3">
      <c r="B248" s="198">
        <v>240</v>
      </c>
      <c r="C248" s="501" t="str">
        <f t="shared" si="19"/>
        <v/>
      </c>
      <c r="D248" s="502" t="str">
        <f t="shared" si="20"/>
        <v/>
      </c>
      <c r="E248" s="190" t="str">
        <f t="shared" si="21"/>
        <v/>
      </c>
      <c r="F248" s="196" t="str">
        <f t="shared" si="18"/>
        <v/>
      </c>
      <c r="G248" s="190" t="str">
        <f t="shared" si="22"/>
        <v/>
      </c>
      <c r="H248" s="503" t="str">
        <f t="shared" si="23"/>
        <v/>
      </c>
      <c r="I248" s="49"/>
    </row>
    <row r="249" spans="2:9" ht="20.100000000000001" customHeight="1" x14ac:dyDescent="0.3">
      <c r="B249" s="198">
        <v>241</v>
      </c>
      <c r="C249" s="501" t="str">
        <f t="shared" si="19"/>
        <v/>
      </c>
      <c r="D249" s="502" t="str">
        <f t="shared" si="20"/>
        <v/>
      </c>
      <c r="E249" s="190" t="str">
        <f t="shared" si="21"/>
        <v/>
      </c>
      <c r="F249" s="196" t="str">
        <f t="shared" si="18"/>
        <v/>
      </c>
      <c r="G249" s="190" t="str">
        <f t="shared" si="22"/>
        <v/>
      </c>
      <c r="H249" s="503" t="str">
        <f t="shared" si="23"/>
        <v/>
      </c>
      <c r="I249" s="49"/>
    </row>
    <row r="250" spans="2:9" ht="20.100000000000001" customHeight="1" x14ac:dyDescent="0.3">
      <c r="B250" s="198">
        <v>242</v>
      </c>
      <c r="C250" s="501" t="str">
        <f t="shared" si="19"/>
        <v/>
      </c>
      <c r="D250" s="502" t="str">
        <f t="shared" si="20"/>
        <v/>
      </c>
      <c r="E250" s="190" t="str">
        <f t="shared" si="21"/>
        <v/>
      </c>
      <c r="F250" s="196" t="str">
        <f t="shared" si="18"/>
        <v/>
      </c>
      <c r="G250" s="190" t="str">
        <f t="shared" si="22"/>
        <v/>
      </c>
      <c r="H250" s="503" t="str">
        <f t="shared" si="23"/>
        <v/>
      </c>
      <c r="I250" s="49"/>
    </row>
    <row r="251" spans="2:9" ht="20.100000000000001" customHeight="1" x14ac:dyDescent="0.3">
      <c r="B251" s="198">
        <v>243</v>
      </c>
      <c r="C251" s="501" t="str">
        <f t="shared" si="19"/>
        <v/>
      </c>
      <c r="D251" s="502" t="str">
        <f t="shared" si="20"/>
        <v/>
      </c>
      <c r="E251" s="190" t="str">
        <f t="shared" si="21"/>
        <v/>
      </c>
      <c r="F251" s="196" t="str">
        <f t="shared" si="18"/>
        <v/>
      </c>
      <c r="G251" s="190" t="str">
        <f t="shared" si="22"/>
        <v/>
      </c>
      <c r="H251" s="503" t="str">
        <f t="shared" si="23"/>
        <v/>
      </c>
      <c r="I251" s="49"/>
    </row>
    <row r="252" spans="2:9" ht="20.100000000000001" customHeight="1" x14ac:dyDescent="0.3">
      <c r="B252" s="198">
        <v>244</v>
      </c>
      <c r="C252" s="501" t="str">
        <f t="shared" si="19"/>
        <v/>
      </c>
      <c r="D252" s="502" t="str">
        <f t="shared" si="20"/>
        <v/>
      </c>
      <c r="E252" s="190" t="str">
        <f t="shared" si="21"/>
        <v/>
      </c>
      <c r="F252" s="196" t="str">
        <f t="shared" si="18"/>
        <v/>
      </c>
      <c r="G252" s="190" t="str">
        <f t="shared" si="22"/>
        <v/>
      </c>
      <c r="H252" s="503" t="str">
        <f t="shared" si="23"/>
        <v/>
      </c>
      <c r="I252" s="49"/>
    </row>
    <row r="253" spans="2:9" ht="20.100000000000001" customHeight="1" x14ac:dyDescent="0.3">
      <c r="B253" s="198">
        <v>245</v>
      </c>
      <c r="C253" s="501" t="str">
        <f t="shared" si="19"/>
        <v/>
      </c>
      <c r="D253" s="502" t="str">
        <f t="shared" si="20"/>
        <v/>
      </c>
      <c r="E253" s="190" t="str">
        <f t="shared" si="21"/>
        <v/>
      </c>
      <c r="F253" s="196" t="str">
        <f t="shared" si="18"/>
        <v/>
      </c>
      <c r="G253" s="190" t="str">
        <f t="shared" si="22"/>
        <v/>
      </c>
      <c r="H253" s="503" t="str">
        <f t="shared" si="23"/>
        <v/>
      </c>
      <c r="I253" s="49"/>
    </row>
    <row r="254" spans="2:9" ht="20.100000000000001" customHeight="1" x14ac:dyDescent="0.3">
      <c r="B254" s="198">
        <v>246</v>
      </c>
      <c r="C254" s="501" t="str">
        <f t="shared" si="19"/>
        <v/>
      </c>
      <c r="D254" s="502" t="str">
        <f t="shared" si="20"/>
        <v/>
      </c>
      <c r="E254" s="190" t="str">
        <f t="shared" si="21"/>
        <v/>
      </c>
      <c r="F254" s="196" t="str">
        <f t="shared" si="18"/>
        <v/>
      </c>
      <c r="G254" s="190" t="str">
        <f t="shared" si="22"/>
        <v/>
      </c>
      <c r="H254" s="503" t="str">
        <f t="shared" si="23"/>
        <v/>
      </c>
      <c r="I254" s="49"/>
    </row>
    <row r="255" spans="2:9" ht="20.100000000000001" customHeight="1" x14ac:dyDescent="0.3">
      <c r="B255" s="198">
        <v>247</v>
      </c>
      <c r="C255" s="501" t="str">
        <f t="shared" si="19"/>
        <v/>
      </c>
      <c r="D255" s="502" t="str">
        <f t="shared" si="20"/>
        <v/>
      </c>
      <c r="E255" s="190" t="str">
        <f t="shared" si="21"/>
        <v/>
      </c>
      <c r="F255" s="196" t="str">
        <f t="shared" si="18"/>
        <v/>
      </c>
      <c r="G255" s="190" t="str">
        <f t="shared" si="22"/>
        <v/>
      </c>
      <c r="H255" s="503" t="str">
        <f t="shared" si="23"/>
        <v/>
      </c>
      <c r="I255" s="49"/>
    </row>
    <row r="256" spans="2:9" ht="20.100000000000001" customHeight="1" x14ac:dyDescent="0.3">
      <c r="B256" s="198">
        <v>248</v>
      </c>
      <c r="C256" s="501" t="str">
        <f t="shared" si="19"/>
        <v/>
      </c>
      <c r="D256" s="502" t="str">
        <f t="shared" si="20"/>
        <v/>
      </c>
      <c r="E256" s="190" t="str">
        <f t="shared" si="21"/>
        <v/>
      </c>
      <c r="F256" s="196" t="str">
        <f t="shared" si="18"/>
        <v/>
      </c>
      <c r="G256" s="190" t="str">
        <f t="shared" si="22"/>
        <v/>
      </c>
      <c r="H256" s="503" t="str">
        <f t="shared" si="23"/>
        <v/>
      </c>
      <c r="I256" s="49"/>
    </row>
    <row r="257" spans="2:9" ht="20.100000000000001" customHeight="1" x14ac:dyDescent="0.3">
      <c r="B257" s="198">
        <v>249</v>
      </c>
      <c r="C257" s="501" t="str">
        <f t="shared" si="19"/>
        <v/>
      </c>
      <c r="D257" s="502" t="str">
        <f t="shared" si="20"/>
        <v/>
      </c>
      <c r="E257" s="190" t="str">
        <f t="shared" si="21"/>
        <v/>
      </c>
      <c r="F257" s="196" t="str">
        <f t="shared" si="18"/>
        <v/>
      </c>
      <c r="G257" s="190" t="str">
        <f t="shared" si="22"/>
        <v/>
      </c>
      <c r="H257" s="503" t="str">
        <f t="shared" si="23"/>
        <v/>
      </c>
      <c r="I257" s="49"/>
    </row>
    <row r="258" spans="2:9" ht="20.100000000000001" customHeight="1" x14ac:dyDescent="0.3">
      <c r="B258" s="198">
        <v>250</v>
      </c>
      <c r="C258" s="501" t="str">
        <f t="shared" si="19"/>
        <v/>
      </c>
      <c r="D258" s="502" t="str">
        <f t="shared" si="20"/>
        <v/>
      </c>
      <c r="E258" s="190" t="str">
        <f t="shared" si="21"/>
        <v/>
      </c>
      <c r="F258" s="196" t="str">
        <f t="shared" si="18"/>
        <v/>
      </c>
      <c r="G258" s="190" t="str">
        <f t="shared" si="22"/>
        <v/>
      </c>
      <c r="H258" s="503" t="str">
        <f t="shared" si="23"/>
        <v/>
      </c>
      <c r="I258" s="49"/>
    </row>
    <row r="259" spans="2:9" ht="20.100000000000001" customHeight="1" x14ac:dyDescent="0.3">
      <c r="B259" s="198">
        <v>251</v>
      </c>
      <c r="C259" s="501" t="str">
        <f t="shared" si="19"/>
        <v/>
      </c>
      <c r="D259" s="502" t="str">
        <f t="shared" si="20"/>
        <v/>
      </c>
      <c r="E259" s="190" t="str">
        <f t="shared" si="21"/>
        <v/>
      </c>
      <c r="F259" s="196" t="str">
        <f t="shared" si="18"/>
        <v/>
      </c>
      <c r="G259" s="190" t="str">
        <f t="shared" si="22"/>
        <v/>
      </c>
      <c r="H259" s="503" t="str">
        <f t="shared" si="23"/>
        <v/>
      </c>
      <c r="I259" s="49"/>
    </row>
    <row r="260" spans="2:9" ht="20.100000000000001" customHeight="1" x14ac:dyDescent="0.3">
      <c r="B260" s="198">
        <v>252</v>
      </c>
      <c r="C260" s="501" t="str">
        <f t="shared" si="19"/>
        <v/>
      </c>
      <c r="D260" s="502" t="str">
        <f t="shared" si="20"/>
        <v/>
      </c>
      <c r="E260" s="190" t="str">
        <f t="shared" si="21"/>
        <v/>
      </c>
      <c r="F260" s="196" t="str">
        <f t="shared" si="18"/>
        <v/>
      </c>
      <c r="G260" s="190" t="str">
        <f t="shared" si="22"/>
        <v/>
      </c>
      <c r="H260" s="503" t="str">
        <f t="shared" si="23"/>
        <v/>
      </c>
      <c r="I260" s="49"/>
    </row>
    <row r="261" spans="2:9" ht="20.100000000000001" customHeight="1" x14ac:dyDescent="0.3">
      <c r="B261" s="198">
        <v>253</v>
      </c>
      <c r="C261" s="501" t="str">
        <f t="shared" si="19"/>
        <v/>
      </c>
      <c r="D261" s="502" t="str">
        <f t="shared" si="20"/>
        <v/>
      </c>
      <c r="E261" s="190" t="str">
        <f t="shared" si="21"/>
        <v/>
      </c>
      <c r="F261" s="196" t="str">
        <f t="shared" si="18"/>
        <v/>
      </c>
      <c r="G261" s="190" t="str">
        <f t="shared" si="22"/>
        <v/>
      </c>
      <c r="H261" s="503" t="str">
        <f t="shared" si="23"/>
        <v/>
      </c>
      <c r="I261" s="49"/>
    </row>
    <row r="262" spans="2:9" ht="20.100000000000001" customHeight="1" x14ac:dyDescent="0.3">
      <c r="B262" s="198">
        <v>254</v>
      </c>
      <c r="C262" s="501" t="str">
        <f t="shared" si="19"/>
        <v/>
      </c>
      <c r="D262" s="502" t="str">
        <f t="shared" si="20"/>
        <v/>
      </c>
      <c r="E262" s="190" t="str">
        <f t="shared" si="21"/>
        <v/>
      </c>
      <c r="F262" s="196" t="str">
        <f t="shared" si="18"/>
        <v/>
      </c>
      <c r="G262" s="190" t="str">
        <f t="shared" si="22"/>
        <v/>
      </c>
      <c r="H262" s="503" t="str">
        <f t="shared" si="23"/>
        <v/>
      </c>
      <c r="I262" s="49"/>
    </row>
    <row r="263" spans="2:9" ht="20.100000000000001" customHeight="1" x14ac:dyDescent="0.3">
      <c r="B263" s="198">
        <v>255</v>
      </c>
      <c r="C263" s="501" t="str">
        <f t="shared" si="19"/>
        <v/>
      </c>
      <c r="D263" s="502" t="str">
        <f t="shared" si="20"/>
        <v/>
      </c>
      <c r="E263" s="190" t="str">
        <f t="shared" si="21"/>
        <v/>
      </c>
      <c r="F263" s="196" t="str">
        <f t="shared" si="18"/>
        <v/>
      </c>
      <c r="G263" s="190" t="str">
        <f t="shared" si="22"/>
        <v/>
      </c>
      <c r="H263" s="503" t="str">
        <f t="shared" si="23"/>
        <v/>
      </c>
      <c r="I263" s="49"/>
    </row>
    <row r="264" spans="2:9" ht="20.100000000000001" customHeight="1" x14ac:dyDescent="0.3">
      <c r="B264" s="198">
        <v>256</v>
      </c>
      <c r="C264" s="501" t="str">
        <f t="shared" si="19"/>
        <v/>
      </c>
      <c r="D264" s="502" t="str">
        <f t="shared" si="20"/>
        <v/>
      </c>
      <c r="E264" s="190" t="str">
        <f t="shared" si="21"/>
        <v/>
      </c>
      <c r="F264" s="196" t="str">
        <f t="shared" si="18"/>
        <v/>
      </c>
      <c r="G264" s="190" t="str">
        <f t="shared" si="22"/>
        <v/>
      </c>
      <c r="H264" s="503" t="str">
        <f t="shared" si="23"/>
        <v/>
      </c>
      <c r="I264" s="49"/>
    </row>
    <row r="265" spans="2:9" ht="20.100000000000001" customHeight="1" x14ac:dyDescent="0.3">
      <c r="B265" s="198">
        <v>257</v>
      </c>
      <c r="C265" s="501" t="str">
        <f t="shared" si="19"/>
        <v/>
      </c>
      <c r="D265" s="502" t="str">
        <f t="shared" si="20"/>
        <v/>
      </c>
      <c r="E265" s="190" t="str">
        <f t="shared" si="21"/>
        <v/>
      </c>
      <c r="F265" s="196" t="str">
        <f t="shared" si="18"/>
        <v/>
      </c>
      <c r="G265" s="190" t="str">
        <f t="shared" si="22"/>
        <v/>
      </c>
      <c r="H265" s="503" t="str">
        <f t="shared" si="23"/>
        <v/>
      </c>
      <c r="I265" s="49"/>
    </row>
    <row r="266" spans="2:9" ht="20.100000000000001" customHeight="1" x14ac:dyDescent="0.3">
      <c r="B266" s="198">
        <v>258</v>
      </c>
      <c r="C266" s="501" t="str">
        <f t="shared" si="19"/>
        <v/>
      </c>
      <c r="D266" s="502" t="str">
        <f t="shared" si="20"/>
        <v/>
      </c>
      <c r="E266" s="190" t="str">
        <f t="shared" si="21"/>
        <v/>
      </c>
      <c r="F266" s="196" t="str">
        <f t="shared" ref="F266:F329" si="24">IF($H$4="","",IF($F$4="원리금균등상환",IFERROR(D266+E266,""),IF($F$4="원금균등상환",D266+E266,"")))</f>
        <v/>
      </c>
      <c r="G266" s="190" t="str">
        <f t="shared" si="22"/>
        <v/>
      </c>
      <c r="H266" s="503" t="str">
        <f t="shared" si="23"/>
        <v/>
      </c>
      <c r="I266" s="49"/>
    </row>
    <row r="267" spans="2:9" ht="20.100000000000001" customHeight="1" x14ac:dyDescent="0.3">
      <c r="B267" s="198">
        <v>259</v>
      </c>
      <c r="C267" s="501" t="str">
        <f t="shared" ref="C267:C330" si="25">IF($H$4="","",IF(B267&gt;($B$6),"",IF(B267&lt;=($B$6),DATE(YEAR($G$4),MONTH($G$4)+B266,DAY($G$4)),"")))</f>
        <v/>
      </c>
      <c r="D267" s="502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190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196" t="str">
        <f t="shared" si="24"/>
        <v/>
      </c>
      <c r="G267" s="190" t="str">
        <f t="shared" ref="G267:G330" si="28">IFERROR(IF(B267&gt;(($D$6+$B$6)*12),"",IF(B267=1,D267,D267+G266)),"")</f>
        <v/>
      </c>
      <c r="H267" s="503" t="str">
        <f t="shared" ref="H267:H330" si="29">IFERROR(IF($H$4="","",H266-D267),"")</f>
        <v/>
      </c>
      <c r="I267" s="49"/>
    </row>
    <row r="268" spans="2:9" ht="20.100000000000001" customHeight="1" x14ac:dyDescent="0.3">
      <c r="B268" s="198">
        <v>260</v>
      </c>
      <c r="C268" s="501" t="str">
        <f t="shared" si="25"/>
        <v/>
      </c>
      <c r="D268" s="502" t="str">
        <f t="shared" si="26"/>
        <v/>
      </c>
      <c r="E268" s="190" t="str">
        <f t="shared" si="27"/>
        <v/>
      </c>
      <c r="F268" s="196" t="str">
        <f t="shared" si="24"/>
        <v/>
      </c>
      <c r="G268" s="190" t="str">
        <f t="shared" si="28"/>
        <v/>
      </c>
      <c r="H268" s="503" t="str">
        <f t="shared" si="29"/>
        <v/>
      </c>
      <c r="I268" s="49"/>
    </row>
    <row r="269" spans="2:9" ht="20.100000000000001" customHeight="1" x14ac:dyDescent="0.3">
      <c r="B269" s="198">
        <v>261</v>
      </c>
      <c r="C269" s="501" t="str">
        <f t="shared" si="25"/>
        <v/>
      </c>
      <c r="D269" s="502" t="str">
        <f t="shared" si="26"/>
        <v/>
      </c>
      <c r="E269" s="190" t="str">
        <f t="shared" si="27"/>
        <v/>
      </c>
      <c r="F269" s="196" t="str">
        <f t="shared" si="24"/>
        <v/>
      </c>
      <c r="G269" s="190" t="str">
        <f t="shared" si="28"/>
        <v/>
      </c>
      <c r="H269" s="503" t="str">
        <f t="shared" si="29"/>
        <v/>
      </c>
      <c r="I269" s="49"/>
    </row>
    <row r="270" spans="2:9" ht="20.100000000000001" customHeight="1" x14ac:dyDescent="0.3">
      <c r="B270" s="198">
        <v>262</v>
      </c>
      <c r="C270" s="501" t="str">
        <f t="shared" si="25"/>
        <v/>
      </c>
      <c r="D270" s="502" t="str">
        <f t="shared" si="26"/>
        <v/>
      </c>
      <c r="E270" s="190" t="str">
        <f t="shared" si="27"/>
        <v/>
      </c>
      <c r="F270" s="196" t="str">
        <f t="shared" si="24"/>
        <v/>
      </c>
      <c r="G270" s="190" t="str">
        <f t="shared" si="28"/>
        <v/>
      </c>
      <c r="H270" s="503" t="str">
        <f t="shared" si="29"/>
        <v/>
      </c>
      <c r="I270" s="49"/>
    </row>
    <row r="271" spans="2:9" ht="20.100000000000001" customHeight="1" x14ac:dyDescent="0.3">
      <c r="B271" s="198">
        <v>263</v>
      </c>
      <c r="C271" s="501" t="str">
        <f t="shared" si="25"/>
        <v/>
      </c>
      <c r="D271" s="502" t="str">
        <f t="shared" si="26"/>
        <v/>
      </c>
      <c r="E271" s="190" t="str">
        <f t="shared" si="27"/>
        <v/>
      </c>
      <c r="F271" s="196" t="str">
        <f t="shared" si="24"/>
        <v/>
      </c>
      <c r="G271" s="190" t="str">
        <f t="shared" si="28"/>
        <v/>
      </c>
      <c r="H271" s="503" t="str">
        <f t="shared" si="29"/>
        <v/>
      </c>
      <c r="I271" s="49"/>
    </row>
    <row r="272" spans="2:9" ht="20.100000000000001" customHeight="1" x14ac:dyDescent="0.3">
      <c r="B272" s="198">
        <v>264</v>
      </c>
      <c r="C272" s="501" t="str">
        <f t="shared" si="25"/>
        <v/>
      </c>
      <c r="D272" s="502" t="str">
        <f t="shared" si="26"/>
        <v/>
      </c>
      <c r="E272" s="190" t="str">
        <f t="shared" si="27"/>
        <v/>
      </c>
      <c r="F272" s="196" t="str">
        <f t="shared" si="24"/>
        <v/>
      </c>
      <c r="G272" s="190" t="str">
        <f t="shared" si="28"/>
        <v/>
      </c>
      <c r="H272" s="503" t="str">
        <f t="shared" si="29"/>
        <v/>
      </c>
      <c r="I272" s="49"/>
    </row>
    <row r="273" spans="2:9" ht="20.100000000000001" customHeight="1" x14ac:dyDescent="0.3">
      <c r="B273" s="198">
        <v>265</v>
      </c>
      <c r="C273" s="501" t="str">
        <f t="shared" si="25"/>
        <v/>
      </c>
      <c r="D273" s="502" t="str">
        <f t="shared" si="26"/>
        <v/>
      </c>
      <c r="E273" s="190" t="str">
        <f t="shared" si="27"/>
        <v/>
      </c>
      <c r="F273" s="196" t="str">
        <f t="shared" si="24"/>
        <v/>
      </c>
      <c r="G273" s="190" t="str">
        <f t="shared" si="28"/>
        <v/>
      </c>
      <c r="H273" s="503" t="str">
        <f t="shared" si="29"/>
        <v/>
      </c>
      <c r="I273" s="49"/>
    </row>
    <row r="274" spans="2:9" ht="20.100000000000001" customHeight="1" x14ac:dyDescent="0.3">
      <c r="B274" s="198">
        <v>266</v>
      </c>
      <c r="C274" s="501" t="str">
        <f t="shared" si="25"/>
        <v/>
      </c>
      <c r="D274" s="502" t="str">
        <f t="shared" si="26"/>
        <v/>
      </c>
      <c r="E274" s="190" t="str">
        <f t="shared" si="27"/>
        <v/>
      </c>
      <c r="F274" s="196" t="str">
        <f t="shared" si="24"/>
        <v/>
      </c>
      <c r="G274" s="190" t="str">
        <f t="shared" si="28"/>
        <v/>
      </c>
      <c r="H274" s="503" t="str">
        <f t="shared" si="29"/>
        <v/>
      </c>
      <c r="I274" s="49"/>
    </row>
    <row r="275" spans="2:9" ht="20.100000000000001" customHeight="1" x14ac:dyDescent="0.3">
      <c r="B275" s="198">
        <v>267</v>
      </c>
      <c r="C275" s="501" t="str">
        <f t="shared" si="25"/>
        <v/>
      </c>
      <c r="D275" s="502" t="str">
        <f t="shared" si="26"/>
        <v/>
      </c>
      <c r="E275" s="190" t="str">
        <f t="shared" si="27"/>
        <v/>
      </c>
      <c r="F275" s="196" t="str">
        <f t="shared" si="24"/>
        <v/>
      </c>
      <c r="G275" s="190" t="str">
        <f t="shared" si="28"/>
        <v/>
      </c>
      <c r="H275" s="503" t="str">
        <f t="shared" si="29"/>
        <v/>
      </c>
      <c r="I275" s="49"/>
    </row>
    <row r="276" spans="2:9" ht="20.100000000000001" customHeight="1" x14ac:dyDescent="0.3">
      <c r="B276" s="198">
        <v>268</v>
      </c>
      <c r="C276" s="501" t="str">
        <f t="shared" si="25"/>
        <v/>
      </c>
      <c r="D276" s="502" t="str">
        <f t="shared" si="26"/>
        <v/>
      </c>
      <c r="E276" s="190" t="str">
        <f t="shared" si="27"/>
        <v/>
      </c>
      <c r="F276" s="196" t="str">
        <f t="shared" si="24"/>
        <v/>
      </c>
      <c r="G276" s="190" t="str">
        <f t="shared" si="28"/>
        <v/>
      </c>
      <c r="H276" s="503" t="str">
        <f t="shared" si="29"/>
        <v/>
      </c>
      <c r="I276" s="49"/>
    </row>
    <row r="277" spans="2:9" ht="20.100000000000001" customHeight="1" x14ac:dyDescent="0.3">
      <c r="B277" s="198">
        <v>269</v>
      </c>
      <c r="C277" s="501" t="str">
        <f t="shared" si="25"/>
        <v/>
      </c>
      <c r="D277" s="502" t="str">
        <f t="shared" si="26"/>
        <v/>
      </c>
      <c r="E277" s="190" t="str">
        <f t="shared" si="27"/>
        <v/>
      </c>
      <c r="F277" s="196" t="str">
        <f t="shared" si="24"/>
        <v/>
      </c>
      <c r="G277" s="190" t="str">
        <f t="shared" si="28"/>
        <v/>
      </c>
      <c r="H277" s="503" t="str">
        <f t="shared" si="29"/>
        <v/>
      </c>
      <c r="I277" s="49"/>
    </row>
    <row r="278" spans="2:9" ht="20.100000000000001" customHeight="1" x14ac:dyDescent="0.3">
      <c r="B278" s="198">
        <v>270</v>
      </c>
      <c r="C278" s="501" t="str">
        <f t="shared" si="25"/>
        <v/>
      </c>
      <c r="D278" s="502" t="str">
        <f t="shared" si="26"/>
        <v/>
      </c>
      <c r="E278" s="190" t="str">
        <f t="shared" si="27"/>
        <v/>
      </c>
      <c r="F278" s="196" t="str">
        <f t="shared" si="24"/>
        <v/>
      </c>
      <c r="G278" s="190" t="str">
        <f t="shared" si="28"/>
        <v/>
      </c>
      <c r="H278" s="503" t="str">
        <f t="shared" si="29"/>
        <v/>
      </c>
      <c r="I278" s="49"/>
    </row>
    <row r="279" spans="2:9" ht="20.100000000000001" customHeight="1" x14ac:dyDescent="0.3">
      <c r="B279" s="198">
        <v>271</v>
      </c>
      <c r="C279" s="501" t="str">
        <f t="shared" si="25"/>
        <v/>
      </c>
      <c r="D279" s="502" t="str">
        <f t="shared" si="26"/>
        <v/>
      </c>
      <c r="E279" s="190" t="str">
        <f t="shared" si="27"/>
        <v/>
      </c>
      <c r="F279" s="196" t="str">
        <f t="shared" si="24"/>
        <v/>
      </c>
      <c r="G279" s="190" t="str">
        <f t="shared" si="28"/>
        <v/>
      </c>
      <c r="H279" s="503" t="str">
        <f t="shared" si="29"/>
        <v/>
      </c>
      <c r="I279" s="49"/>
    </row>
    <row r="280" spans="2:9" ht="20.100000000000001" customHeight="1" x14ac:dyDescent="0.3">
      <c r="B280" s="198">
        <v>272</v>
      </c>
      <c r="C280" s="501" t="str">
        <f t="shared" si="25"/>
        <v/>
      </c>
      <c r="D280" s="502" t="str">
        <f t="shared" si="26"/>
        <v/>
      </c>
      <c r="E280" s="190" t="str">
        <f t="shared" si="27"/>
        <v/>
      </c>
      <c r="F280" s="196" t="str">
        <f t="shared" si="24"/>
        <v/>
      </c>
      <c r="G280" s="190" t="str">
        <f t="shared" si="28"/>
        <v/>
      </c>
      <c r="H280" s="503" t="str">
        <f t="shared" si="29"/>
        <v/>
      </c>
      <c r="I280" s="49"/>
    </row>
    <row r="281" spans="2:9" ht="20.100000000000001" customHeight="1" x14ac:dyDescent="0.3">
      <c r="B281" s="198">
        <v>273</v>
      </c>
      <c r="C281" s="501" t="str">
        <f t="shared" si="25"/>
        <v/>
      </c>
      <c r="D281" s="502" t="str">
        <f t="shared" si="26"/>
        <v/>
      </c>
      <c r="E281" s="190" t="str">
        <f t="shared" si="27"/>
        <v/>
      </c>
      <c r="F281" s="196" t="str">
        <f t="shared" si="24"/>
        <v/>
      </c>
      <c r="G281" s="190" t="str">
        <f t="shared" si="28"/>
        <v/>
      </c>
      <c r="H281" s="503" t="str">
        <f t="shared" si="29"/>
        <v/>
      </c>
      <c r="I281" s="49"/>
    </row>
    <row r="282" spans="2:9" ht="20.100000000000001" customHeight="1" x14ac:dyDescent="0.3">
      <c r="B282" s="198">
        <v>274</v>
      </c>
      <c r="C282" s="501" t="str">
        <f t="shared" si="25"/>
        <v/>
      </c>
      <c r="D282" s="502" t="str">
        <f t="shared" si="26"/>
        <v/>
      </c>
      <c r="E282" s="190" t="str">
        <f t="shared" si="27"/>
        <v/>
      </c>
      <c r="F282" s="196" t="str">
        <f t="shared" si="24"/>
        <v/>
      </c>
      <c r="G282" s="190" t="str">
        <f t="shared" si="28"/>
        <v/>
      </c>
      <c r="H282" s="503" t="str">
        <f t="shared" si="29"/>
        <v/>
      </c>
      <c r="I282" s="49"/>
    </row>
    <row r="283" spans="2:9" ht="20.100000000000001" customHeight="1" x14ac:dyDescent="0.3">
      <c r="B283" s="198">
        <v>275</v>
      </c>
      <c r="C283" s="501" t="str">
        <f t="shared" si="25"/>
        <v/>
      </c>
      <c r="D283" s="502" t="str">
        <f t="shared" si="26"/>
        <v/>
      </c>
      <c r="E283" s="190" t="str">
        <f t="shared" si="27"/>
        <v/>
      </c>
      <c r="F283" s="196" t="str">
        <f t="shared" si="24"/>
        <v/>
      </c>
      <c r="G283" s="190" t="str">
        <f t="shared" si="28"/>
        <v/>
      </c>
      <c r="H283" s="503" t="str">
        <f t="shared" si="29"/>
        <v/>
      </c>
      <c r="I283" s="49"/>
    </row>
    <row r="284" spans="2:9" ht="20.100000000000001" customHeight="1" x14ac:dyDescent="0.3">
      <c r="B284" s="198">
        <v>276</v>
      </c>
      <c r="C284" s="501" t="str">
        <f t="shared" si="25"/>
        <v/>
      </c>
      <c r="D284" s="502" t="str">
        <f t="shared" si="26"/>
        <v/>
      </c>
      <c r="E284" s="190" t="str">
        <f t="shared" si="27"/>
        <v/>
      </c>
      <c r="F284" s="196" t="str">
        <f t="shared" si="24"/>
        <v/>
      </c>
      <c r="G284" s="190" t="str">
        <f t="shared" si="28"/>
        <v/>
      </c>
      <c r="H284" s="503" t="str">
        <f t="shared" si="29"/>
        <v/>
      </c>
      <c r="I284" s="49"/>
    </row>
    <row r="285" spans="2:9" ht="20.100000000000001" customHeight="1" x14ac:dyDescent="0.3">
      <c r="B285" s="198">
        <v>277</v>
      </c>
      <c r="C285" s="501" t="str">
        <f t="shared" si="25"/>
        <v/>
      </c>
      <c r="D285" s="502" t="str">
        <f t="shared" si="26"/>
        <v/>
      </c>
      <c r="E285" s="190" t="str">
        <f t="shared" si="27"/>
        <v/>
      </c>
      <c r="F285" s="196" t="str">
        <f t="shared" si="24"/>
        <v/>
      </c>
      <c r="G285" s="190" t="str">
        <f t="shared" si="28"/>
        <v/>
      </c>
      <c r="H285" s="503" t="str">
        <f t="shared" si="29"/>
        <v/>
      </c>
      <c r="I285" s="49"/>
    </row>
    <row r="286" spans="2:9" ht="20.100000000000001" customHeight="1" x14ac:dyDescent="0.3">
      <c r="B286" s="198">
        <v>278</v>
      </c>
      <c r="C286" s="501" t="str">
        <f t="shared" si="25"/>
        <v/>
      </c>
      <c r="D286" s="502" t="str">
        <f t="shared" si="26"/>
        <v/>
      </c>
      <c r="E286" s="190" t="str">
        <f t="shared" si="27"/>
        <v/>
      </c>
      <c r="F286" s="196" t="str">
        <f t="shared" si="24"/>
        <v/>
      </c>
      <c r="G286" s="190" t="str">
        <f t="shared" si="28"/>
        <v/>
      </c>
      <c r="H286" s="503" t="str">
        <f t="shared" si="29"/>
        <v/>
      </c>
      <c r="I286" s="49"/>
    </row>
    <row r="287" spans="2:9" ht="20.100000000000001" customHeight="1" x14ac:dyDescent="0.3">
      <c r="B287" s="198">
        <v>279</v>
      </c>
      <c r="C287" s="501" t="str">
        <f t="shared" si="25"/>
        <v/>
      </c>
      <c r="D287" s="502" t="str">
        <f t="shared" si="26"/>
        <v/>
      </c>
      <c r="E287" s="190" t="str">
        <f t="shared" si="27"/>
        <v/>
      </c>
      <c r="F287" s="196" t="str">
        <f t="shared" si="24"/>
        <v/>
      </c>
      <c r="G287" s="190" t="str">
        <f t="shared" si="28"/>
        <v/>
      </c>
      <c r="H287" s="503" t="str">
        <f t="shared" si="29"/>
        <v/>
      </c>
      <c r="I287" s="49"/>
    </row>
    <row r="288" spans="2:9" ht="20.100000000000001" customHeight="1" x14ac:dyDescent="0.3">
      <c r="B288" s="198">
        <v>280</v>
      </c>
      <c r="C288" s="501" t="str">
        <f t="shared" si="25"/>
        <v/>
      </c>
      <c r="D288" s="502" t="str">
        <f t="shared" si="26"/>
        <v/>
      </c>
      <c r="E288" s="190" t="str">
        <f t="shared" si="27"/>
        <v/>
      </c>
      <c r="F288" s="196" t="str">
        <f t="shared" si="24"/>
        <v/>
      </c>
      <c r="G288" s="190" t="str">
        <f t="shared" si="28"/>
        <v/>
      </c>
      <c r="H288" s="503" t="str">
        <f t="shared" si="29"/>
        <v/>
      </c>
      <c r="I288" s="49"/>
    </row>
    <row r="289" spans="2:9" ht="20.100000000000001" customHeight="1" x14ac:dyDescent="0.3">
      <c r="B289" s="198">
        <v>281</v>
      </c>
      <c r="C289" s="501" t="str">
        <f t="shared" si="25"/>
        <v/>
      </c>
      <c r="D289" s="502" t="str">
        <f t="shared" si="26"/>
        <v/>
      </c>
      <c r="E289" s="190" t="str">
        <f t="shared" si="27"/>
        <v/>
      </c>
      <c r="F289" s="196" t="str">
        <f t="shared" si="24"/>
        <v/>
      </c>
      <c r="G289" s="190" t="str">
        <f t="shared" si="28"/>
        <v/>
      </c>
      <c r="H289" s="503" t="str">
        <f t="shared" si="29"/>
        <v/>
      </c>
      <c r="I289" s="49"/>
    </row>
    <row r="290" spans="2:9" ht="20.100000000000001" customHeight="1" x14ac:dyDescent="0.3">
      <c r="B290" s="198">
        <v>282</v>
      </c>
      <c r="C290" s="501" t="str">
        <f t="shared" si="25"/>
        <v/>
      </c>
      <c r="D290" s="502" t="str">
        <f t="shared" si="26"/>
        <v/>
      </c>
      <c r="E290" s="190" t="str">
        <f t="shared" si="27"/>
        <v/>
      </c>
      <c r="F290" s="196" t="str">
        <f t="shared" si="24"/>
        <v/>
      </c>
      <c r="G290" s="190" t="str">
        <f t="shared" si="28"/>
        <v/>
      </c>
      <c r="H290" s="503" t="str">
        <f t="shared" si="29"/>
        <v/>
      </c>
      <c r="I290" s="49"/>
    </row>
    <row r="291" spans="2:9" ht="20.100000000000001" customHeight="1" x14ac:dyDescent="0.3">
      <c r="B291" s="198">
        <v>283</v>
      </c>
      <c r="C291" s="501" t="str">
        <f t="shared" si="25"/>
        <v/>
      </c>
      <c r="D291" s="502" t="str">
        <f t="shared" si="26"/>
        <v/>
      </c>
      <c r="E291" s="190" t="str">
        <f t="shared" si="27"/>
        <v/>
      </c>
      <c r="F291" s="196" t="str">
        <f t="shared" si="24"/>
        <v/>
      </c>
      <c r="G291" s="190" t="str">
        <f t="shared" si="28"/>
        <v/>
      </c>
      <c r="H291" s="503" t="str">
        <f t="shared" si="29"/>
        <v/>
      </c>
      <c r="I291" s="49"/>
    </row>
    <row r="292" spans="2:9" ht="20.100000000000001" customHeight="1" x14ac:dyDescent="0.3">
      <c r="B292" s="198">
        <v>284</v>
      </c>
      <c r="C292" s="501" t="str">
        <f t="shared" si="25"/>
        <v/>
      </c>
      <c r="D292" s="502" t="str">
        <f t="shared" si="26"/>
        <v/>
      </c>
      <c r="E292" s="190" t="str">
        <f t="shared" si="27"/>
        <v/>
      </c>
      <c r="F292" s="196" t="str">
        <f t="shared" si="24"/>
        <v/>
      </c>
      <c r="G292" s="190" t="str">
        <f t="shared" si="28"/>
        <v/>
      </c>
      <c r="H292" s="503" t="str">
        <f t="shared" si="29"/>
        <v/>
      </c>
      <c r="I292" s="49"/>
    </row>
    <row r="293" spans="2:9" ht="20.100000000000001" customHeight="1" x14ac:dyDescent="0.3">
      <c r="B293" s="198">
        <v>285</v>
      </c>
      <c r="C293" s="501" t="str">
        <f t="shared" si="25"/>
        <v/>
      </c>
      <c r="D293" s="502" t="str">
        <f t="shared" si="26"/>
        <v/>
      </c>
      <c r="E293" s="190" t="str">
        <f t="shared" si="27"/>
        <v/>
      </c>
      <c r="F293" s="196" t="str">
        <f t="shared" si="24"/>
        <v/>
      </c>
      <c r="G293" s="190" t="str">
        <f t="shared" si="28"/>
        <v/>
      </c>
      <c r="H293" s="503" t="str">
        <f t="shared" si="29"/>
        <v/>
      </c>
      <c r="I293" s="49"/>
    </row>
    <row r="294" spans="2:9" ht="20.100000000000001" customHeight="1" x14ac:dyDescent="0.3">
      <c r="B294" s="198">
        <v>286</v>
      </c>
      <c r="C294" s="501" t="str">
        <f t="shared" si="25"/>
        <v/>
      </c>
      <c r="D294" s="502" t="str">
        <f t="shared" si="26"/>
        <v/>
      </c>
      <c r="E294" s="190" t="str">
        <f t="shared" si="27"/>
        <v/>
      </c>
      <c r="F294" s="196" t="str">
        <f t="shared" si="24"/>
        <v/>
      </c>
      <c r="G294" s="190" t="str">
        <f t="shared" si="28"/>
        <v/>
      </c>
      <c r="H294" s="503" t="str">
        <f t="shared" si="29"/>
        <v/>
      </c>
      <c r="I294" s="49"/>
    </row>
    <row r="295" spans="2:9" ht="20.100000000000001" customHeight="1" x14ac:dyDescent="0.3">
      <c r="B295" s="198">
        <v>287</v>
      </c>
      <c r="C295" s="501" t="str">
        <f t="shared" si="25"/>
        <v/>
      </c>
      <c r="D295" s="502" t="str">
        <f t="shared" si="26"/>
        <v/>
      </c>
      <c r="E295" s="190" t="str">
        <f t="shared" si="27"/>
        <v/>
      </c>
      <c r="F295" s="196" t="str">
        <f t="shared" si="24"/>
        <v/>
      </c>
      <c r="G295" s="190" t="str">
        <f t="shared" si="28"/>
        <v/>
      </c>
      <c r="H295" s="503" t="str">
        <f t="shared" si="29"/>
        <v/>
      </c>
      <c r="I295" s="49"/>
    </row>
    <row r="296" spans="2:9" ht="20.100000000000001" customHeight="1" x14ac:dyDescent="0.3">
      <c r="B296" s="198">
        <v>288</v>
      </c>
      <c r="C296" s="501" t="str">
        <f t="shared" si="25"/>
        <v/>
      </c>
      <c r="D296" s="502" t="str">
        <f t="shared" si="26"/>
        <v/>
      </c>
      <c r="E296" s="190" t="str">
        <f t="shared" si="27"/>
        <v/>
      </c>
      <c r="F296" s="196" t="str">
        <f t="shared" si="24"/>
        <v/>
      </c>
      <c r="G296" s="190" t="str">
        <f t="shared" si="28"/>
        <v/>
      </c>
      <c r="H296" s="503" t="str">
        <f t="shared" si="29"/>
        <v/>
      </c>
      <c r="I296" s="49"/>
    </row>
    <row r="297" spans="2:9" ht="20.100000000000001" customHeight="1" x14ac:dyDescent="0.3">
      <c r="B297" s="198">
        <v>289</v>
      </c>
      <c r="C297" s="501" t="str">
        <f t="shared" si="25"/>
        <v/>
      </c>
      <c r="D297" s="502" t="str">
        <f t="shared" si="26"/>
        <v/>
      </c>
      <c r="E297" s="190" t="str">
        <f t="shared" si="27"/>
        <v/>
      </c>
      <c r="F297" s="196" t="str">
        <f t="shared" si="24"/>
        <v/>
      </c>
      <c r="G297" s="190" t="str">
        <f t="shared" si="28"/>
        <v/>
      </c>
      <c r="H297" s="503" t="str">
        <f t="shared" si="29"/>
        <v/>
      </c>
      <c r="I297" s="49"/>
    </row>
    <row r="298" spans="2:9" ht="20.100000000000001" customHeight="1" x14ac:dyDescent="0.3">
      <c r="B298" s="198">
        <v>290</v>
      </c>
      <c r="C298" s="501" t="str">
        <f t="shared" si="25"/>
        <v/>
      </c>
      <c r="D298" s="502" t="str">
        <f t="shared" si="26"/>
        <v/>
      </c>
      <c r="E298" s="190" t="str">
        <f t="shared" si="27"/>
        <v/>
      </c>
      <c r="F298" s="196" t="str">
        <f t="shared" si="24"/>
        <v/>
      </c>
      <c r="G298" s="190" t="str">
        <f t="shared" si="28"/>
        <v/>
      </c>
      <c r="H298" s="503" t="str">
        <f t="shared" si="29"/>
        <v/>
      </c>
      <c r="I298" s="49"/>
    </row>
    <row r="299" spans="2:9" ht="20.100000000000001" customHeight="1" x14ac:dyDescent="0.3">
      <c r="B299" s="198">
        <v>291</v>
      </c>
      <c r="C299" s="501" t="str">
        <f t="shared" si="25"/>
        <v/>
      </c>
      <c r="D299" s="502" t="str">
        <f t="shared" si="26"/>
        <v/>
      </c>
      <c r="E299" s="190" t="str">
        <f t="shared" si="27"/>
        <v/>
      </c>
      <c r="F299" s="196" t="str">
        <f t="shared" si="24"/>
        <v/>
      </c>
      <c r="G299" s="190" t="str">
        <f t="shared" si="28"/>
        <v/>
      </c>
      <c r="H299" s="503" t="str">
        <f t="shared" si="29"/>
        <v/>
      </c>
      <c r="I299" s="49"/>
    </row>
    <row r="300" spans="2:9" ht="20.100000000000001" customHeight="1" x14ac:dyDescent="0.3">
      <c r="B300" s="198">
        <v>292</v>
      </c>
      <c r="C300" s="501" t="str">
        <f t="shared" si="25"/>
        <v/>
      </c>
      <c r="D300" s="502" t="str">
        <f t="shared" si="26"/>
        <v/>
      </c>
      <c r="E300" s="190" t="str">
        <f t="shared" si="27"/>
        <v/>
      </c>
      <c r="F300" s="196" t="str">
        <f t="shared" si="24"/>
        <v/>
      </c>
      <c r="G300" s="190" t="str">
        <f t="shared" si="28"/>
        <v/>
      </c>
      <c r="H300" s="503" t="str">
        <f t="shared" si="29"/>
        <v/>
      </c>
      <c r="I300" s="49"/>
    </row>
    <row r="301" spans="2:9" ht="20.100000000000001" customHeight="1" x14ac:dyDescent="0.3">
      <c r="B301" s="198">
        <v>293</v>
      </c>
      <c r="C301" s="501" t="str">
        <f t="shared" si="25"/>
        <v/>
      </c>
      <c r="D301" s="502" t="str">
        <f t="shared" si="26"/>
        <v/>
      </c>
      <c r="E301" s="190" t="str">
        <f t="shared" si="27"/>
        <v/>
      </c>
      <c r="F301" s="196" t="str">
        <f t="shared" si="24"/>
        <v/>
      </c>
      <c r="G301" s="190" t="str">
        <f t="shared" si="28"/>
        <v/>
      </c>
      <c r="H301" s="503" t="str">
        <f t="shared" si="29"/>
        <v/>
      </c>
      <c r="I301" s="49"/>
    </row>
    <row r="302" spans="2:9" ht="20.100000000000001" customHeight="1" x14ac:dyDescent="0.3">
      <c r="B302" s="198">
        <v>294</v>
      </c>
      <c r="C302" s="501" t="str">
        <f t="shared" si="25"/>
        <v/>
      </c>
      <c r="D302" s="502" t="str">
        <f t="shared" si="26"/>
        <v/>
      </c>
      <c r="E302" s="190" t="str">
        <f t="shared" si="27"/>
        <v/>
      </c>
      <c r="F302" s="196" t="str">
        <f t="shared" si="24"/>
        <v/>
      </c>
      <c r="G302" s="190" t="str">
        <f t="shared" si="28"/>
        <v/>
      </c>
      <c r="H302" s="503" t="str">
        <f t="shared" si="29"/>
        <v/>
      </c>
      <c r="I302" s="49"/>
    </row>
    <row r="303" spans="2:9" ht="20.100000000000001" customHeight="1" x14ac:dyDescent="0.3">
      <c r="B303" s="198">
        <v>295</v>
      </c>
      <c r="C303" s="501" t="str">
        <f t="shared" si="25"/>
        <v/>
      </c>
      <c r="D303" s="502" t="str">
        <f t="shared" si="26"/>
        <v/>
      </c>
      <c r="E303" s="190" t="str">
        <f t="shared" si="27"/>
        <v/>
      </c>
      <c r="F303" s="196" t="str">
        <f t="shared" si="24"/>
        <v/>
      </c>
      <c r="G303" s="190" t="str">
        <f t="shared" si="28"/>
        <v/>
      </c>
      <c r="H303" s="503" t="str">
        <f t="shared" si="29"/>
        <v/>
      </c>
      <c r="I303" s="49"/>
    </row>
    <row r="304" spans="2:9" ht="20.100000000000001" customHeight="1" x14ac:dyDescent="0.3">
      <c r="B304" s="198">
        <v>296</v>
      </c>
      <c r="C304" s="501" t="str">
        <f t="shared" si="25"/>
        <v/>
      </c>
      <c r="D304" s="502" t="str">
        <f t="shared" si="26"/>
        <v/>
      </c>
      <c r="E304" s="190" t="str">
        <f t="shared" si="27"/>
        <v/>
      </c>
      <c r="F304" s="196" t="str">
        <f t="shared" si="24"/>
        <v/>
      </c>
      <c r="G304" s="190" t="str">
        <f t="shared" si="28"/>
        <v/>
      </c>
      <c r="H304" s="503" t="str">
        <f t="shared" si="29"/>
        <v/>
      </c>
      <c r="I304" s="49"/>
    </row>
    <row r="305" spans="2:9" ht="20.100000000000001" customHeight="1" x14ac:dyDescent="0.3">
      <c r="B305" s="198">
        <v>297</v>
      </c>
      <c r="C305" s="501" t="str">
        <f t="shared" si="25"/>
        <v/>
      </c>
      <c r="D305" s="502" t="str">
        <f t="shared" si="26"/>
        <v/>
      </c>
      <c r="E305" s="190" t="str">
        <f t="shared" si="27"/>
        <v/>
      </c>
      <c r="F305" s="196" t="str">
        <f t="shared" si="24"/>
        <v/>
      </c>
      <c r="G305" s="190" t="str">
        <f t="shared" si="28"/>
        <v/>
      </c>
      <c r="H305" s="503" t="str">
        <f t="shared" si="29"/>
        <v/>
      </c>
      <c r="I305" s="49"/>
    </row>
    <row r="306" spans="2:9" ht="20.100000000000001" customHeight="1" x14ac:dyDescent="0.3">
      <c r="B306" s="198">
        <v>298</v>
      </c>
      <c r="C306" s="501" t="str">
        <f t="shared" si="25"/>
        <v/>
      </c>
      <c r="D306" s="502" t="str">
        <f t="shared" si="26"/>
        <v/>
      </c>
      <c r="E306" s="190" t="str">
        <f t="shared" si="27"/>
        <v/>
      </c>
      <c r="F306" s="196" t="str">
        <f t="shared" si="24"/>
        <v/>
      </c>
      <c r="G306" s="190" t="str">
        <f t="shared" si="28"/>
        <v/>
      </c>
      <c r="H306" s="503" t="str">
        <f t="shared" si="29"/>
        <v/>
      </c>
      <c r="I306" s="49"/>
    </row>
    <row r="307" spans="2:9" ht="20.100000000000001" customHeight="1" x14ac:dyDescent="0.3">
      <c r="B307" s="198">
        <v>299</v>
      </c>
      <c r="C307" s="501" t="str">
        <f t="shared" si="25"/>
        <v/>
      </c>
      <c r="D307" s="502" t="str">
        <f t="shared" si="26"/>
        <v/>
      </c>
      <c r="E307" s="190" t="str">
        <f t="shared" si="27"/>
        <v/>
      </c>
      <c r="F307" s="196" t="str">
        <f t="shared" si="24"/>
        <v/>
      </c>
      <c r="G307" s="190" t="str">
        <f t="shared" si="28"/>
        <v/>
      </c>
      <c r="H307" s="503" t="str">
        <f t="shared" si="29"/>
        <v/>
      </c>
      <c r="I307" s="49"/>
    </row>
    <row r="308" spans="2:9" ht="20.100000000000001" customHeight="1" x14ac:dyDescent="0.3">
      <c r="B308" s="198">
        <v>300</v>
      </c>
      <c r="C308" s="501" t="str">
        <f t="shared" si="25"/>
        <v/>
      </c>
      <c r="D308" s="502" t="str">
        <f t="shared" si="26"/>
        <v/>
      </c>
      <c r="E308" s="190" t="str">
        <f t="shared" si="27"/>
        <v/>
      </c>
      <c r="F308" s="196" t="str">
        <f t="shared" si="24"/>
        <v/>
      </c>
      <c r="G308" s="190" t="str">
        <f t="shared" si="28"/>
        <v/>
      </c>
      <c r="H308" s="503" t="str">
        <f t="shared" si="29"/>
        <v/>
      </c>
      <c r="I308" s="49"/>
    </row>
    <row r="309" spans="2:9" ht="20.100000000000001" customHeight="1" x14ac:dyDescent="0.3">
      <c r="B309" s="198">
        <v>301</v>
      </c>
      <c r="C309" s="501" t="str">
        <f t="shared" si="25"/>
        <v/>
      </c>
      <c r="D309" s="502" t="str">
        <f t="shared" si="26"/>
        <v/>
      </c>
      <c r="E309" s="190" t="str">
        <f t="shared" si="27"/>
        <v/>
      </c>
      <c r="F309" s="196" t="str">
        <f t="shared" si="24"/>
        <v/>
      </c>
      <c r="G309" s="190" t="str">
        <f t="shared" si="28"/>
        <v/>
      </c>
      <c r="H309" s="503" t="str">
        <f t="shared" si="29"/>
        <v/>
      </c>
      <c r="I309" s="49"/>
    </row>
    <row r="310" spans="2:9" ht="20.100000000000001" customHeight="1" x14ac:dyDescent="0.3">
      <c r="B310" s="198">
        <v>302</v>
      </c>
      <c r="C310" s="501" t="str">
        <f t="shared" si="25"/>
        <v/>
      </c>
      <c r="D310" s="502" t="str">
        <f t="shared" si="26"/>
        <v/>
      </c>
      <c r="E310" s="190" t="str">
        <f t="shared" si="27"/>
        <v/>
      </c>
      <c r="F310" s="196" t="str">
        <f t="shared" si="24"/>
        <v/>
      </c>
      <c r="G310" s="190" t="str">
        <f t="shared" si="28"/>
        <v/>
      </c>
      <c r="H310" s="503" t="str">
        <f t="shared" si="29"/>
        <v/>
      </c>
      <c r="I310" s="49"/>
    </row>
    <row r="311" spans="2:9" ht="20.100000000000001" customHeight="1" x14ac:dyDescent="0.3">
      <c r="B311" s="198">
        <v>303</v>
      </c>
      <c r="C311" s="501" t="str">
        <f t="shared" si="25"/>
        <v/>
      </c>
      <c r="D311" s="502" t="str">
        <f t="shared" si="26"/>
        <v/>
      </c>
      <c r="E311" s="190" t="str">
        <f t="shared" si="27"/>
        <v/>
      </c>
      <c r="F311" s="196" t="str">
        <f t="shared" si="24"/>
        <v/>
      </c>
      <c r="G311" s="190" t="str">
        <f t="shared" si="28"/>
        <v/>
      </c>
      <c r="H311" s="503" t="str">
        <f t="shared" si="29"/>
        <v/>
      </c>
      <c r="I311" s="49"/>
    </row>
    <row r="312" spans="2:9" ht="20.100000000000001" customHeight="1" x14ac:dyDescent="0.3">
      <c r="B312" s="198">
        <v>304</v>
      </c>
      <c r="C312" s="501" t="str">
        <f t="shared" si="25"/>
        <v/>
      </c>
      <c r="D312" s="502" t="str">
        <f t="shared" si="26"/>
        <v/>
      </c>
      <c r="E312" s="190" t="str">
        <f t="shared" si="27"/>
        <v/>
      </c>
      <c r="F312" s="196" t="str">
        <f t="shared" si="24"/>
        <v/>
      </c>
      <c r="G312" s="190" t="str">
        <f t="shared" si="28"/>
        <v/>
      </c>
      <c r="H312" s="503" t="str">
        <f t="shared" si="29"/>
        <v/>
      </c>
      <c r="I312" s="49"/>
    </row>
    <row r="313" spans="2:9" ht="20.100000000000001" customHeight="1" x14ac:dyDescent="0.3">
      <c r="B313" s="198">
        <v>305</v>
      </c>
      <c r="C313" s="501" t="str">
        <f t="shared" si="25"/>
        <v/>
      </c>
      <c r="D313" s="502" t="str">
        <f t="shared" si="26"/>
        <v/>
      </c>
      <c r="E313" s="190" t="str">
        <f t="shared" si="27"/>
        <v/>
      </c>
      <c r="F313" s="196" t="str">
        <f t="shared" si="24"/>
        <v/>
      </c>
      <c r="G313" s="190" t="str">
        <f t="shared" si="28"/>
        <v/>
      </c>
      <c r="H313" s="503" t="str">
        <f t="shared" si="29"/>
        <v/>
      </c>
      <c r="I313" s="49"/>
    </row>
    <row r="314" spans="2:9" ht="20.100000000000001" customHeight="1" x14ac:dyDescent="0.3">
      <c r="B314" s="198">
        <v>306</v>
      </c>
      <c r="C314" s="501" t="str">
        <f t="shared" si="25"/>
        <v/>
      </c>
      <c r="D314" s="502" t="str">
        <f t="shared" si="26"/>
        <v/>
      </c>
      <c r="E314" s="190" t="str">
        <f t="shared" si="27"/>
        <v/>
      </c>
      <c r="F314" s="196" t="str">
        <f t="shared" si="24"/>
        <v/>
      </c>
      <c r="G314" s="190" t="str">
        <f t="shared" si="28"/>
        <v/>
      </c>
      <c r="H314" s="503" t="str">
        <f t="shared" si="29"/>
        <v/>
      </c>
      <c r="I314" s="49"/>
    </row>
    <row r="315" spans="2:9" ht="20.100000000000001" customHeight="1" x14ac:dyDescent="0.3">
      <c r="B315" s="198">
        <v>307</v>
      </c>
      <c r="C315" s="501" t="str">
        <f t="shared" si="25"/>
        <v/>
      </c>
      <c r="D315" s="502" t="str">
        <f t="shared" si="26"/>
        <v/>
      </c>
      <c r="E315" s="190" t="str">
        <f t="shared" si="27"/>
        <v/>
      </c>
      <c r="F315" s="196" t="str">
        <f t="shared" si="24"/>
        <v/>
      </c>
      <c r="G315" s="190" t="str">
        <f t="shared" si="28"/>
        <v/>
      </c>
      <c r="H315" s="503" t="str">
        <f t="shared" si="29"/>
        <v/>
      </c>
      <c r="I315" s="49"/>
    </row>
    <row r="316" spans="2:9" ht="20.100000000000001" customHeight="1" x14ac:dyDescent="0.3">
      <c r="B316" s="198">
        <v>308</v>
      </c>
      <c r="C316" s="501" t="str">
        <f t="shared" si="25"/>
        <v/>
      </c>
      <c r="D316" s="502" t="str">
        <f t="shared" si="26"/>
        <v/>
      </c>
      <c r="E316" s="190" t="str">
        <f t="shared" si="27"/>
        <v/>
      </c>
      <c r="F316" s="196" t="str">
        <f t="shared" si="24"/>
        <v/>
      </c>
      <c r="G316" s="190" t="str">
        <f t="shared" si="28"/>
        <v/>
      </c>
      <c r="H316" s="503" t="str">
        <f t="shared" si="29"/>
        <v/>
      </c>
      <c r="I316" s="49"/>
    </row>
    <row r="317" spans="2:9" ht="20.100000000000001" customHeight="1" x14ac:dyDescent="0.3">
      <c r="B317" s="198">
        <v>309</v>
      </c>
      <c r="C317" s="501" t="str">
        <f t="shared" si="25"/>
        <v/>
      </c>
      <c r="D317" s="502" t="str">
        <f t="shared" si="26"/>
        <v/>
      </c>
      <c r="E317" s="190" t="str">
        <f t="shared" si="27"/>
        <v/>
      </c>
      <c r="F317" s="196" t="str">
        <f t="shared" si="24"/>
        <v/>
      </c>
      <c r="G317" s="190" t="str">
        <f t="shared" si="28"/>
        <v/>
      </c>
      <c r="H317" s="503" t="str">
        <f t="shared" si="29"/>
        <v/>
      </c>
      <c r="I317" s="49"/>
    </row>
    <row r="318" spans="2:9" ht="20.100000000000001" customHeight="1" x14ac:dyDescent="0.3">
      <c r="B318" s="198">
        <v>310</v>
      </c>
      <c r="C318" s="501" t="str">
        <f t="shared" si="25"/>
        <v/>
      </c>
      <c r="D318" s="502" t="str">
        <f t="shared" si="26"/>
        <v/>
      </c>
      <c r="E318" s="190" t="str">
        <f t="shared" si="27"/>
        <v/>
      </c>
      <c r="F318" s="196" t="str">
        <f t="shared" si="24"/>
        <v/>
      </c>
      <c r="G318" s="190" t="str">
        <f t="shared" si="28"/>
        <v/>
      </c>
      <c r="H318" s="503" t="str">
        <f t="shared" si="29"/>
        <v/>
      </c>
      <c r="I318" s="49"/>
    </row>
    <row r="319" spans="2:9" ht="20.100000000000001" customHeight="1" x14ac:dyDescent="0.3">
      <c r="B319" s="198">
        <v>311</v>
      </c>
      <c r="C319" s="501" t="str">
        <f t="shared" si="25"/>
        <v/>
      </c>
      <c r="D319" s="502" t="str">
        <f t="shared" si="26"/>
        <v/>
      </c>
      <c r="E319" s="190" t="str">
        <f t="shared" si="27"/>
        <v/>
      </c>
      <c r="F319" s="196" t="str">
        <f t="shared" si="24"/>
        <v/>
      </c>
      <c r="G319" s="190" t="str">
        <f t="shared" si="28"/>
        <v/>
      </c>
      <c r="H319" s="503" t="str">
        <f t="shared" si="29"/>
        <v/>
      </c>
      <c r="I319" s="49"/>
    </row>
    <row r="320" spans="2:9" ht="20.100000000000001" customHeight="1" x14ac:dyDescent="0.3">
      <c r="B320" s="198">
        <v>312</v>
      </c>
      <c r="C320" s="501" t="str">
        <f t="shared" si="25"/>
        <v/>
      </c>
      <c r="D320" s="502" t="str">
        <f t="shared" si="26"/>
        <v/>
      </c>
      <c r="E320" s="190" t="str">
        <f t="shared" si="27"/>
        <v/>
      </c>
      <c r="F320" s="196" t="str">
        <f t="shared" si="24"/>
        <v/>
      </c>
      <c r="G320" s="190" t="str">
        <f t="shared" si="28"/>
        <v/>
      </c>
      <c r="H320" s="503" t="str">
        <f t="shared" si="29"/>
        <v/>
      </c>
      <c r="I320" s="49"/>
    </row>
    <row r="321" spans="2:9" ht="20.100000000000001" customHeight="1" x14ac:dyDescent="0.3">
      <c r="B321" s="198">
        <v>313</v>
      </c>
      <c r="C321" s="501" t="str">
        <f t="shared" si="25"/>
        <v/>
      </c>
      <c r="D321" s="502" t="str">
        <f t="shared" si="26"/>
        <v/>
      </c>
      <c r="E321" s="190" t="str">
        <f t="shared" si="27"/>
        <v/>
      </c>
      <c r="F321" s="196" t="str">
        <f t="shared" si="24"/>
        <v/>
      </c>
      <c r="G321" s="190" t="str">
        <f t="shared" si="28"/>
        <v/>
      </c>
      <c r="H321" s="503" t="str">
        <f t="shared" si="29"/>
        <v/>
      </c>
      <c r="I321" s="49"/>
    </row>
    <row r="322" spans="2:9" ht="20.100000000000001" customHeight="1" x14ac:dyDescent="0.3">
      <c r="B322" s="198">
        <v>314</v>
      </c>
      <c r="C322" s="501" t="str">
        <f t="shared" si="25"/>
        <v/>
      </c>
      <c r="D322" s="502" t="str">
        <f t="shared" si="26"/>
        <v/>
      </c>
      <c r="E322" s="190" t="str">
        <f t="shared" si="27"/>
        <v/>
      </c>
      <c r="F322" s="196" t="str">
        <f t="shared" si="24"/>
        <v/>
      </c>
      <c r="G322" s="190" t="str">
        <f t="shared" si="28"/>
        <v/>
      </c>
      <c r="H322" s="503" t="str">
        <f t="shared" si="29"/>
        <v/>
      </c>
      <c r="I322" s="49"/>
    </row>
    <row r="323" spans="2:9" ht="20.100000000000001" customHeight="1" x14ac:dyDescent="0.3">
      <c r="B323" s="198">
        <v>315</v>
      </c>
      <c r="C323" s="501" t="str">
        <f t="shared" si="25"/>
        <v/>
      </c>
      <c r="D323" s="502" t="str">
        <f t="shared" si="26"/>
        <v/>
      </c>
      <c r="E323" s="190" t="str">
        <f t="shared" si="27"/>
        <v/>
      </c>
      <c r="F323" s="196" t="str">
        <f t="shared" si="24"/>
        <v/>
      </c>
      <c r="G323" s="190" t="str">
        <f t="shared" si="28"/>
        <v/>
      </c>
      <c r="H323" s="503" t="str">
        <f t="shared" si="29"/>
        <v/>
      </c>
      <c r="I323" s="49"/>
    </row>
    <row r="324" spans="2:9" ht="20.100000000000001" customHeight="1" x14ac:dyDescent="0.3">
      <c r="B324" s="198">
        <v>316</v>
      </c>
      <c r="C324" s="501" t="str">
        <f t="shared" si="25"/>
        <v/>
      </c>
      <c r="D324" s="502" t="str">
        <f t="shared" si="26"/>
        <v/>
      </c>
      <c r="E324" s="190" t="str">
        <f t="shared" si="27"/>
        <v/>
      </c>
      <c r="F324" s="196" t="str">
        <f t="shared" si="24"/>
        <v/>
      </c>
      <c r="G324" s="190" t="str">
        <f t="shared" si="28"/>
        <v/>
      </c>
      <c r="H324" s="503" t="str">
        <f t="shared" si="29"/>
        <v/>
      </c>
      <c r="I324" s="49"/>
    </row>
    <row r="325" spans="2:9" ht="20.100000000000001" customHeight="1" x14ac:dyDescent="0.3">
      <c r="B325" s="198">
        <v>317</v>
      </c>
      <c r="C325" s="501" t="str">
        <f t="shared" si="25"/>
        <v/>
      </c>
      <c r="D325" s="502" t="str">
        <f t="shared" si="26"/>
        <v/>
      </c>
      <c r="E325" s="190" t="str">
        <f t="shared" si="27"/>
        <v/>
      </c>
      <c r="F325" s="196" t="str">
        <f t="shared" si="24"/>
        <v/>
      </c>
      <c r="G325" s="190" t="str">
        <f t="shared" si="28"/>
        <v/>
      </c>
      <c r="H325" s="503" t="str">
        <f t="shared" si="29"/>
        <v/>
      </c>
      <c r="I325" s="49"/>
    </row>
    <row r="326" spans="2:9" ht="20.100000000000001" customHeight="1" x14ac:dyDescent="0.3">
      <c r="B326" s="198">
        <v>318</v>
      </c>
      <c r="C326" s="501" t="str">
        <f t="shared" si="25"/>
        <v/>
      </c>
      <c r="D326" s="502" t="str">
        <f t="shared" si="26"/>
        <v/>
      </c>
      <c r="E326" s="190" t="str">
        <f t="shared" si="27"/>
        <v/>
      </c>
      <c r="F326" s="196" t="str">
        <f t="shared" si="24"/>
        <v/>
      </c>
      <c r="G326" s="190" t="str">
        <f t="shared" si="28"/>
        <v/>
      </c>
      <c r="H326" s="503" t="str">
        <f t="shared" si="29"/>
        <v/>
      </c>
      <c r="I326" s="49"/>
    </row>
    <row r="327" spans="2:9" ht="20.100000000000001" customHeight="1" x14ac:dyDescent="0.3">
      <c r="B327" s="198">
        <v>319</v>
      </c>
      <c r="C327" s="501" t="str">
        <f t="shared" si="25"/>
        <v/>
      </c>
      <c r="D327" s="502" t="str">
        <f t="shared" si="26"/>
        <v/>
      </c>
      <c r="E327" s="190" t="str">
        <f t="shared" si="27"/>
        <v/>
      </c>
      <c r="F327" s="196" t="str">
        <f t="shared" si="24"/>
        <v/>
      </c>
      <c r="G327" s="190" t="str">
        <f t="shared" si="28"/>
        <v/>
      </c>
      <c r="H327" s="503" t="str">
        <f t="shared" si="29"/>
        <v/>
      </c>
      <c r="I327" s="49"/>
    </row>
    <row r="328" spans="2:9" ht="20.100000000000001" customHeight="1" x14ac:dyDescent="0.3">
      <c r="B328" s="198">
        <v>320</v>
      </c>
      <c r="C328" s="501" t="str">
        <f t="shared" si="25"/>
        <v/>
      </c>
      <c r="D328" s="502" t="str">
        <f t="shared" si="26"/>
        <v/>
      </c>
      <c r="E328" s="190" t="str">
        <f t="shared" si="27"/>
        <v/>
      </c>
      <c r="F328" s="196" t="str">
        <f t="shared" si="24"/>
        <v/>
      </c>
      <c r="G328" s="190" t="str">
        <f t="shared" si="28"/>
        <v/>
      </c>
      <c r="H328" s="503" t="str">
        <f t="shared" si="29"/>
        <v/>
      </c>
      <c r="I328" s="49"/>
    </row>
    <row r="329" spans="2:9" ht="20.100000000000001" customHeight="1" x14ac:dyDescent="0.3">
      <c r="B329" s="198">
        <v>321</v>
      </c>
      <c r="C329" s="501" t="str">
        <f t="shared" si="25"/>
        <v/>
      </c>
      <c r="D329" s="502" t="str">
        <f t="shared" si="26"/>
        <v/>
      </c>
      <c r="E329" s="190" t="str">
        <f t="shared" si="27"/>
        <v/>
      </c>
      <c r="F329" s="196" t="str">
        <f t="shared" si="24"/>
        <v/>
      </c>
      <c r="G329" s="190" t="str">
        <f t="shared" si="28"/>
        <v/>
      </c>
      <c r="H329" s="503" t="str">
        <f t="shared" si="29"/>
        <v/>
      </c>
      <c r="I329" s="49"/>
    </row>
    <row r="330" spans="2:9" ht="20.100000000000001" customHeight="1" x14ac:dyDescent="0.3">
      <c r="B330" s="198">
        <v>322</v>
      </c>
      <c r="C330" s="501" t="str">
        <f t="shared" si="25"/>
        <v/>
      </c>
      <c r="D330" s="502" t="str">
        <f t="shared" si="26"/>
        <v/>
      </c>
      <c r="E330" s="190" t="str">
        <f t="shared" si="27"/>
        <v/>
      </c>
      <c r="F330" s="196" t="str">
        <f t="shared" ref="F330:F393" si="30">IF($H$4="","",IF($F$4="원리금균등상환",IFERROR(D330+E330,""),IF($F$4="원금균등상환",D330+E330,"")))</f>
        <v/>
      </c>
      <c r="G330" s="190" t="str">
        <f t="shared" si="28"/>
        <v/>
      </c>
      <c r="H330" s="503" t="str">
        <f t="shared" si="29"/>
        <v/>
      </c>
      <c r="I330" s="49"/>
    </row>
    <row r="331" spans="2:9" ht="20.100000000000001" customHeight="1" x14ac:dyDescent="0.3">
      <c r="B331" s="198">
        <v>323</v>
      </c>
      <c r="C331" s="501" t="str">
        <f t="shared" ref="C331:C394" si="31">IF($H$4="","",IF(B331&gt;($B$6),"",IF(B331&lt;=($B$6),DATE(YEAR($G$4),MONTH($G$4)+B330,DAY($G$4)),"")))</f>
        <v/>
      </c>
      <c r="D331" s="502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190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196" t="str">
        <f t="shared" si="30"/>
        <v/>
      </c>
      <c r="G331" s="190" t="str">
        <f t="shared" ref="G331:G394" si="34">IFERROR(IF(B331&gt;(($D$6+$B$6)*12),"",IF(B331=1,D331,D331+G330)),"")</f>
        <v/>
      </c>
      <c r="H331" s="503" t="str">
        <f t="shared" ref="H331:H394" si="35">IFERROR(IF($H$4="","",H330-D331),"")</f>
        <v/>
      </c>
      <c r="I331" s="49"/>
    </row>
    <row r="332" spans="2:9" ht="20.100000000000001" customHeight="1" x14ac:dyDescent="0.3">
      <c r="B332" s="198">
        <v>324</v>
      </c>
      <c r="C332" s="501" t="str">
        <f t="shared" si="31"/>
        <v/>
      </c>
      <c r="D332" s="502" t="str">
        <f t="shared" si="32"/>
        <v/>
      </c>
      <c r="E332" s="190" t="str">
        <f t="shared" si="33"/>
        <v/>
      </c>
      <c r="F332" s="196" t="str">
        <f t="shared" si="30"/>
        <v/>
      </c>
      <c r="G332" s="190" t="str">
        <f t="shared" si="34"/>
        <v/>
      </c>
      <c r="H332" s="503" t="str">
        <f t="shared" si="35"/>
        <v/>
      </c>
      <c r="I332" s="49"/>
    </row>
    <row r="333" spans="2:9" ht="20.100000000000001" customHeight="1" x14ac:dyDescent="0.3">
      <c r="B333" s="198">
        <v>325</v>
      </c>
      <c r="C333" s="501" t="str">
        <f t="shared" si="31"/>
        <v/>
      </c>
      <c r="D333" s="502" t="str">
        <f t="shared" si="32"/>
        <v/>
      </c>
      <c r="E333" s="190" t="str">
        <f t="shared" si="33"/>
        <v/>
      </c>
      <c r="F333" s="196" t="str">
        <f t="shared" si="30"/>
        <v/>
      </c>
      <c r="G333" s="190" t="str">
        <f t="shared" si="34"/>
        <v/>
      </c>
      <c r="H333" s="503" t="str">
        <f t="shared" si="35"/>
        <v/>
      </c>
      <c r="I333" s="49"/>
    </row>
    <row r="334" spans="2:9" ht="20.100000000000001" customHeight="1" x14ac:dyDescent="0.3">
      <c r="B334" s="198">
        <v>326</v>
      </c>
      <c r="C334" s="501" t="str">
        <f t="shared" si="31"/>
        <v/>
      </c>
      <c r="D334" s="502" t="str">
        <f t="shared" si="32"/>
        <v/>
      </c>
      <c r="E334" s="190" t="str">
        <f t="shared" si="33"/>
        <v/>
      </c>
      <c r="F334" s="196" t="str">
        <f t="shared" si="30"/>
        <v/>
      </c>
      <c r="G334" s="190" t="str">
        <f t="shared" si="34"/>
        <v/>
      </c>
      <c r="H334" s="503" t="str">
        <f t="shared" si="35"/>
        <v/>
      </c>
      <c r="I334" s="49"/>
    </row>
    <row r="335" spans="2:9" ht="20.100000000000001" customHeight="1" x14ac:dyDescent="0.3">
      <c r="B335" s="198">
        <v>327</v>
      </c>
      <c r="C335" s="501" t="str">
        <f t="shared" si="31"/>
        <v/>
      </c>
      <c r="D335" s="502" t="str">
        <f t="shared" si="32"/>
        <v/>
      </c>
      <c r="E335" s="190" t="str">
        <f t="shared" si="33"/>
        <v/>
      </c>
      <c r="F335" s="196" t="str">
        <f t="shared" si="30"/>
        <v/>
      </c>
      <c r="G335" s="190" t="str">
        <f t="shared" si="34"/>
        <v/>
      </c>
      <c r="H335" s="503" t="str">
        <f t="shared" si="35"/>
        <v/>
      </c>
      <c r="I335" s="49"/>
    </row>
    <row r="336" spans="2:9" ht="20.100000000000001" customHeight="1" x14ac:dyDescent="0.3">
      <c r="B336" s="198">
        <v>328</v>
      </c>
      <c r="C336" s="501" t="str">
        <f t="shared" si="31"/>
        <v/>
      </c>
      <c r="D336" s="502" t="str">
        <f t="shared" si="32"/>
        <v/>
      </c>
      <c r="E336" s="190" t="str">
        <f t="shared" si="33"/>
        <v/>
      </c>
      <c r="F336" s="196" t="str">
        <f t="shared" si="30"/>
        <v/>
      </c>
      <c r="G336" s="190" t="str">
        <f t="shared" si="34"/>
        <v/>
      </c>
      <c r="H336" s="503" t="str">
        <f t="shared" si="35"/>
        <v/>
      </c>
      <c r="I336" s="49"/>
    </row>
    <row r="337" spans="2:9" ht="20.100000000000001" customHeight="1" x14ac:dyDescent="0.3">
      <c r="B337" s="198">
        <v>329</v>
      </c>
      <c r="C337" s="501" t="str">
        <f t="shared" si="31"/>
        <v/>
      </c>
      <c r="D337" s="502" t="str">
        <f t="shared" si="32"/>
        <v/>
      </c>
      <c r="E337" s="190" t="str">
        <f t="shared" si="33"/>
        <v/>
      </c>
      <c r="F337" s="196" t="str">
        <f t="shared" si="30"/>
        <v/>
      </c>
      <c r="G337" s="190" t="str">
        <f t="shared" si="34"/>
        <v/>
      </c>
      <c r="H337" s="503" t="str">
        <f t="shared" si="35"/>
        <v/>
      </c>
      <c r="I337" s="49"/>
    </row>
    <row r="338" spans="2:9" ht="20.100000000000001" customHeight="1" x14ac:dyDescent="0.3">
      <c r="B338" s="198">
        <v>330</v>
      </c>
      <c r="C338" s="501" t="str">
        <f t="shared" si="31"/>
        <v/>
      </c>
      <c r="D338" s="502" t="str">
        <f t="shared" si="32"/>
        <v/>
      </c>
      <c r="E338" s="190" t="str">
        <f t="shared" si="33"/>
        <v/>
      </c>
      <c r="F338" s="196" t="str">
        <f t="shared" si="30"/>
        <v/>
      </c>
      <c r="G338" s="190" t="str">
        <f t="shared" si="34"/>
        <v/>
      </c>
      <c r="H338" s="503" t="str">
        <f t="shared" si="35"/>
        <v/>
      </c>
      <c r="I338" s="49"/>
    </row>
    <row r="339" spans="2:9" ht="20.100000000000001" customHeight="1" x14ac:dyDescent="0.3">
      <c r="B339" s="198">
        <v>331</v>
      </c>
      <c r="C339" s="501" t="str">
        <f t="shared" si="31"/>
        <v/>
      </c>
      <c r="D339" s="502" t="str">
        <f t="shared" si="32"/>
        <v/>
      </c>
      <c r="E339" s="190" t="str">
        <f t="shared" si="33"/>
        <v/>
      </c>
      <c r="F339" s="196" t="str">
        <f t="shared" si="30"/>
        <v/>
      </c>
      <c r="G339" s="190" t="str">
        <f t="shared" si="34"/>
        <v/>
      </c>
      <c r="H339" s="503" t="str">
        <f t="shared" si="35"/>
        <v/>
      </c>
      <c r="I339" s="49"/>
    </row>
    <row r="340" spans="2:9" ht="20.100000000000001" customHeight="1" x14ac:dyDescent="0.3">
      <c r="B340" s="198">
        <v>332</v>
      </c>
      <c r="C340" s="501" t="str">
        <f t="shared" si="31"/>
        <v/>
      </c>
      <c r="D340" s="502" t="str">
        <f t="shared" si="32"/>
        <v/>
      </c>
      <c r="E340" s="190" t="str">
        <f t="shared" si="33"/>
        <v/>
      </c>
      <c r="F340" s="196" t="str">
        <f t="shared" si="30"/>
        <v/>
      </c>
      <c r="G340" s="190" t="str">
        <f t="shared" si="34"/>
        <v/>
      </c>
      <c r="H340" s="503" t="str">
        <f t="shared" si="35"/>
        <v/>
      </c>
      <c r="I340" s="49"/>
    </row>
    <row r="341" spans="2:9" ht="20.100000000000001" customHeight="1" x14ac:dyDescent="0.3">
      <c r="B341" s="198">
        <v>333</v>
      </c>
      <c r="C341" s="501" t="str">
        <f t="shared" si="31"/>
        <v/>
      </c>
      <c r="D341" s="502" t="str">
        <f t="shared" si="32"/>
        <v/>
      </c>
      <c r="E341" s="190" t="str">
        <f t="shared" si="33"/>
        <v/>
      </c>
      <c r="F341" s="196" t="str">
        <f t="shared" si="30"/>
        <v/>
      </c>
      <c r="G341" s="190" t="str">
        <f t="shared" si="34"/>
        <v/>
      </c>
      <c r="H341" s="503" t="str">
        <f t="shared" si="35"/>
        <v/>
      </c>
      <c r="I341" s="49"/>
    </row>
    <row r="342" spans="2:9" ht="20.100000000000001" customHeight="1" x14ac:dyDescent="0.3">
      <c r="B342" s="198">
        <v>334</v>
      </c>
      <c r="C342" s="501" t="str">
        <f t="shared" si="31"/>
        <v/>
      </c>
      <c r="D342" s="502" t="str">
        <f t="shared" si="32"/>
        <v/>
      </c>
      <c r="E342" s="190" t="str">
        <f t="shared" si="33"/>
        <v/>
      </c>
      <c r="F342" s="196" t="str">
        <f t="shared" si="30"/>
        <v/>
      </c>
      <c r="G342" s="190" t="str">
        <f t="shared" si="34"/>
        <v/>
      </c>
      <c r="H342" s="503" t="str">
        <f t="shared" si="35"/>
        <v/>
      </c>
      <c r="I342" s="49"/>
    </row>
    <row r="343" spans="2:9" ht="20.100000000000001" customHeight="1" x14ac:dyDescent="0.3">
      <c r="B343" s="198">
        <v>335</v>
      </c>
      <c r="C343" s="501" t="str">
        <f t="shared" si="31"/>
        <v/>
      </c>
      <c r="D343" s="502" t="str">
        <f t="shared" si="32"/>
        <v/>
      </c>
      <c r="E343" s="190" t="str">
        <f t="shared" si="33"/>
        <v/>
      </c>
      <c r="F343" s="196" t="str">
        <f t="shared" si="30"/>
        <v/>
      </c>
      <c r="G343" s="190" t="str">
        <f t="shared" si="34"/>
        <v/>
      </c>
      <c r="H343" s="503" t="str">
        <f t="shared" si="35"/>
        <v/>
      </c>
      <c r="I343" s="49"/>
    </row>
    <row r="344" spans="2:9" ht="20.100000000000001" customHeight="1" x14ac:dyDescent="0.3">
      <c r="B344" s="198">
        <v>336</v>
      </c>
      <c r="C344" s="501" t="str">
        <f t="shared" si="31"/>
        <v/>
      </c>
      <c r="D344" s="502" t="str">
        <f t="shared" si="32"/>
        <v/>
      </c>
      <c r="E344" s="190" t="str">
        <f t="shared" si="33"/>
        <v/>
      </c>
      <c r="F344" s="196" t="str">
        <f t="shared" si="30"/>
        <v/>
      </c>
      <c r="G344" s="190" t="str">
        <f t="shared" si="34"/>
        <v/>
      </c>
      <c r="H344" s="503" t="str">
        <f t="shared" si="35"/>
        <v/>
      </c>
      <c r="I344" s="49"/>
    </row>
    <row r="345" spans="2:9" ht="20.100000000000001" customHeight="1" x14ac:dyDescent="0.3">
      <c r="B345" s="198">
        <v>337</v>
      </c>
      <c r="C345" s="501" t="str">
        <f t="shared" si="31"/>
        <v/>
      </c>
      <c r="D345" s="502" t="str">
        <f t="shared" si="32"/>
        <v/>
      </c>
      <c r="E345" s="190" t="str">
        <f t="shared" si="33"/>
        <v/>
      </c>
      <c r="F345" s="196" t="str">
        <f t="shared" si="30"/>
        <v/>
      </c>
      <c r="G345" s="190" t="str">
        <f t="shared" si="34"/>
        <v/>
      </c>
      <c r="H345" s="503" t="str">
        <f t="shared" si="35"/>
        <v/>
      </c>
      <c r="I345" s="49"/>
    </row>
    <row r="346" spans="2:9" ht="20.100000000000001" customHeight="1" x14ac:dyDescent="0.3">
      <c r="B346" s="198">
        <v>338</v>
      </c>
      <c r="C346" s="501" t="str">
        <f t="shared" si="31"/>
        <v/>
      </c>
      <c r="D346" s="502" t="str">
        <f t="shared" si="32"/>
        <v/>
      </c>
      <c r="E346" s="190" t="str">
        <f t="shared" si="33"/>
        <v/>
      </c>
      <c r="F346" s="196" t="str">
        <f t="shared" si="30"/>
        <v/>
      </c>
      <c r="G346" s="190" t="str">
        <f t="shared" si="34"/>
        <v/>
      </c>
      <c r="H346" s="503" t="str">
        <f t="shared" si="35"/>
        <v/>
      </c>
      <c r="I346" s="49"/>
    </row>
    <row r="347" spans="2:9" ht="20.100000000000001" customHeight="1" x14ac:dyDescent="0.3">
      <c r="B347" s="198">
        <v>339</v>
      </c>
      <c r="C347" s="501" t="str">
        <f t="shared" si="31"/>
        <v/>
      </c>
      <c r="D347" s="502" t="str">
        <f t="shared" si="32"/>
        <v/>
      </c>
      <c r="E347" s="190" t="str">
        <f t="shared" si="33"/>
        <v/>
      </c>
      <c r="F347" s="196" t="str">
        <f t="shared" si="30"/>
        <v/>
      </c>
      <c r="G347" s="190" t="str">
        <f t="shared" si="34"/>
        <v/>
      </c>
      <c r="H347" s="503" t="str">
        <f t="shared" si="35"/>
        <v/>
      </c>
      <c r="I347" s="49"/>
    </row>
    <row r="348" spans="2:9" ht="20.100000000000001" customHeight="1" x14ac:dyDescent="0.3">
      <c r="B348" s="198">
        <v>340</v>
      </c>
      <c r="C348" s="501" t="str">
        <f t="shared" si="31"/>
        <v/>
      </c>
      <c r="D348" s="502" t="str">
        <f t="shared" si="32"/>
        <v/>
      </c>
      <c r="E348" s="190" t="str">
        <f t="shared" si="33"/>
        <v/>
      </c>
      <c r="F348" s="196" t="str">
        <f t="shared" si="30"/>
        <v/>
      </c>
      <c r="G348" s="190" t="str">
        <f t="shared" si="34"/>
        <v/>
      </c>
      <c r="H348" s="503" t="str">
        <f t="shared" si="35"/>
        <v/>
      </c>
      <c r="I348" s="49"/>
    </row>
    <row r="349" spans="2:9" ht="20.100000000000001" customHeight="1" x14ac:dyDescent="0.3">
      <c r="B349" s="198">
        <v>341</v>
      </c>
      <c r="C349" s="501" t="str">
        <f t="shared" si="31"/>
        <v/>
      </c>
      <c r="D349" s="502" t="str">
        <f t="shared" si="32"/>
        <v/>
      </c>
      <c r="E349" s="190" t="str">
        <f t="shared" si="33"/>
        <v/>
      </c>
      <c r="F349" s="196" t="str">
        <f t="shared" si="30"/>
        <v/>
      </c>
      <c r="G349" s="190" t="str">
        <f t="shared" si="34"/>
        <v/>
      </c>
      <c r="H349" s="503" t="str">
        <f t="shared" si="35"/>
        <v/>
      </c>
      <c r="I349" s="49"/>
    </row>
    <row r="350" spans="2:9" ht="20.100000000000001" customHeight="1" x14ac:dyDescent="0.3">
      <c r="B350" s="198">
        <v>342</v>
      </c>
      <c r="C350" s="501" t="str">
        <f t="shared" si="31"/>
        <v/>
      </c>
      <c r="D350" s="502" t="str">
        <f t="shared" si="32"/>
        <v/>
      </c>
      <c r="E350" s="190" t="str">
        <f t="shared" si="33"/>
        <v/>
      </c>
      <c r="F350" s="196" t="str">
        <f t="shared" si="30"/>
        <v/>
      </c>
      <c r="G350" s="190" t="str">
        <f t="shared" si="34"/>
        <v/>
      </c>
      <c r="H350" s="503" t="str">
        <f t="shared" si="35"/>
        <v/>
      </c>
      <c r="I350" s="49"/>
    </row>
    <row r="351" spans="2:9" ht="20.100000000000001" customHeight="1" x14ac:dyDescent="0.3">
      <c r="B351" s="198">
        <v>343</v>
      </c>
      <c r="C351" s="501" t="str">
        <f t="shared" si="31"/>
        <v/>
      </c>
      <c r="D351" s="502" t="str">
        <f t="shared" si="32"/>
        <v/>
      </c>
      <c r="E351" s="190" t="str">
        <f t="shared" si="33"/>
        <v/>
      </c>
      <c r="F351" s="196" t="str">
        <f t="shared" si="30"/>
        <v/>
      </c>
      <c r="G351" s="190" t="str">
        <f t="shared" si="34"/>
        <v/>
      </c>
      <c r="H351" s="503" t="str">
        <f t="shared" si="35"/>
        <v/>
      </c>
      <c r="I351" s="49"/>
    </row>
    <row r="352" spans="2:9" ht="20.100000000000001" customHeight="1" x14ac:dyDescent="0.3">
      <c r="B352" s="198">
        <v>344</v>
      </c>
      <c r="C352" s="501" t="str">
        <f t="shared" si="31"/>
        <v/>
      </c>
      <c r="D352" s="502" t="str">
        <f t="shared" si="32"/>
        <v/>
      </c>
      <c r="E352" s="190" t="str">
        <f t="shared" si="33"/>
        <v/>
      </c>
      <c r="F352" s="196" t="str">
        <f t="shared" si="30"/>
        <v/>
      </c>
      <c r="G352" s="190" t="str">
        <f t="shared" si="34"/>
        <v/>
      </c>
      <c r="H352" s="503" t="str">
        <f t="shared" si="35"/>
        <v/>
      </c>
      <c r="I352" s="49"/>
    </row>
    <row r="353" spans="2:9" ht="20.100000000000001" customHeight="1" x14ac:dyDescent="0.3">
      <c r="B353" s="198">
        <v>345</v>
      </c>
      <c r="C353" s="501" t="str">
        <f t="shared" si="31"/>
        <v/>
      </c>
      <c r="D353" s="502" t="str">
        <f t="shared" si="32"/>
        <v/>
      </c>
      <c r="E353" s="190" t="str">
        <f t="shared" si="33"/>
        <v/>
      </c>
      <c r="F353" s="196" t="str">
        <f t="shared" si="30"/>
        <v/>
      </c>
      <c r="G353" s="190" t="str">
        <f t="shared" si="34"/>
        <v/>
      </c>
      <c r="H353" s="503" t="str">
        <f t="shared" si="35"/>
        <v/>
      </c>
      <c r="I353" s="49"/>
    </row>
    <row r="354" spans="2:9" ht="20.100000000000001" customHeight="1" x14ac:dyDescent="0.3">
      <c r="B354" s="198">
        <v>346</v>
      </c>
      <c r="C354" s="501" t="str">
        <f t="shared" si="31"/>
        <v/>
      </c>
      <c r="D354" s="502" t="str">
        <f t="shared" si="32"/>
        <v/>
      </c>
      <c r="E354" s="190" t="str">
        <f t="shared" si="33"/>
        <v/>
      </c>
      <c r="F354" s="196" t="str">
        <f t="shared" si="30"/>
        <v/>
      </c>
      <c r="G354" s="190" t="str">
        <f t="shared" si="34"/>
        <v/>
      </c>
      <c r="H354" s="503" t="str">
        <f t="shared" si="35"/>
        <v/>
      </c>
      <c r="I354" s="49"/>
    </row>
    <row r="355" spans="2:9" ht="20.100000000000001" customHeight="1" x14ac:dyDescent="0.3">
      <c r="B355" s="198">
        <v>347</v>
      </c>
      <c r="C355" s="501" t="str">
        <f t="shared" si="31"/>
        <v/>
      </c>
      <c r="D355" s="502" t="str">
        <f t="shared" si="32"/>
        <v/>
      </c>
      <c r="E355" s="190" t="str">
        <f t="shared" si="33"/>
        <v/>
      </c>
      <c r="F355" s="196" t="str">
        <f t="shared" si="30"/>
        <v/>
      </c>
      <c r="G355" s="190" t="str">
        <f t="shared" si="34"/>
        <v/>
      </c>
      <c r="H355" s="503" t="str">
        <f t="shared" si="35"/>
        <v/>
      </c>
      <c r="I355" s="49"/>
    </row>
    <row r="356" spans="2:9" ht="20.100000000000001" customHeight="1" x14ac:dyDescent="0.3">
      <c r="B356" s="198">
        <v>348</v>
      </c>
      <c r="C356" s="501" t="str">
        <f t="shared" si="31"/>
        <v/>
      </c>
      <c r="D356" s="502" t="str">
        <f t="shared" si="32"/>
        <v/>
      </c>
      <c r="E356" s="190" t="str">
        <f t="shared" si="33"/>
        <v/>
      </c>
      <c r="F356" s="196" t="str">
        <f t="shared" si="30"/>
        <v/>
      </c>
      <c r="G356" s="190" t="str">
        <f t="shared" si="34"/>
        <v/>
      </c>
      <c r="H356" s="503" t="str">
        <f t="shared" si="35"/>
        <v/>
      </c>
      <c r="I356" s="49"/>
    </row>
    <row r="357" spans="2:9" ht="20.100000000000001" customHeight="1" x14ac:dyDescent="0.3">
      <c r="B357" s="198">
        <v>349</v>
      </c>
      <c r="C357" s="501" t="str">
        <f t="shared" si="31"/>
        <v/>
      </c>
      <c r="D357" s="502" t="str">
        <f t="shared" si="32"/>
        <v/>
      </c>
      <c r="E357" s="190" t="str">
        <f t="shared" si="33"/>
        <v/>
      </c>
      <c r="F357" s="196" t="str">
        <f t="shared" si="30"/>
        <v/>
      </c>
      <c r="G357" s="190" t="str">
        <f t="shared" si="34"/>
        <v/>
      </c>
      <c r="H357" s="503" t="str">
        <f t="shared" si="35"/>
        <v/>
      </c>
      <c r="I357" s="49"/>
    </row>
    <row r="358" spans="2:9" ht="20.100000000000001" customHeight="1" x14ac:dyDescent="0.3">
      <c r="B358" s="198">
        <v>350</v>
      </c>
      <c r="C358" s="501" t="str">
        <f t="shared" si="31"/>
        <v/>
      </c>
      <c r="D358" s="502" t="str">
        <f t="shared" si="32"/>
        <v/>
      </c>
      <c r="E358" s="190" t="str">
        <f t="shared" si="33"/>
        <v/>
      </c>
      <c r="F358" s="196" t="str">
        <f t="shared" si="30"/>
        <v/>
      </c>
      <c r="G358" s="190" t="str">
        <f t="shared" si="34"/>
        <v/>
      </c>
      <c r="H358" s="503" t="str">
        <f t="shared" si="35"/>
        <v/>
      </c>
      <c r="I358" s="49"/>
    </row>
    <row r="359" spans="2:9" ht="20.100000000000001" customHeight="1" x14ac:dyDescent="0.3">
      <c r="B359" s="198">
        <v>351</v>
      </c>
      <c r="C359" s="501" t="str">
        <f t="shared" si="31"/>
        <v/>
      </c>
      <c r="D359" s="502" t="str">
        <f t="shared" si="32"/>
        <v/>
      </c>
      <c r="E359" s="190" t="str">
        <f t="shared" si="33"/>
        <v/>
      </c>
      <c r="F359" s="196" t="str">
        <f t="shared" si="30"/>
        <v/>
      </c>
      <c r="G359" s="190" t="str">
        <f t="shared" si="34"/>
        <v/>
      </c>
      <c r="H359" s="503" t="str">
        <f t="shared" si="35"/>
        <v/>
      </c>
      <c r="I359" s="49"/>
    </row>
    <row r="360" spans="2:9" ht="20.100000000000001" customHeight="1" x14ac:dyDescent="0.3">
      <c r="B360" s="198">
        <v>352</v>
      </c>
      <c r="C360" s="501" t="str">
        <f t="shared" si="31"/>
        <v/>
      </c>
      <c r="D360" s="502" t="str">
        <f t="shared" si="32"/>
        <v/>
      </c>
      <c r="E360" s="190" t="str">
        <f t="shared" si="33"/>
        <v/>
      </c>
      <c r="F360" s="196" t="str">
        <f t="shared" si="30"/>
        <v/>
      </c>
      <c r="G360" s="190" t="str">
        <f t="shared" si="34"/>
        <v/>
      </c>
      <c r="H360" s="503" t="str">
        <f t="shared" si="35"/>
        <v/>
      </c>
      <c r="I360" s="49"/>
    </row>
    <row r="361" spans="2:9" ht="20.100000000000001" customHeight="1" x14ac:dyDescent="0.3">
      <c r="B361" s="198">
        <v>353</v>
      </c>
      <c r="C361" s="501" t="str">
        <f t="shared" si="31"/>
        <v/>
      </c>
      <c r="D361" s="502" t="str">
        <f t="shared" si="32"/>
        <v/>
      </c>
      <c r="E361" s="190" t="str">
        <f t="shared" si="33"/>
        <v/>
      </c>
      <c r="F361" s="196" t="str">
        <f t="shared" si="30"/>
        <v/>
      </c>
      <c r="G361" s="190" t="str">
        <f t="shared" si="34"/>
        <v/>
      </c>
      <c r="H361" s="503" t="str">
        <f t="shared" si="35"/>
        <v/>
      </c>
      <c r="I361" s="49"/>
    </row>
    <row r="362" spans="2:9" ht="20.100000000000001" customHeight="1" x14ac:dyDescent="0.3">
      <c r="B362" s="198">
        <v>354</v>
      </c>
      <c r="C362" s="501" t="str">
        <f t="shared" si="31"/>
        <v/>
      </c>
      <c r="D362" s="502" t="str">
        <f t="shared" si="32"/>
        <v/>
      </c>
      <c r="E362" s="190" t="str">
        <f t="shared" si="33"/>
        <v/>
      </c>
      <c r="F362" s="196" t="str">
        <f t="shared" si="30"/>
        <v/>
      </c>
      <c r="G362" s="190" t="str">
        <f t="shared" si="34"/>
        <v/>
      </c>
      <c r="H362" s="503" t="str">
        <f t="shared" si="35"/>
        <v/>
      </c>
      <c r="I362" s="49"/>
    </row>
    <row r="363" spans="2:9" ht="20.100000000000001" customHeight="1" x14ac:dyDescent="0.3">
      <c r="B363" s="198">
        <v>355</v>
      </c>
      <c r="C363" s="501" t="str">
        <f t="shared" si="31"/>
        <v/>
      </c>
      <c r="D363" s="502" t="str">
        <f t="shared" si="32"/>
        <v/>
      </c>
      <c r="E363" s="190" t="str">
        <f t="shared" si="33"/>
        <v/>
      </c>
      <c r="F363" s="196" t="str">
        <f t="shared" si="30"/>
        <v/>
      </c>
      <c r="G363" s="190" t="str">
        <f t="shared" si="34"/>
        <v/>
      </c>
      <c r="H363" s="503" t="str">
        <f t="shared" si="35"/>
        <v/>
      </c>
      <c r="I363" s="49"/>
    </row>
    <row r="364" spans="2:9" ht="20.100000000000001" customHeight="1" x14ac:dyDescent="0.3">
      <c r="B364" s="198">
        <v>356</v>
      </c>
      <c r="C364" s="501" t="str">
        <f t="shared" si="31"/>
        <v/>
      </c>
      <c r="D364" s="502" t="str">
        <f t="shared" si="32"/>
        <v/>
      </c>
      <c r="E364" s="190" t="str">
        <f t="shared" si="33"/>
        <v/>
      </c>
      <c r="F364" s="196" t="str">
        <f t="shared" si="30"/>
        <v/>
      </c>
      <c r="G364" s="190" t="str">
        <f t="shared" si="34"/>
        <v/>
      </c>
      <c r="H364" s="503" t="str">
        <f t="shared" si="35"/>
        <v/>
      </c>
      <c r="I364" s="49"/>
    </row>
    <row r="365" spans="2:9" ht="20.100000000000001" customHeight="1" x14ac:dyDescent="0.3">
      <c r="B365" s="198">
        <v>357</v>
      </c>
      <c r="C365" s="501" t="str">
        <f t="shared" si="31"/>
        <v/>
      </c>
      <c r="D365" s="502" t="str">
        <f t="shared" si="32"/>
        <v/>
      </c>
      <c r="E365" s="190" t="str">
        <f t="shared" si="33"/>
        <v/>
      </c>
      <c r="F365" s="196" t="str">
        <f t="shared" si="30"/>
        <v/>
      </c>
      <c r="G365" s="190" t="str">
        <f t="shared" si="34"/>
        <v/>
      </c>
      <c r="H365" s="503" t="str">
        <f t="shared" si="35"/>
        <v/>
      </c>
      <c r="I365" s="49"/>
    </row>
    <row r="366" spans="2:9" ht="20.100000000000001" customHeight="1" x14ac:dyDescent="0.3">
      <c r="B366" s="198">
        <v>358</v>
      </c>
      <c r="C366" s="501" t="str">
        <f t="shared" si="31"/>
        <v/>
      </c>
      <c r="D366" s="502" t="str">
        <f t="shared" si="32"/>
        <v/>
      </c>
      <c r="E366" s="190" t="str">
        <f t="shared" si="33"/>
        <v/>
      </c>
      <c r="F366" s="196" t="str">
        <f t="shared" si="30"/>
        <v/>
      </c>
      <c r="G366" s="190" t="str">
        <f t="shared" si="34"/>
        <v/>
      </c>
      <c r="H366" s="503" t="str">
        <f t="shared" si="35"/>
        <v/>
      </c>
      <c r="I366" s="49"/>
    </row>
    <row r="367" spans="2:9" ht="20.100000000000001" customHeight="1" x14ac:dyDescent="0.3">
      <c r="B367" s="198">
        <v>359</v>
      </c>
      <c r="C367" s="501" t="str">
        <f t="shared" si="31"/>
        <v/>
      </c>
      <c r="D367" s="502" t="str">
        <f t="shared" si="32"/>
        <v/>
      </c>
      <c r="E367" s="190" t="str">
        <f t="shared" si="33"/>
        <v/>
      </c>
      <c r="F367" s="196" t="str">
        <f t="shared" si="30"/>
        <v/>
      </c>
      <c r="G367" s="190" t="str">
        <f t="shared" si="34"/>
        <v/>
      </c>
      <c r="H367" s="503" t="str">
        <f t="shared" si="35"/>
        <v/>
      </c>
      <c r="I367" s="49"/>
    </row>
    <row r="368" spans="2:9" ht="20.100000000000001" customHeight="1" x14ac:dyDescent="0.3">
      <c r="B368" s="198">
        <v>360</v>
      </c>
      <c r="C368" s="501" t="str">
        <f t="shared" si="31"/>
        <v/>
      </c>
      <c r="D368" s="502" t="str">
        <f t="shared" si="32"/>
        <v/>
      </c>
      <c r="E368" s="190" t="str">
        <f t="shared" si="33"/>
        <v/>
      </c>
      <c r="F368" s="196" t="str">
        <f t="shared" si="30"/>
        <v/>
      </c>
      <c r="G368" s="190" t="str">
        <f t="shared" si="34"/>
        <v/>
      </c>
      <c r="H368" s="503" t="str">
        <f t="shared" si="35"/>
        <v/>
      </c>
      <c r="I368" s="49"/>
    </row>
    <row r="369" spans="2:9" ht="20.100000000000001" customHeight="1" x14ac:dyDescent="0.3">
      <c r="B369" s="198">
        <v>361</v>
      </c>
      <c r="C369" s="501" t="str">
        <f t="shared" si="31"/>
        <v/>
      </c>
      <c r="D369" s="502" t="str">
        <f t="shared" si="32"/>
        <v/>
      </c>
      <c r="E369" s="190" t="str">
        <f t="shared" si="33"/>
        <v/>
      </c>
      <c r="F369" s="196" t="str">
        <f t="shared" si="30"/>
        <v/>
      </c>
      <c r="G369" s="190" t="str">
        <f t="shared" si="34"/>
        <v/>
      </c>
      <c r="H369" s="503" t="str">
        <f t="shared" si="35"/>
        <v/>
      </c>
      <c r="I369" s="49"/>
    </row>
    <row r="370" spans="2:9" ht="20.100000000000001" customHeight="1" x14ac:dyDescent="0.3">
      <c r="B370" s="198">
        <v>362</v>
      </c>
      <c r="C370" s="501" t="str">
        <f t="shared" si="31"/>
        <v/>
      </c>
      <c r="D370" s="502" t="str">
        <f t="shared" si="32"/>
        <v/>
      </c>
      <c r="E370" s="190" t="str">
        <f t="shared" si="33"/>
        <v/>
      </c>
      <c r="F370" s="196" t="str">
        <f t="shared" si="30"/>
        <v/>
      </c>
      <c r="G370" s="190" t="str">
        <f t="shared" si="34"/>
        <v/>
      </c>
      <c r="H370" s="503" t="str">
        <f t="shared" si="35"/>
        <v/>
      </c>
      <c r="I370" s="49"/>
    </row>
    <row r="371" spans="2:9" ht="20.100000000000001" customHeight="1" x14ac:dyDescent="0.3">
      <c r="B371" s="198">
        <v>363</v>
      </c>
      <c r="C371" s="501" t="str">
        <f t="shared" si="31"/>
        <v/>
      </c>
      <c r="D371" s="502" t="str">
        <f t="shared" si="32"/>
        <v/>
      </c>
      <c r="E371" s="190" t="str">
        <f t="shared" si="33"/>
        <v/>
      </c>
      <c r="F371" s="196" t="str">
        <f t="shared" si="30"/>
        <v/>
      </c>
      <c r="G371" s="190" t="str">
        <f t="shared" si="34"/>
        <v/>
      </c>
      <c r="H371" s="503" t="str">
        <f t="shared" si="35"/>
        <v/>
      </c>
      <c r="I371" s="49"/>
    </row>
    <row r="372" spans="2:9" ht="20.100000000000001" customHeight="1" x14ac:dyDescent="0.3">
      <c r="B372" s="198">
        <v>364</v>
      </c>
      <c r="C372" s="501" t="str">
        <f t="shared" si="31"/>
        <v/>
      </c>
      <c r="D372" s="502" t="str">
        <f t="shared" si="32"/>
        <v/>
      </c>
      <c r="E372" s="190" t="str">
        <f t="shared" si="33"/>
        <v/>
      </c>
      <c r="F372" s="196" t="str">
        <f t="shared" si="30"/>
        <v/>
      </c>
      <c r="G372" s="190" t="str">
        <f t="shared" si="34"/>
        <v/>
      </c>
      <c r="H372" s="503" t="str">
        <f t="shared" si="35"/>
        <v/>
      </c>
      <c r="I372" s="49"/>
    </row>
    <row r="373" spans="2:9" ht="20.100000000000001" customHeight="1" x14ac:dyDescent="0.3">
      <c r="B373" s="198">
        <v>365</v>
      </c>
      <c r="C373" s="501" t="str">
        <f t="shared" si="31"/>
        <v/>
      </c>
      <c r="D373" s="502" t="str">
        <f t="shared" si="32"/>
        <v/>
      </c>
      <c r="E373" s="190" t="str">
        <f t="shared" si="33"/>
        <v/>
      </c>
      <c r="F373" s="196" t="str">
        <f t="shared" si="30"/>
        <v/>
      </c>
      <c r="G373" s="190" t="str">
        <f t="shared" si="34"/>
        <v/>
      </c>
      <c r="H373" s="503" t="str">
        <f t="shared" si="35"/>
        <v/>
      </c>
      <c r="I373" s="49"/>
    </row>
    <row r="374" spans="2:9" ht="20.100000000000001" customHeight="1" x14ac:dyDescent="0.3">
      <c r="B374" s="198">
        <v>366</v>
      </c>
      <c r="C374" s="501" t="str">
        <f t="shared" si="31"/>
        <v/>
      </c>
      <c r="D374" s="502" t="str">
        <f t="shared" si="32"/>
        <v/>
      </c>
      <c r="E374" s="190" t="str">
        <f t="shared" si="33"/>
        <v/>
      </c>
      <c r="F374" s="196" t="str">
        <f t="shared" si="30"/>
        <v/>
      </c>
      <c r="G374" s="190" t="str">
        <f t="shared" si="34"/>
        <v/>
      </c>
      <c r="H374" s="503" t="str">
        <f t="shared" si="35"/>
        <v/>
      </c>
      <c r="I374" s="49"/>
    </row>
    <row r="375" spans="2:9" ht="20.100000000000001" customHeight="1" x14ac:dyDescent="0.3">
      <c r="B375" s="198">
        <v>367</v>
      </c>
      <c r="C375" s="501" t="str">
        <f t="shared" si="31"/>
        <v/>
      </c>
      <c r="D375" s="502" t="str">
        <f t="shared" si="32"/>
        <v/>
      </c>
      <c r="E375" s="190" t="str">
        <f t="shared" si="33"/>
        <v/>
      </c>
      <c r="F375" s="196" t="str">
        <f t="shared" si="30"/>
        <v/>
      </c>
      <c r="G375" s="190" t="str">
        <f t="shared" si="34"/>
        <v/>
      </c>
      <c r="H375" s="503" t="str">
        <f t="shared" si="35"/>
        <v/>
      </c>
      <c r="I375" s="49"/>
    </row>
    <row r="376" spans="2:9" ht="20.100000000000001" customHeight="1" x14ac:dyDescent="0.3">
      <c r="B376" s="198">
        <v>368</v>
      </c>
      <c r="C376" s="501" t="str">
        <f t="shared" si="31"/>
        <v/>
      </c>
      <c r="D376" s="502" t="str">
        <f t="shared" si="32"/>
        <v/>
      </c>
      <c r="E376" s="190" t="str">
        <f t="shared" si="33"/>
        <v/>
      </c>
      <c r="F376" s="196" t="str">
        <f t="shared" si="30"/>
        <v/>
      </c>
      <c r="G376" s="190" t="str">
        <f t="shared" si="34"/>
        <v/>
      </c>
      <c r="H376" s="503" t="str">
        <f t="shared" si="35"/>
        <v/>
      </c>
      <c r="I376" s="49"/>
    </row>
    <row r="377" spans="2:9" ht="20.100000000000001" customHeight="1" x14ac:dyDescent="0.3">
      <c r="B377" s="198">
        <v>369</v>
      </c>
      <c r="C377" s="501" t="str">
        <f t="shared" si="31"/>
        <v/>
      </c>
      <c r="D377" s="502" t="str">
        <f t="shared" si="32"/>
        <v/>
      </c>
      <c r="E377" s="190" t="str">
        <f t="shared" si="33"/>
        <v/>
      </c>
      <c r="F377" s="196" t="str">
        <f t="shared" si="30"/>
        <v/>
      </c>
      <c r="G377" s="190" t="str">
        <f t="shared" si="34"/>
        <v/>
      </c>
      <c r="H377" s="503" t="str">
        <f t="shared" si="35"/>
        <v/>
      </c>
      <c r="I377" s="49"/>
    </row>
    <row r="378" spans="2:9" ht="20.100000000000001" customHeight="1" x14ac:dyDescent="0.3">
      <c r="B378" s="198">
        <v>370</v>
      </c>
      <c r="C378" s="501" t="str">
        <f t="shared" si="31"/>
        <v/>
      </c>
      <c r="D378" s="502" t="str">
        <f t="shared" si="32"/>
        <v/>
      </c>
      <c r="E378" s="190" t="str">
        <f t="shared" si="33"/>
        <v/>
      </c>
      <c r="F378" s="196" t="str">
        <f t="shared" si="30"/>
        <v/>
      </c>
      <c r="G378" s="190" t="str">
        <f t="shared" si="34"/>
        <v/>
      </c>
      <c r="H378" s="503" t="str">
        <f t="shared" si="35"/>
        <v/>
      </c>
      <c r="I378" s="49"/>
    </row>
    <row r="379" spans="2:9" ht="20.100000000000001" customHeight="1" x14ac:dyDescent="0.3">
      <c r="B379" s="198">
        <v>371</v>
      </c>
      <c r="C379" s="501" t="str">
        <f t="shared" si="31"/>
        <v/>
      </c>
      <c r="D379" s="502" t="str">
        <f t="shared" si="32"/>
        <v/>
      </c>
      <c r="E379" s="190" t="str">
        <f t="shared" si="33"/>
        <v/>
      </c>
      <c r="F379" s="196" t="str">
        <f t="shared" si="30"/>
        <v/>
      </c>
      <c r="G379" s="190" t="str">
        <f t="shared" si="34"/>
        <v/>
      </c>
      <c r="H379" s="503" t="str">
        <f t="shared" si="35"/>
        <v/>
      </c>
      <c r="I379" s="49"/>
    </row>
    <row r="380" spans="2:9" ht="20.100000000000001" customHeight="1" x14ac:dyDescent="0.3">
      <c r="B380" s="198">
        <v>372</v>
      </c>
      <c r="C380" s="501" t="str">
        <f t="shared" si="31"/>
        <v/>
      </c>
      <c r="D380" s="502" t="str">
        <f t="shared" si="32"/>
        <v/>
      </c>
      <c r="E380" s="190" t="str">
        <f t="shared" si="33"/>
        <v/>
      </c>
      <c r="F380" s="196" t="str">
        <f t="shared" si="30"/>
        <v/>
      </c>
      <c r="G380" s="190" t="str">
        <f t="shared" si="34"/>
        <v/>
      </c>
      <c r="H380" s="503" t="str">
        <f t="shared" si="35"/>
        <v/>
      </c>
      <c r="I380" s="49"/>
    </row>
    <row r="381" spans="2:9" ht="20.100000000000001" customHeight="1" x14ac:dyDescent="0.3">
      <c r="B381" s="198">
        <v>373</v>
      </c>
      <c r="C381" s="501" t="str">
        <f t="shared" si="31"/>
        <v/>
      </c>
      <c r="D381" s="502" t="str">
        <f t="shared" si="32"/>
        <v/>
      </c>
      <c r="E381" s="190" t="str">
        <f t="shared" si="33"/>
        <v/>
      </c>
      <c r="F381" s="196" t="str">
        <f t="shared" si="30"/>
        <v/>
      </c>
      <c r="G381" s="190" t="str">
        <f t="shared" si="34"/>
        <v/>
      </c>
      <c r="H381" s="503" t="str">
        <f t="shared" si="35"/>
        <v/>
      </c>
      <c r="I381" s="49"/>
    </row>
    <row r="382" spans="2:9" ht="20.100000000000001" customHeight="1" x14ac:dyDescent="0.3">
      <c r="B382" s="198">
        <v>374</v>
      </c>
      <c r="C382" s="501" t="str">
        <f t="shared" si="31"/>
        <v/>
      </c>
      <c r="D382" s="502" t="str">
        <f t="shared" si="32"/>
        <v/>
      </c>
      <c r="E382" s="190" t="str">
        <f t="shared" si="33"/>
        <v/>
      </c>
      <c r="F382" s="196" t="str">
        <f t="shared" si="30"/>
        <v/>
      </c>
      <c r="G382" s="190" t="str">
        <f t="shared" si="34"/>
        <v/>
      </c>
      <c r="H382" s="503" t="str">
        <f t="shared" si="35"/>
        <v/>
      </c>
      <c r="I382" s="49"/>
    </row>
    <row r="383" spans="2:9" ht="20.100000000000001" customHeight="1" x14ac:dyDescent="0.3">
      <c r="B383" s="198">
        <v>375</v>
      </c>
      <c r="C383" s="501" t="str">
        <f t="shared" si="31"/>
        <v/>
      </c>
      <c r="D383" s="502" t="str">
        <f t="shared" si="32"/>
        <v/>
      </c>
      <c r="E383" s="190" t="str">
        <f t="shared" si="33"/>
        <v/>
      </c>
      <c r="F383" s="196" t="str">
        <f t="shared" si="30"/>
        <v/>
      </c>
      <c r="G383" s="190" t="str">
        <f t="shared" si="34"/>
        <v/>
      </c>
      <c r="H383" s="503" t="str">
        <f t="shared" si="35"/>
        <v/>
      </c>
      <c r="I383" s="49"/>
    </row>
    <row r="384" spans="2:9" ht="20.100000000000001" customHeight="1" x14ac:dyDescent="0.3">
      <c r="B384" s="198">
        <v>376</v>
      </c>
      <c r="C384" s="501" t="str">
        <f t="shared" si="31"/>
        <v/>
      </c>
      <c r="D384" s="502" t="str">
        <f t="shared" si="32"/>
        <v/>
      </c>
      <c r="E384" s="190" t="str">
        <f t="shared" si="33"/>
        <v/>
      </c>
      <c r="F384" s="196" t="str">
        <f t="shared" si="30"/>
        <v/>
      </c>
      <c r="G384" s="190" t="str">
        <f t="shared" si="34"/>
        <v/>
      </c>
      <c r="H384" s="503" t="str">
        <f t="shared" si="35"/>
        <v/>
      </c>
      <c r="I384" s="49"/>
    </row>
    <row r="385" spans="2:9" ht="20.100000000000001" customHeight="1" x14ac:dyDescent="0.3">
      <c r="B385" s="198">
        <v>377</v>
      </c>
      <c r="C385" s="501" t="str">
        <f t="shared" si="31"/>
        <v/>
      </c>
      <c r="D385" s="502" t="str">
        <f t="shared" si="32"/>
        <v/>
      </c>
      <c r="E385" s="190" t="str">
        <f t="shared" si="33"/>
        <v/>
      </c>
      <c r="F385" s="196" t="str">
        <f t="shared" si="30"/>
        <v/>
      </c>
      <c r="G385" s="190" t="str">
        <f t="shared" si="34"/>
        <v/>
      </c>
      <c r="H385" s="503" t="str">
        <f t="shared" si="35"/>
        <v/>
      </c>
      <c r="I385" s="49"/>
    </row>
    <row r="386" spans="2:9" ht="20.100000000000001" customHeight="1" x14ac:dyDescent="0.3">
      <c r="B386" s="198">
        <v>378</v>
      </c>
      <c r="C386" s="501" t="str">
        <f t="shared" si="31"/>
        <v/>
      </c>
      <c r="D386" s="502" t="str">
        <f t="shared" si="32"/>
        <v/>
      </c>
      <c r="E386" s="190" t="str">
        <f t="shared" si="33"/>
        <v/>
      </c>
      <c r="F386" s="196" t="str">
        <f t="shared" si="30"/>
        <v/>
      </c>
      <c r="G386" s="190" t="str">
        <f t="shared" si="34"/>
        <v/>
      </c>
      <c r="H386" s="503" t="str">
        <f t="shared" si="35"/>
        <v/>
      </c>
      <c r="I386" s="49"/>
    </row>
    <row r="387" spans="2:9" ht="20.100000000000001" customHeight="1" x14ac:dyDescent="0.3">
      <c r="B387" s="198">
        <v>379</v>
      </c>
      <c r="C387" s="501" t="str">
        <f t="shared" si="31"/>
        <v/>
      </c>
      <c r="D387" s="502" t="str">
        <f t="shared" si="32"/>
        <v/>
      </c>
      <c r="E387" s="190" t="str">
        <f t="shared" si="33"/>
        <v/>
      </c>
      <c r="F387" s="196" t="str">
        <f t="shared" si="30"/>
        <v/>
      </c>
      <c r="G387" s="190" t="str">
        <f t="shared" si="34"/>
        <v/>
      </c>
      <c r="H387" s="503" t="str">
        <f t="shared" si="35"/>
        <v/>
      </c>
      <c r="I387" s="49"/>
    </row>
    <row r="388" spans="2:9" ht="20.100000000000001" customHeight="1" x14ac:dyDescent="0.3">
      <c r="B388" s="198">
        <v>380</v>
      </c>
      <c r="C388" s="501" t="str">
        <f t="shared" si="31"/>
        <v/>
      </c>
      <c r="D388" s="502" t="str">
        <f t="shared" si="32"/>
        <v/>
      </c>
      <c r="E388" s="190" t="str">
        <f t="shared" si="33"/>
        <v/>
      </c>
      <c r="F388" s="196" t="str">
        <f t="shared" si="30"/>
        <v/>
      </c>
      <c r="G388" s="190" t="str">
        <f t="shared" si="34"/>
        <v/>
      </c>
      <c r="H388" s="503" t="str">
        <f t="shared" si="35"/>
        <v/>
      </c>
      <c r="I388" s="49"/>
    </row>
    <row r="389" spans="2:9" ht="20.100000000000001" customHeight="1" x14ac:dyDescent="0.3">
      <c r="B389" s="198">
        <v>381</v>
      </c>
      <c r="C389" s="501" t="str">
        <f t="shared" si="31"/>
        <v/>
      </c>
      <c r="D389" s="502" t="str">
        <f t="shared" si="32"/>
        <v/>
      </c>
      <c r="E389" s="190" t="str">
        <f t="shared" si="33"/>
        <v/>
      </c>
      <c r="F389" s="196" t="str">
        <f t="shared" si="30"/>
        <v/>
      </c>
      <c r="G389" s="190" t="str">
        <f t="shared" si="34"/>
        <v/>
      </c>
      <c r="H389" s="503" t="str">
        <f t="shared" si="35"/>
        <v/>
      </c>
      <c r="I389" s="49"/>
    </row>
    <row r="390" spans="2:9" ht="20.100000000000001" customHeight="1" x14ac:dyDescent="0.3">
      <c r="B390" s="198">
        <v>382</v>
      </c>
      <c r="C390" s="501" t="str">
        <f t="shared" si="31"/>
        <v/>
      </c>
      <c r="D390" s="502" t="str">
        <f t="shared" si="32"/>
        <v/>
      </c>
      <c r="E390" s="190" t="str">
        <f t="shared" si="33"/>
        <v/>
      </c>
      <c r="F390" s="196" t="str">
        <f t="shared" si="30"/>
        <v/>
      </c>
      <c r="G390" s="190" t="str">
        <f t="shared" si="34"/>
        <v/>
      </c>
      <c r="H390" s="503" t="str">
        <f t="shared" si="35"/>
        <v/>
      </c>
      <c r="I390" s="49"/>
    </row>
    <row r="391" spans="2:9" ht="20.100000000000001" customHeight="1" x14ac:dyDescent="0.3">
      <c r="B391" s="198">
        <v>383</v>
      </c>
      <c r="C391" s="501" t="str">
        <f t="shared" si="31"/>
        <v/>
      </c>
      <c r="D391" s="502" t="str">
        <f t="shared" si="32"/>
        <v/>
      </c>
      <c r="E391" s="190" t="str">
        <f t="shared" si="33"/>
        <v/>
      </c>
      <c r="F391" s="196" t="str">
        <f t="shared" si="30"/>
        <v/>
      </c>
      <c r="G391" s="190" t="str">
        <f t="shared" si="34"/>
        <v/>
      </c>
      <c r="H391" s="503" t="str">
        <f t="shared" si="35"/>
        <v/>
      </c>
      <c r="I391" s="49"/>
    </row>
    <row r="392" spans="2:9" ht="20.100000000000001" customHeight="1" x14ac:dyDescent="0.3">
      <c r="B392" s="198">
        <v>384</v>
      </c>
      <c r="C392" s="501" t="str">
        <f t="shared" si="31"/>
        <v/>
      </c>
      <c r="D392" s="502" t="str">
        <f t="shared" si="32"/>
        <v/>
      </c>
      <c r="E392" s="190" t="str">
        <f t="shared" si="33"/>
        <v/>
      </c>
      <c r="F392" s="196" t="str">
        <f t="shared" si="30"/>
        <v/>
      </c>
      <c r="G392" s="190" t="str">
        <f t="shared" si="34"/>
        <v/>
      </c>
      <c r="H392" s="503" t="str">
        <f t="shared" si="35"/>
        <v/>
      </c>
      <c r="I392" s="49"/>
    </row>
    <row r="393" spans="2:9" ht="20.100000000000001" customHeight="1" x14ac:dyDescent="0.3">
      <c r="B393" s="198">
        <v>385</v>
      </c>
      <c r="C393" s="501" t="str">
        <f t="shared" si="31"/>
        <v/>
      </c>
      <c r="D393" s="502" t="str">
        <f t="shared" si="32"/>
        <v/>
      </c>
      <c r="E393" s="190" t="str">
        <f t="shared" si="33"/>
        <v/>
      </c>
      <c r="F393" s="196" t="str">
        <f t="shared" si="30"/>
        <v/>
      </c>
      <c r="G393" s="190" t="str">
        <f t="shared" si="34"/>
        <v/>
      </c>
      <c r="H393" s="503" t="str">
        <f t="shared" si="35"/>
        <v/>
      </c>
      <c r="I393" s="49"/>
    </row>
    <row r="394" spans="2:9" ht="20.100000000000001" customHeight="1" x14ac:dyDescent="0.3">
      <c r="B394" s="198">
        <v>386</v>
      </c>
      <c r="C394" s="501" t="str">
        <f t="shared" si="31"/>
        <v/>
      </c>
      <c r="D394" s="502" t="str">
        <f t="shared" si="32"/>
        <v/>
      </c>
      <c r="E394" s="190" t="str">
        <f t="shared" si="33"/>
        <v/>
      </c>
      <c r="F394" s="196" t="str">
        <f t="shared" ref="F394:F457" si="36">IF($H$4="","",IF($F$4="원리금균등상환",IFERROR(D394+E394,""),IF($F$4="원금균등상환",D394+E394,"")))</f>
        <v/>
      </c>
      <c r="G394" s="190" t="str">
        <f t="shared" si="34"/>
        <v/>
      </c>
      <c r="H394" s="503" t="str">
        <f t="shared" si="35"/>
        <v/>
      </c>
      <c r="I394" s="49"/>
    </row>
    <row r="395" spans="2:9" ht="20.100000000000001" customHeight="1" x14ac:dyDescent="0.3">
      <c r="B395" s="198">
        <v>387</v>
      </c>
      <c r="C395" s="501" t="str">
        <f t="shared" ref="C395:C458" si="37">IF($H$4="","",IF(B395&gt;($B$6),"",IF(B395&lt;=($B$6),DATE(YEAR($G$4),MONTH($G$4)+B394,DAY($G$4)),"")))</f>
        <v/>
      </c>
      <c r="D395" s="502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190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196" t="str">
        <f t="shared" si="36"/>
        <v/>
      </c>
      <c r="G395" s="190" t="str">
        <f t="shared" ref="G395:G458" si="40">IFERROR(IF(B395&gt;(($D$6+$B$6)*12),"",IF(B395=1,D395,D395+G394)),"")</f>
        <v/>
      </c>
      <c r="H395" s="503" t="str">
        <f t="shared" ref="H395:H458" si="41">IFERROR(IF($H$4="","",H394-D395),"")</f>
        <v/>
      </c>
      <c r="I395" s="49"/>
    </row>
    <row r="396" spans="2:9" ht="20.100000000000001" customHeight="1" x14ac:dyDescent="0.3">
      <c r="B396" s="198">
        <v>388</v>
      </c>
      <c r="C396" s="501" t="str">
        <f t="shared" si="37"/>
        <v/>
      </c>
      <c r="D396" s="502" t="str">
        <f t="shared" si="38"/>
        <v/>
      </c>
      <c r="E396" s="190" t="str">
        <f t="shared" si="39"/>
        <v/>
      </c>
      <c r="F396" s="196" t="str">
        <f t="shared" si="36"/>
        <v/>
      </c>
      <c r="G396" s="190" t="str">
        <f t="shared" si="40"/>
        <v/>
      </c>
      <c r="H396" s="503" t="str">
        <f t="shared" si="41"/>
        <v/>
      </c>
      <c r="I396" s="49"/>
    </row>
    <row r="397" spans="2:9" ht="20.100000000000001" customHeight="1" x14ac:dyDescent="0.3">
      <c r="B397" s="198">
        <v>389</v>
      </c>
      <c r="C397" s="501" t="str">
        <f t="shared" si="37"/>
        <v/>
      </c>
      <c r="D397" s="502" t="str">
        <f t="shared" si="38"/>
        <v/>
      </c>
      <c r="E397" s="190" t="str">
        <f t="shared" si="39"/>
        <v/>
      </c>
      <c r="F397" s="196" t="str">
        <f t="shared" si="36"/>
        <v/>
      </c>
      <c r="G397" s="190" t="str">
        <f t="shared" si="40"/>
        <v/>
      </c>
      <c r="H397" s="503" t="str">
        <f t="shared" si="41"/>
        <v/>
      </c>
      <c r="I397" s="49"/>
    </row>
    <row r="398" spans="2:9" ht="20.100000000000001" customHeight="1" x14ac:dyDescent="0.3">
      <c r="B398" s="198">
        <v>390</v>
      </c>
      <c r="C398" s="501" t="str">
        <f t="shared" si="37"/>
        <v/>
      </c>
      <c r="D398" s="502" t="str">
        <f t="shared" si="38"/>
        <v/>
      </c>
      <c r="E398" s="190" t="str">
        <f t="shared" si="39"/>
        <v/>
      </c>
      <c r="F398" s="196" t="str">
        <f t="shared" si="36"/>
        <v/>
      </c>
      <c r="G398" s="190" t="str">
        <f t="shared" si="40"/>
        <v/>
      </c>
      <c r="H398" s="503" t="str">
        <f t="shared" si="41"/>
        <v/>
      </c>
      <c r="I398" s="49"/>
    </row>
    <row r="399" spans="2:9" ht="20.100000000000001" customHeight="1" x14ac:dyDescent="0.3">
      <c r="B399" s="198">
        <v>391</v>
      </c>
      <c r="C399" s="501" t="str">
        <f t="shared" si="37"/>
        <v/>
      </c>
      <c r="D399" s="502" t="str">
        <f t="shared" si="38"/>
        <v/>
      </c>
      <c r="E399" s="190" t="str">
        <f t="shared" si="39"/>
        <v/>
      </c>
      <c r="F399" s="196" t="str">
        <f t="shared" si="36"/>
        <v/>
      </c>
      <c r="G399" s="190" t="str">
        <f t="shared" si="40"/>
        <v/>
      </c>
      <c r="H399" s="503" t="str">
        <f t="shared" si="41"/>
        <v/>
      </c>
      <c r="I399" s="49"/>
    </row>
    <row r="400" spans="2:9" ht="20.100000000000001" customHeight="1" x14ac:dyDescent="0.3">
      <c r="B400" s="198">
        <v>392</v>
      </c>
      <c r="C400" s="501" t="str">
        <f t="shared" si="37"/>
        <v/>
      </c>
      <c r="D400" s="502" t="str">
        <f t="shared" si="38"/>
        <v/>
      </c>
      <c r="E400" s="190" t="str">
        <f t="shared" si="39"/>
        <v/>
      </c>
      <c r="F400" s="196" t="str">
        <f t="shared" si="36"/>
        <v/>
      </c>
      <c r="G400" s="190" t="str">
        <f t="shared" si="40"/>
        <v/>
      </c>
      <c r="H400" s="503" t="str">
        <f t="shared" si="41"/>
        <v/>
      </c>
      <c r="I400" s="49"/>
    </row>
    <row r="401" spans="2:9" ht="20.100000000000001" customHeight="1" x14ac:dyDescent="0.3">
      <c r="B401" s="198">
        <v>393</v>
      </c>
      <c r="C401" s="501" t="str">
        <f t="shared" si="37"/>
        <v/>
      </c>
      <c r="D401" s="502" t="str">
        <f t="shared" si="38"/>
        <v/>
      </c>
      <c r="E401" s="190" t="str">
        <f t="shared" si="39"/>
        <v/>
      </c>
      <c r="F401" s="196" t="str">
        <f t="shared" si="36"/>
        <v/>
      </c>
      <c r="G401" s="190" t="str">
        <f t="shared" si="40"/>
        <v/>
      </c>
      <c r="H401" s="503" t="str">
        <f t="shared" si="41"/>
        <v/>
      </c>
      <c r="I401" s="49"/>
    </row>
    <row r="402" spans="2:9" ht="20.100000000000001" customHeight="1" x14ac:dyDescent="0.3">
      <c r="B402" s="198">
        <v>394</v>
      </c>
      <c r="C402" s="501" t="str">
        <f t="shared" si="37"/>
        <v/>
      </c>
      <c r="D402" s="502" t="str">
        <f t="shared" si="38"/>
        <v/>
      </c>
      <c r="E402" s="190" t="str">
        <f t="shared" si="39"/>
        <v/>
      </c>
      <c r="F402" s="196" t="str">
        <f t="shared" si="36"/>
        <v/>
      </c>
      <c r="G402" s="190" t="str">
        <f t="shared" si="40"/>
        <v/>
      </c>
      <c r="H402" s="503" t="str">
        <f t="shared" si="41"/>
        <v/>
      </c>
      <c r="I402" s="49"/>
    </row>
    <row r="403" spans="2:9" ht="20.100000000000001" customHeight="1" x14ac:dyDescent="0.3">
      <c r="B403" s="198">
        <v>395</v>
      </c>
      <c r="C403" s="501" t="str">
        <f t="shared" si="37"/>
        <v/>
      </c>
      <c r="D403" s="502" t="str">
        <f t="shared" si="38"/>
        <v/>
      </c>
      <c r="E403" s="190" t="str">
        <f t="shared" si="39"/>
        <v/>
      </c>
      <c r="F403" s="196" t="str">
        <f t="shared" si="36"/>
        <v/>
      </c>
      <c r="G403" s="190" t="str">
        <f t="shared" si="40"/>
        <v/>
      </c>
      <c r="H403" s="503" t="str">
        <f t="shared" si="41"/>
        <v/>
      </c>
      <c r="I403" s="49"/>
    </row>
    <row r="404" spans="2:9" ht="20.100000000000001" customHeight="1" x14ac:dyDescent="0.3">
      <c r="B404" s="198">
        <v>396</v>
      </c>
      <c r="C404" s="501" t="str">
        <f t="shared" si="37"/>
        <v/>
      </c>
      <c r="D404" s="502" t="str">
        <f t="shared" si="38"/>
        <v/>
      </c>
      <c r="E404" s="190" t="str">
        <f t="shared" si="39"/>
        <v/>
      </c>
      <c r="F404" s="196" t="str">
        <f t="shared" si="36"/>
        <v/>
      </c>
      <c r="G404" s="190" t="str">
        <f t="shared" si="40"/>
        <v/>
      </c>
      <c r="H404" s="503" t="str">
        <f t="shared" si="41"/>
        <v/>
      </c>
      <c r="I404" s="49"/>
    </row>
    <row r="405" spans="2:9" ht="20.100000000000001" customHeight="1" x14ac:dyDescent="0.3">
      <c r="B405" s="198">
        <v>397</v>
      </c>
      <c r="C405" s="501" t="str">
        <f t="shared" si="37"/>
        <v/>
      </c>
      <c r="D405" s="502" t="str">
        <f t="shared" si="38"/>
        <v/>
      </c>
      <c r="E405" s="190" t="str">
        <f t="shared" si="39"/>
        <v/>
      </c>
      <c r="F405" s="196" t="str">
        <f t="shared" si="36"/>
        <v/>
      </c>
      <c r="G405" s="190" t="str">
        <f t="shared" si="40"/>
        <v/>
      </c>
      <c r="H405" s="503" t="str">
        <f t="shared" si="41"/>
        <v/>
      </c>
      <c r="I405" s="49"/>
    </row>
    <row r="406" spans="2:9" ht="20.100000000000001" customHeight="1" x14ac:dyDescent="0.3">
      <c r="B406" s="198">
        <v>398</v>
      </c>
      <c r="C406" s="501" t="str">
        <f t="shared" si="37"/>
        <v/>
      </c>
      <c r="D406" s="502" t="str">
        <f t="shared" si="38"/>
        <v/>
      </c>
      <c r="E406" s="190" t="str">
        <f t="shared" si="39"/>
        <v/>
      </c>
      <c r="F406" s="196" t="str">
        <f t="shared" si="36"/>
        <v/>
      </c>
      <c r="G406" s="190" t="str">
        <f t="shared" si="40"/>
        <v/>
      </c>
      <c r="H406" s="503" t="str">
        <f t="shared" si="41"/>
        <v/>
      </c>
      <c r="I406" s="49"/>
    </row>
    <row r="407" spans="2:9" ht="20.100000000000001" customHeight="1" x14ac:dyDescent="0.3">
      <c r="B407" s="198">
        <v>399</v>
      </c>
      <c r="C407" s="501" t="str">
        <f t="shared" si="37"/>
        <v/>
      </c>
      <c r="D407" s="502" t="str">
        <f t="shared" si="38"/>
        <v/>
      </c>
      <c r="E407" s="190" t="str">
        <f t="shared" si="39"/>
        <v/>
      </c>
      <c r="F407" s="196" t="str">
        <f t="shared" si="36"/>
        <v/>
      </c>
      <c r="G407" s="190" t="str">
        <f t="shared" si="40"/>
        <v/>
      </c>
      <c r="H407" s="503" t="str">
        <f t="shared" si="41"/>
        <v/>
      </c>
      <c r="I407" s="49"/>
    </row>
    <row r="408" spans="2:9" ht="20.100000000000001" customHeight="1" x14ac:dyDescent="0.3">
      <c r="B408" s="198">
        <v>400</v>
      </c>
      <c r="C408" s="501" t="str">
        <f t="shared" si="37"/>
        <v/>
      </c>
      <c r="D408" s="502" t="str">
        <f t="shared" si="38"/>
        <v/>
      </c>
      <c r="E408" s="190" t="str">
        <f t="shared" si="39"/>
        <v/>
      </c>
      <c r="F408" s="196" t="str">
        <f t="shared" si="36"/>
        <v/>
      </c>
      <c r="G408" s="190" t="str">
        <f t="shared" si="40"/>
        <v/>
      </c>
      <c r="H408" s="503" t="str">
        <f t="shared" si="41"/>
        <v/>
      </c>
      <c r="I408" s="49"/>
    </row>
    <row r="409" spans="2:9" ht="20.100000000000001" customHeight="1" x14ac:dyDescent="0.3">
      <c r="B409" s="198">
        <v>401</v>
      </c>
      <c r="C409" s="501" t="str">
        <f t="shared" si="37"/>
        <v/>
      </c>
      <c r="D409" s="502" t="str">
        <f t="shared" si="38"/>
        <v/>
      </c>
      <c r="E409" s="190" t="str">
        <f t="shared" si="39"/>
        <v/>
      </c>
      <c r="F409" s="196" t="str">
        <f t="shared" si="36"/>
        <v/>
      </c>
      <c r="G409" s="190" t="str">
        <f t="shared" si="40"/>
        <v/>
      </c>
      <c r="H409" s="503" t="str">
        <f t="shared" si="41"/>
        <v/>
      </c>
      <c r="I409" s="49"/>
    </row>
    <row r="410" spans="2:9" ht="20.100000000000001" customHeight="1" x14ac:dyDescent="0.3">
      <c r="B410" s="198">
        <v>402</v>
      </c>
      <c r="C410" s="501" t="str">
        <f t="shared" si="37"/>
        <v/>
      </c>
      <c r="D410" s="502" t="str">
        <f t="shared" si="38"/>
        <v/>
      </c>
      <c r="E410" s="190" t="str">
        <f t="shared" si="39"/>
        <v/>
      </c>
      <c r="F410" s="196" t="str">
        <f t="shared" si="36"/>
        <v/>
      </c>
      <c r="G410" s="190" t="str">
        <f t="shared" si="40"/>
        <v/>
      </c>
      <c r="H410" s="503" t="str">
        <f t="shared" si="41"/>
        <v/>
      </c>
      <c r="I410" s="49"/>
    </row>
    <row r="411" spans="2:9" ht="20.100000000000001" customHeight="1" x14ac:dyDescent="0.3">
      <c r="B411" s="198">
        <v>403</v>
      </c>
      <c r="C411" s="501" t="str">
        <f t="shared" si="37"/>
        <v/>
      </c>
      <c r="D411" s="502" t="str">
        <f t="shared" si="38"/>
        <v/>
      </c>
      <c r="E411" s="190" t="str">
        <f t="shared" si="39"/>
        <v/>
      </c>
      <c r="F411" s="196" t="str">
        <f t="shared" si="36"/>
        <v/>
      </c>
      <c r="G411" s="190" t="str">
        <f t="shared" si="40"/>
        <v/>
      </c>
      <c r="H411" s="503" t="str">
        <f t="shared" si="41"/>
        <v/>
      </c>
      <c r="I411" s="49"/>
    </row>
    <row r="412" spans="2:9" ht="20.100000000000001" customHeight="1" x14ac:dyDescent="0.3">
      <c r="B412" s="198">
        <v>404</v>
      </c>
      <c r="C412" s="501" t="str">
        <f t="shared" si="37"/>
        <v/>
      </c>
      <c r="D412" s="502" t="str">
        <f t="shared" si="38"/>
        <v/>
      </c>
      <c r="E412" s="190" t="str">
        <f t="shared" si="39"/>
        <v/>
      </c>
      <c r="F412" s="196" t="str">
        <f t="shared" si="36"/>
        <v/>
      </c>
      <c r="G412" s="190" t="str">
        <f t="shared" si="40"/>
        <v/>
      </c>
      <c r="H412" s="503" t="str">
        <f t="shared" si="41"/>
        <v/>
      </c>
      <c r="I412" s="49"/>
    </row>
    <row r="413" spans="2:9" ht="20.100000000000001" customHeight="1" x14ac:dyDescent="0.3">
      <c r="B413" s="198">
        <v>405</v>
      </c>
      <c r="C413" s="501" t="str">
        <f t="shared" si="37"/>
        <v/>
      </c>
      <c r="D413" s="502" t="str">
        <f t="shared" si="38"/>
        <v/>
      </c>
      <c r="E413" s="190" t="str">
        <f t="shared" si="39"/>
        <v/>
      </c>
      <c r="F413" s="196" t="str">
        <f t="shared" si="36"/>
        <v/>
      </c>
      <c r="G413" s="190" t="str">
        <f t="shared" si="40"/>
        <v/>
      </c>
      <c r="H413" s="503" t="str">
        <f t="shared" si="41"/>
        <v/>
      </c>
      <c r="I413" s="49"/>
    </row>
    <row r="414" spans="2:9" ht="20.100000000000001" customHeight="1" x14ac:dyDescent="0.3">
      <c r="B414" s="198">
        <v>406</v>
      </c>
      <c r="C414" s="501" t="str">
        <f t="shared" si="37"/>
        <v/>
      </c>
      <c r="D414" s="502" t="str">
        <f t="shared" si="38"/>
        <v/>
      </c>
      <c r="E414" s="190" t="str">
        <f t="shared" si="39"/>
        <v/>
      </c>
      <c r="F414" s="196" t="str">
        <f t="shared" si="36"/>
        <v/>
      </c>
      <c r="G414" s="190" t="str">
        <f t="shared" si="40"/>
        <v/>
      </c>
      <c r="H414" s="503" t="str">
        <f t="shared" si="41"/>
        <v/>
      </c>
      <c r="I414" s="49"/>
    </row>
    <row r="415" spans="2:9" ht="20.100000000000001" customHeight="1" x14ac:dyDescent="0.3">
      <c r="B415" s="198">
        <v>407</v>
      </c>
      <c r="C415" s="501" t="str">
        <f t="shared" si="37"/>
        <v/>
      </c>
      <c r="D415" s="502" t="str">
        <f t="shared" si="38"/>
        <v/>
      </c>
      <c r="E415" s="190" t="str">
        <f t="shared" si="39"/>
        <v/>
      </c>
      <c r="F415" s="196" t="str">
        <f t="shared" si="36"/>
        <v/>
      </c>
      <c r="G415" s="190" t="str">
        <f t="shared" si="40"/>
        <v/>
      </c>
      <c r="H415" s="503" t="str">
        <f t="shared" si="41"/>
        <v/>
      </c>
      <c r="I415" s="49"/>
    </row>
    <row r="416" spans="2:9" ht="20.100000000000001" customHeight="1" x14ac:dyDescent="0.3">
      <c r="B416" s="198">
        <v>408</v>
      </c>
      <c r="C416" s="501" t="str">
        <f t="shared" si="37"/>
        <v/>
      </c>
      <c r="D416" s="502" t="str">
        <f t="shared" si="38"/>
        <v/>
      </c>
      <c r="E416" s="190" t="str">
        <f t="shared" si="39"/>
        <v/>
      </c>
      <c r="F416" s="196" t="str">
        <f t="shared" si="36"/>
        <v/>
      </c>
      <c r="G416" s="190" t="str">
        <f t="shared" si="40"/>
        <v/>
      </c>
      <c r="H416" s="503" t="str">
        <f t="shared" si="41"/>
        <v/>
      </c>
      <c r="I416" s="49"/>
    </row>
    <row r="417" spans="2:9" ht="20.100000000000001" customHeight="1" x14ac:dyDescent="0.3">
      <c r="B417" s="198">
        <v>409</v>
      </c>
      <c r="C417" s="501" t="str">
        <f t="shared" si="37"/>
        <v/>
      </c>
      <c r="D417" s="502" t="str">
        <f t="shared" si="38"/>
        <v/>
      </c>
      <c r="E417" s="190" t="str">
        <f t="shared" si="39"/>
        <v/>
      </c>
      <c r="F417" s="196" t="str">
        <f t="shared" si="36"/>
        <v/>
      </c>
      <c r="G417" s="190" t="str">
        <f t="shared" si="40"/>
        <v/>
      </c>
      <c r="H417" s="503" t="str">
        <f t="shared" si="41"/>
        <v/>
      </c>
      <c r="I417" s="49"/>
    </row>
    <row r="418" spans="2:9" ht="20.100000000000001" customHeight="1" x14ac:dyDescent="0.3">
      <c r="B418" s="198">
        <v>410</v>
      </c>
      <c r="C418" s="501" t="str">
        <f t="shared" si="37"/>
        <v/>
      </c>
      <c r="D418" s="502" t="str">
        <f t="shared" si="38"/>
        <v/>
      </c>
      <c r="E418" s="190" t="str">
        <f t="shared" si="39"/>
        <v/>
      </c>
      <c r="F418" s="196" t="str">
        <f t="shared" si="36"/>
        <v/>
      </c>
      <c r="G418" s="190" t="str">
        <f t="shared" si="40"/>
        <v/>
      </c>
      <c r="H418" s="503" t="str">
        <f t="shared" si="41"/>
        <v/>
      </c>
      <c r="I418" s="49"/>
    </row>
    <row r="419" spans="2:9" ht="20.100000000000001" customHeight="1" x14ac:dyDescent="0.3">
      <c r="B419" s="198">
        <v>411</v>
      </c>
      <c r="C419" s="501" t="str">
        <f t="shared" si="37"/>
        <v/>
      </c>
      <c r="D419" s="502" t="str">
        <f t="shared" si="38"/>
        <v/>
      </c>
      <c r="E419" s="190" t="str">
        <f t="shared" si="39"/>
        <v/>
      </c>
      <c r="F419" s="196" t="str">
        <f t="shared" si="36"/>
        <v/>
      </c>
      <c r="G419" s="190" t="str">
        <f t="shared" si="40"/>
        <v/>
      </c>
      <c r="H419" s="503" t="str">
        <f t="shared" si="41"/>
        <v/>
      </c>
      <c r="I419" s="49"/>
    </row>
    <row r="420" spans="2:9" ht="20.100000000000001" customHeight="1" x14ac:dyDescent="0.3">
      <c r="B420" s="198">
        <v>412</v>
      </c>
      <c r="C420" s="501" t="str">
        <f t="shared" si="37"/>
        <v/>
      </c>
      <c r="D420" s="502" t="str">
        <f t="shared" si="38"/>
        <v/>
      </c>
      <c r="E420" s="190" t="str">
        <f t="shared" si="39"/>
        <v/>
      </c>
      <c r="F420" s="196" t="str">
        <f t="shared" si="36"/>
        <v/>
      </c>
      <c r="G420" s="190" t="str">
        <f t="shared" si="40"/>
        <v/>
      </c>
      <c r="H420" s="503" t="str">
        <f t="shared" si="41"/>
        <v/>
      </c>
      <c r="I420" s="49"/>
    </row>
    <row r="421" spans="2:9" ht="20.100000000000001" customHeight="1" x14ac:dyDescent="0.3">
      <c r="B421" s="198">
        <v>413</v>
      </c>
      <c r="C421" s="501" t="str">
        <f t="shared" si="37"/>
        <v/>
      </c>
      <c r="D421" s="502" t="str">
        <f t="shared" si="38"/>
        <v/>
      </c>
      <c r="E421" s="190" t="str">
        <f t="shared" si="39"/>
        <v/>
      </c>
      <c r="F421" s="196" t="str">
        <f t="shared" si="36"/>
        <v/>
      </c>
      <c r="G421" s="190" t="str">
        <f t="shared" si="40"/>
        <v/>
      </c>
      <c r="H421" s="503" t="str">
        <f t="shared" si="41"/>
        <v/>
      </c>
      <c r="I421" s="49"/>
    </row>
    <row r="422" spans="2:9" ht="20.100000000000001" customHeight="1" x14ac:dyDescent="0.3">
      <c r="B422" s="198">
        <v>414</v>
      </c>
      <c r="C422" s="501" t="str">
        <f t="shared" si="37"/>
        <v/>
      </c>
      <c r="D422" s="502" t="str">
        <f t="shared" si="38"/>
        <v/>
      </c>
      <c r="E422" s="190" t="str">
        <f t="shared" si="39"/>
        <v/>
      </c>
      <c r="F422" s="196" t="str">
        <f t="shared" si="36"/>
        <v/>
      </c>
      <c r="G422" s="190" t="str">
        <f t="shared" si="40"/>
        <v/>
      </c>
      <c r="H422" s="503" t="str">
        <f t="shared" si="41"/>
        <v/>
      </c>
      <c r="I422" s="49"/>
    </row>
    <row r="423" spans="2:9" ht="20.100000000000001" customHeight="1" x14ac:dyDescent="0.3">
      <c r="B423" s="198">
        <v>415</v>
      </c>
      <c r="C423" s="501" t="str">
        <f t="shared" si="37"/>
        <v/>
      </c>
      <c r="D423" s="502" t="str">
        <f t="shared" si="38"/>
        <v/>
      </c>
      <c r="E423" s="190" t="str">
        <f t="shared" si="39"/>
        <v/>
      </c>
      <c r="F423" s="196" t="str">
        <f t="shared" si="36"/>
        <v/>
      </c>
      <c r="G423" s="190" t="str">
        <f t="shared" si="40"/>
        <v/>
      </c>
      <c r="H423" s="503" t="str">
        <f t="shared" si="41"/>
        <v/>
      </c>
      <c r="I423" s="49"/>
    </row>
    <row r="424" spans="2:9" ht="20.100000000000001" customHeight="1" x14ac:dyDescent="0.3">
      <c r="B424" s="198">
        <v>416</v>
      </c>
      <c r="C424" s="501" t="str">
        <f t="shared" si="37"/>
        <v/>
      </c>
      <c r="D424" s="502" t="str">
        <f t="shared" si="38"/>
        <v/>
      </c>
      <c r="E424" s="190" t="str">
        <f t="shared" si="39"/>
        <v/>
      </c>
      <c r="F424" s="196" t="str">
        <f t="shared" si="36"/>
        <v/>
      </c>
      <c r="G424" s="190" t="str">
        <f t="shared" si="40"/>
        <v/>
      </c>
      <c r="H424" s="503" t="str">
        <f t="shared" si="41"/>
        <v/>
      </c>
      <c r="I424" s="49"/>
    </row>
    <row r="425" spans="2:9" ht="20.100000000000001" customHeight="1" x14ac:dyDescent="0.3">
      <c r="B425" s="198">
        <v>417</v>
      </c>
      <c r="C425" s="501" t="str">
        <f t="shared" si="37"/>
        <v/>
      </c>
      <c r="D425" s="502" t="str">
        <f t="shared" si="38"/>
        <v/>
      </c>
      <c r="E425" s="190" t="str">
        <f t="shared" si="39"/>
        <v/>
      </c>
      <c r="F425" s="196" t="str">
        <f t="shared" si="36"/>
        <v/>
      </c>
      <c r="G425" s="190" t="str">
        <f t="shared" si="40"/>
        <v/>
      </c>
      <c r="H425" s="503" t="str">
        <f t="shared" si="41"/>
        <v/>
      </c>
      <c r="I425" s="49"/>
    </row>
    <row r="426" spans="2:9" ht="20.100000000000001" customHeight="1" x14ac:dyDescent="0.3">
      <c r="B426" s="198">
        <v>418</v>
      </c>
      <c r="C426" s="501" t="str">
        <f t="shared" si="37"/>
        <v/>
      </c>
      <c r="D426" s="502" t="str">
        <f t="shared" si="38"/>
        <v/>
      </c>
      <c r="E426" s="190" t="str">
        <f t="shared" si="39"/>
        <v/>
      </c>
      <c r="F426" s="196" t="str">
        <f t="shared" si="36"/>
        <v/>
      </c>
      <c r="G426" s="190" t="str">
        <f t="shared" si="40"/>
        <v/>
      </c>
      <c r="H426" s="503" t="str">
        <f t="shared" si="41"/>
        <v/>
      </c>
      <c r="I426" s="49"/>
    </row>
    <row r="427" spans="2:9" ht="20.100000000000001" customHeight="1" x14ac:dyDescent="0.3">
      <c r="B427" s="198">
        <v>419</v>
      </c>
      <c r="C427" s="501" t="str">
        <f t="shared" si="37"/>
        <v/>
      </c>
      <c r="D427" s="502" t="str">
        <f t="shared" si="38"/>
        <v/>
      </c>
      <c r="E427" s="190" t="str">
        <f t="shared" si="39"/>
        <v/>
      </c>
      <c r="F427" s="196" t="str">
        <f t="shared" si="36"/>
        <v/>
      </c>
      <c r="G427" s="190" t="str">
        <f t="shared" si="40"/>
        <v/>
      </c>
      <c r="H427" s="503" t="str">
        <f t="shared" si="41"/>
        <v/>
      </c>
      <c r="I427" s="49"/>
    </row>
    <row r="428" spans="2:9" ht="20.100000000000001" customHeight="1" x14ac:dyDescent="0.3">
      <c r="B428" s="198">
        <v>420</v>
      </c>
      <c r="C428" s="501" t="str">
        <f t="shared" si="37"/>
        <v/>
      </c>
      <c r="D428" s="502" t="str">
        <f t="shared" si="38"/>
        <v/>
      </c>
      <c r="E428" s="190" t="str">
        <f t="shared" si="39"/>
        <v/>
      </c>
      <c r="F428" s="196" t="str">
        <f t="shared" si="36"/>
        <v/>
      </c>
      <c r="G428" s="190" t="str">
        <f t="shared" si="40"/>
        <v/>
      </c>
      <c r="H428" s="503" t="str">
        <f t="shared" si="41"/>
        <v/>
      </c>
      <c r="I428" s="49"/>
    </row>
    <row r="429" spans="2:9" ht="20.100000000000001" customHeight="1" x14ac:dyDescent="0.3">
      <c r="B429" s="198">
        <v>421</v>
      </c>
      <c r="C429" s="501" t="str">
        <f t="shared" si="37"/>
        <v/>
      </c>
      <c r="D429" s="502" t="str">
        <f t="shared" si="38"/>
        <v/>
      </c>
      <c r="E429" s="190" t="str">
        <f t="shared" si="39"/>
        <v/>
      </c>
      <c r="F429" s="196" t="str">
        <f t="shared" si="36"/>
        <v/>
      </c>
      <c r="G429" s="190" t="str">
        <f t="shared" si="40"/>
        <v/>
      </c>
      <c r="H429" s="503" t="str">
        <f t="shared" si="41"/>
        <v/>
      </c>
      <c r="I429" s="49"/>
    </row>
    <row r="430" spans="2:9" ht="20.100000000000001" customHeight="1" x14ac:dyDescent="0.3">
      <c r="B430" s="198">
        <v>422</v>
      </c>
      <c r="C430" s="501" t="str">
        <f t="shared" si="37"/>
        <v/>
      </c>
      <c r="D430" s="502" t="str">
        <f t="shared" si="38"/>
        <v/>
      </c>
      <c r="E430" s="190" t="str">
        <f t="shared" si="39"/>
        <v/>
      </c>
      <c r="F430" s="196" t="str">
        <f t="shared" si="36"/>
        <v/>
      </c>
      <c r="G430" s="190" t="str">
        <f t="shared" si="40"/>
        <v/>
      </c>
      <c r="H430" s="503" t="str">
        <f t="shared" si="41"/>
        <v/>
      </c>
      <c r="I430" s="49"/>
    </row>
    <row r="431" spans="2:9" ht="20.100000000000001" customHeight="1" x14ac:dyDescent="0.3">
      <c r="B431" s="198">
        <v>423</v>
      </c>
      <c r="C431" s="501" t="str">
        <f t="shared" si="37"/>
        <v/>
      </c>
      <c r="D431" s="502" t="str">
        <f t="shared" si="38"/>
        <v/>
      </c>
      <c r="E431" s="190" t="str">
        <f t="shared" si="39"/>
        <v/>
      </c>
      <c r="F431" s="196" t="str">
        <f t="shared" si="36"/>
        <v/>
      </c>
      <c r="G431" s="190" t="str">
        <f t="shared" si="40"/>
        <v/>
      </c>
      <c r="H431" s="503" t="str">
        <f t="shared" si="41"/>
        <v/>
      </c>
      <c r="I431" s="49"/>
    </row>
    <row r="432" spans="2:9" ht="20.100000000000001" customHeight="1" x14ac:dyDescent="0.3">
      <c r="B432" s="198">
        <v>424</v>
      </c>
      <c r="C432" s="501" t="str">
        <f t="shared" si="37"/>
        <v/>
      </c>
      <c r="D432" s="502" t="str">
        <f t="shared" si="38"/>
        <v/>
      </c>
      <c r="E432" s="190" t="str">
        <f t="shared" si="39"/>
        <v/>
      </c>
      <c r="F432" s="196" t="str">
        <f t="shared" si="36"/>
        <v/>
      </c>
      <c r="G432" s="190" t="str">
        <f t="shared" si="40"/>
        <v/>
      </c>
      <c r="H432" s="503" t="str">
        <f t="shared" si="41"/>
        <v/>
      </c>
      <c r="I432" s="49"/>
    </row>
    <row r="433" spans="2:9" ht="20.100000000000001" customHeight="1" x14ac:dyDescent="0.3">
      <c r="B433" s="198">
        <v>425</v>
      </c>
      <c r="C433" s="501" t="str">
        <f t="shared" si="37"/>
        <v/>
      </c>
      <c r="D433" s="502" t="str">
        <f t="shared" si="38"/>
        <v/>
      </c>
      <c r="E433" s="190" t="str">
        <f t="shared" si="39"/>
        <v/>
      </c>
      <c r="F433" s="196" t="str">
        <f t="shared" si="36"/>
        <v/>
      </c>
      <c r="G433" s="190" t="str">
        <f t="shared" si="40"/>
        <v/>
      </c>
      <c r="H433" s="503" t="str">
        <f t="shared" si="41"/>
        <v/>
      </c>
      <c r="I433" s="49"/>
    </row>
    <row r="434" spans="2:9" ht="20.100000000000001" customHeight="1" x14ac:dyDescent="0.3">
      <c r="B434" s="198">
        <v>426</v>
      </c>
      <c r="C434" s="501" t="str">
        <f t="shared" si="37"/>
        <v/>
      </c>
      <c r="D434" s="502" t="str">
        <f t="shared" si="38"/>
        <v/>
      </c>
      <c r="E434" s="190" t="str">
        <f t="shared" si="39"/>
        <v/>
      </c>
      <c r="F434" s="196" t="str">
        <f t="shared" si="36"/>
        <v/>
      </c>
      <c r="G434" s="190" t="str">
        <f t="shared" si="40"/>
        <v/>
      </c>
      <c r="H434" s="503" t="str">
        <f t="shared" si="41"/>
        <v/>
      </c>
      <c r="I434" s="49"/>
    </row>
    <row r="435" spans="2:9" ht="20.100000000000001" customHeight="1" x14ac:dyDescent="0.3">
      <c r="B435" s="198">
        <v>427</v>
      </c>
      <c r="C435" s="501" t="str">
        <f t="shared" si="37"/>
        <v/>
      </c>
      <c r="D435" s="502" t="str">
        <f t="shared" si="38"/>
        <v/>
      </c>
      <c r="E435" s="190" t="str">
        <f t="shared" si="39"/>
        <v/>
      </c>
      <c r="F435" s="196" t="str">
        <f t="shared" si="36"/>
        <v/>
      </c>
      <c r="G435" s="190" t="str">
        <f t="shared" si="40"/>
        <v/>
      </c>
      <c r="H435" s="503" t="str">
        <f t="shared" si="41"/>
        <v/>
      </c>
      <c r="I435" s="49"/>
    </row>
    <row r="436" spans="2:9" ht="20.100000000000001" customHeight="1" x14ac:dyDescent="0.3">
      <c r="B436" s="198">
        <v>428</v>
      </c>
      <c r="C436" s="501" t="str">
        <f t="shared" si="37"/>
        <v/>
      </c>
      <c r="D436" s="502" t="str">
        <f t="shared" si="38"/>
        <v/>
      </c>
      <c r="E436" s="190" t="str">
        <f t="shared" si="39"/>
        <v/>
      </c>
      <c r="F436" s="196" t="str">
        <f t="shared" si="36"/>
        <v/>
      </c>
      <c r="G436" s="190" t="str">
        <f t="shared" si="40"/>
        <v/>
      </c>
      <c r="H436" s="503" t="str">
        <f t="shared" si="41"/>
        <v/>
      </c>
      <c r="I436" s="49"/>
    </row>
    <row r="437" spans="2:9" ht="20.100000000000001" customHeight="1" x14ac:dyDescent="0.3">
      <c r="B437" s="198">
        <v>429</v>
      </c>
      <c r="C437" s="501" t="str">
        <f t="shared" si="37"/>
        <v/>
      </c>
      <c r="D437" s="502" t="str">
        <f t="shared" si="38"/>
        <v/>
      </c>
      <c r="E437" s="190" t="str">
        <f t="shared" si="39"/>
        <v/>
      </c>
      <c r="F437" s="196" t="str">
        <f t="shared" si="36"/>
        <v/>
      </c>
      <c r="G437" s="190" t="str">
        <f t="shared" si="40"/>
        <v/>
      </c>
      <c r="H437" s="503" t="str">
        <f t="shared" si="41"/>
        <v/>
      </c>
      <c r="I437" s="49"/>
    </row>
    <row r="438" spans="2:9" ht="20.100000000000001" customHeight="1" x14ac:dyDescent="0.3">
      <c r="B438" s="198">
        <v>430</v>
      </c>
      <c r="C438" s="501" t="str">
        <f t="shared" si="37"/>
        <v/>
      </c>
      <c r="D438" s="502" t="str">
        <f t="shared" si="38"/>
        <v/>
      </c>
      <c r="E438" s="190" t="str">
        <f t="shared" si="39"/>
        <v/>
      </c>
      <c r="F438" s="196" t="str">
        <f t="shared" si="36"/>
        <v/>
      </c>
      <c r="G438" s="190" t="str">
        <f t="shared" si="40"/>
        <v/>
      </c>
      <c r="H438" s="503" t="str">
        <f t="shared" si="41"/>
        <v/>
      </c>
      <c r="I438" s="49"/>
    </row>
    <row r="439" spans="2:9" ht="20.100000000000001" customHeight="1" x14ac:dyDescent="0.3">
      <c r="B439" s="198">
        <v>431</v>
      </c>
      <c r="C439" s="501" t="str">
        <f t="shared" si="37"/>
        <v/>
      </c>
      <c r="D439" s="502" t="str">
        <f t="shared" si="38"/>
        <v/>
      </c>
      <c r="E439" s="190" t="str">
        <f t="shared" si="39"/>
        <v/>
      </c>
      <c r="F439" s="196" t="str">
        <f t="shared" si="36"/>
        <v/>
      </c>
      <c r="G439" s="190" t="str">
        <f t="shared" si="40"/>
        <v/>
      </c>
      <c r="H439" s="503" t="str">
        <f t="shared" si="41"/>
        <v/>
      </c>
      <c r="I439" s="49"/>
    </row>
    <row r="440" spans="2:9" ht="20.100000000000001" customHeight="1" x14ac:dyDescent="0.3">
      <c r="B440" s="198">
        <v>432</v>
      </c>
      <c r="C440" s="501" t="str">
        <f t="shared" si="37"/>
        <v/>
      </c>
      <c r="D440" s="502" t="str">
        <f t="shared" si="38"/>
        <v/>
      </c>
      <c r="E440" s="190" t="str">
        <f t="shared" si="39"/>
        <v/>
      </c>
      <c r="F440" s="196" t="str">
        <f t="shared" si="36"/>
        <v/>
      </c>
      <c r="G440" s="190" t="str">
        <f t="shared" si="40"/>
        <v/>
      </c>
      <c r="H440" s="503" t="str">
        <f t="shared" si="41"/>
        <v/>
      </c>
      <c r="I440" s="49"/>
    </row>
    <row r="441" spans="2:9" ht="20.100000000000001" customHeight="1" x14ac:dyDescent="0.3">
      <c r="B441" s="198">
        <v>433</v>
      </c>
      <c r="C441" s="501" t="str">
        <f t="shared" si="37"/>
        <v/>
      </c>
      <c r="D441" s="502" t="str">
        <f t="shared" si="38"/>
        <v/>
      </c>
      <c r="E441" s="190" t="str">
        <f t="shared" si="39"/>
        <v/>
      </c>
      <c r="F441" s="196" t="str">
        <f t="shared" si="36"/>
        <v/>
      </c>
      <c r="G441" s="190" t="str">
        <f t="shared" si="40"/>
        <v/>
      </c>
      <c r="H441" s="503" t="str">
        <f t="shared" si="41"/>
        <v/>
      </c>
      <c r="I441" s="49"/>
    </row>
    <row r="442" spans="2:9" ht="20.100000000000001" customHeight="1" x14ac:dyDescent="0.3">
      <c r="B442" s="198">
        <v>434</v>
      </c>
      <c r="C442" s="501" t="str">
        <f t="shared" si="37"/>
        <v/>
      </c>
      <c r="D442" s="502" t="str">
        <f t="shared" si="38"/>
        <v/>
      </c>
      <c r="E442" s="190" t="str">
        <f t="shared" si="39"/>
        <v/>
      </c>
      <c r="F442" s="196" t="str">
        <f t="shared" si="36"/>
        <v/>
      </c>
      <c r="G442" s="190" t="str">
        <f t="shared" si="40"/>
        <v/>
      </c>
      <c r="H442" s="503" t="str">
        <f t="shared" si="41"/>
        <v/>
      </c>
      <c r="I442" s="49"/>
    </row>
    <row r="443" spans="2:9" ht="20.100000000000001" customHeight="1" x14ac:dyDescent="0.3">
      <c r="B443" s="198">
        <v>435</v>
      </c>
      <c r="C443" s="501" t="str">
        <f t="shared" si="37"/>
        <v/>
      </c>
      <c r="D443" s="502" t="str">
        <f t="shared" si="38"/>
        <v/>
      </c>
      <c r="E443" s="190" t="str">
        <f t="shared" si="39"/>
        <v/>
      </c>
      <c r="F443" s="196" t="str">
        <f t="shared" si="36"/>
        <v/>
      </c>
      <c r="G443" s="190" t="str">
        <f t="shared" si="40"/>
        <v/>
      </c>
      <c r="H443" s="503" t="str">
        <f t="shared" si="41"/>
        <v/>
      </c>
      <c r="I443" s="49"/>
    </row>
    <row r="444" spans="2:9" ht="20.100000000000001" customHeight="1" x14ac:dyDescent="0.3">
      <c r="B444" s="198">
        <v>436</v>
      </c>
      <c r="C444" s="501" t="str">
        <f t="shared" si="37"/>
        <v/>
      </c>
      <c r="D444" s="502" t="str">
        <f t="shared" si="38"/>
        <v/>
      </c>
      <c r="E444" s="190" t="str">
        <f t="shared" si="39"/>
        <v/>
      </c>
      <c r="F444" s="196" t="str">
        <f t="shared" si="36"/>
        <v/>
      </c>
      <c r="G444" s="190" t="str">
        <f t="shared" si="40"/>
        <v/>
      </c>
      <c r="H444" s="503" t="str">
        <f t="shared" si="41"/>
        <v/>
      </c>
      <c r="I444" s="49"/>
    </row>
    <row r="445" spans="2:9" ht="20.100000000000001" customHeight="1" x14ac:dyDescent="0.3">
      <c r="B445" s="198">
        <v>437</v>
      </c>
      <c r="C445" s="501" t="str">
        <f t="shared" si="37"/>
        <v/>
      </c>
      <c r="D445" s="502" t="str">
        <f t="shared" si="38"/>
        <v/>
      </c>
      <c r="E445" s="190" t="str">
        <f t="shared" si="39"/>
        <v/>
      </c>
      <c r="F445" s="196" t="str">
        <f t="shared" si="36"/>
        <v/>
      </c>
      <c r="G445" s="190" t="str">
        <f t="shared" si="40"/>
        <v/>
      </c>
      <c r="H445" s="503" t="str">
        <f t="shared" si="41"/>
        <v/>
      </c>
      <c r="I445" s="49"/>
    </row>
    <row r="446" spans="2:9" ht="20.100000000000001" customHeight="1" x14ac:dyDescent="0.3">
      <c r="B446" s="198">
        <v>438</v>
      </c>
      <c r="C446" s="501" t="str">
        <f t="shared" si="37"/>
        <v/>
      </c>
      <c r="D446" s="502" t="str">
        <f t="shared" si="38"/>
        <v/>
      </c>
      <c r="E446" s="190" t="str">
        <f t="shared" si="39"/>
        <v/>
      </c>
      <c r="F446" s="196" t="str">
        <f t="shared" si="36"/>
        <v/>
      </c>
      <c r="G446" s="190" t="str">
        <f t="shared" si="40"/>
        <v/>
      </c>
      <c r="H446" s="503" t="str">
        <f t="shared" si="41"/>
        <v/>
      </c>
      <c r="I446" s="49"/>
    </row>
    <row r="447" spans="2:9" ht="20.100000000000001" customHeight="1" x14ac:dyDescent="0.3">
      <c r="B447" s="198">
        <v>439</v>
      </c>
      <c r="C447" s="501" t="str">
        <f t="shared" si="37"/>
        <v/>
      </c>
      <c r="D447" s="502" t="str">
        <f t="shared" si="38"/>
        <v/>
      </c>
      <c r="E447" s="190" t="str">
        <f t="shared" si="39"/>
        <v/>
      </c>
      <c r="F447" s="196" t="str">
        <f t="shared" si="36"/>
        <v/>
      </c>
      <c r="G447" s="190" t="str">
        <f t="shared" si="40"/>
        <v/>
      </c>
      <c r="H447" s="503" t="str">
        <f t="shared" si="41"/>
        <v/>
      </c>
      <c r="I447" s="49"/>
    </row>
    <row r="448" spans="2:9" ht="20.100000000000001" customHeight="1" x14ac:dyDescent="0.3">
      <c r="B448" s="198">
        <v>440</v>
      </c>
      <c r="C448" s="501" t="str">
        <f t="shared" si="37"/>
        <v/>
      </c>
      <c r="D448" s="502" t="str">
        <f t="shared" si="38"/>
        <v/>
      </c>
      <c r="E448" s="190" t="str">
        <f t="shared" si="39"/>
        <v/>
      </c>
      <c r="F448" s="196" t="str">
        <f t="shared" si="36"/>
        <v/>
      </c>
      <c r="G448" s="190" t="str">
        <f t="shared" si="40"/>
        <v/>
      </c>
      <c r="H448" s="503" t="str">
        <f t="shared" si="41"/>
        <v/>
      </c>
      <c r="I448" s="49"/>
    </row>
    <row r="449" spans="2:9" ht="20.100000000000001" customHeight="1" x14ac:dyDescent="0.3">
      <c r="B449" s="198">
        <v>441</v>
      </c>
      <c r="C449" s="501" t="str">
        <f t="shared" si="37"/>
        <v/>
      </c>
      <c r="D449" s="502" t="str">
        <f t="shared" si="38"/>
        <v/>
      </c>
      <c r="E449" s="190" t="str">
        <f t="shared" si="39"/>
        <v/>
      </c>
      <c r="F449" s="196" t="str">
        <f t="shared" si="36"/>
        <v/>
      </c>
      <c r="G449" s="190" t="str">
        <f t="shared" si="40"/>
        <v/>
      </c>
      <c r="H449" s="503" t="str">
        <f t="shared" si="41"/>
        <v/>
      </c>
      <c r="I449" s="49"/>
    </row>
    <row r="450" spans="2:9" ht="20.100000000000001" customHeight="1" x14ac:dyDescent="0.3">
      <c r="B450" s="198">
        <v>442</v>
      </c>
      <c r="C450" s="501" t="str">
        <f t="shared" si="37"/>
        <v/>
      </c>
      <c r="D450" s="502" t="str">
        <f t="shared" si="38"/>
        <v/>
      </c>
      <c r="E450" s="190" t="str">
        <f t="shared" si="39"/>
        <v/>
      </c>
      <c r="F450" s="196" t="str">
        <f t="shared" si="36"/>
        <v/>
      </c>
      <c r="G450" s="190" t="str">
        <f t="shared" si="40"/>
        <v/>
      </c>
      <c r="H450" s="503" t="str">
        <f t="shared" si="41"/>
        <v/>
      </c>
      <c r="I450" s="49"/>
    </row>
    <row r="451" spans="2:9" ht="20.100000000000001" customHeight="1" x14ac:dyDescent="0.3">
      <c r="B451" s="198">
        <v>443</v>
      </c>
      <c r="C451" s="501" t="str">
        <f t="shared" si="37"/>
        <v/>
      </c>
      <c r="D451" s="502" t="str">
        <f t="shared" si="38"/>
        <v/>
      </c>
      <c r="E451" s="190" t="str">
        <f t="shared" si="39"/>
        <v/>
      </c>
      <c r="F451" s="196" t="str">
        <f t="shared" si="36"/>
        <v/>
      </c>
      <c r="G451" s="190" t="str">
        <f t="shared" si="40"/>
        <v/>
      </c>
      <c r="H451" s="503" t="str">
        <f t="shared" si="41"/>
        <v/>
      </c>
      <c r="I451" s="49"/>
    </row>
    <row r="452" spans="2:9" ht="20.100000000000001" customHeight="1" x14ac:dyDescent="0.3">
      <c r="B452" s="198">
        <v>444</v>
      </c>
      <c r="C452" s="501" t="str">
        <f t="shared" si="37"/>
        <v/>
      </c>
      <c r="D452" s="502" t="str">
        <f t="shared" si="38"/>
        <v/>
      </c>
      <c r="E452" s="190" t="str">
        <f t="shared" si="39"/>
        <v/>
      </c>
      <c r="F452" s="196" t="str">
        <f t="shared" si="36"/>
        <v/>
      </c>
      <c r="G452" s="190" t="str">
        <f t="shared" si="40"/>
        <v/>
      </c>
      <c r="H452" s="503" t="str">
        <f t="shared" si="41"/>
        <v/>
      </c>
      <c r="I452" s="49"/>
    </row>
    <row r="453" spans="2:9" ht="20.100000000000001" customHeight="1" x14ac:dyDescent="0.3">
      <c r="B453" s="198">
        <v>445</v>
      </c>
      <c r="C453" s="501" t="str">
        <f t="shared" si="37"/>
        <v/>
      </c>
      <c r="D453" s="502" t="str">
        <f t="shared" si="38"/>
        <v/>
      </c>
      <c r="E453" s="190" t="str">
        <f t="shared" si="39"/>
        <v/>
      </c>
      <c r="F453" s="196" t="str">
        <f t="shared" si="36"/>
        <v/>
      </c>
      <c r="G453" s="190" t="str">
        <f t="shared" si="40"/>
        <v/>
      </c>
      <c r="H453" s="503" t="str">
        <f t="shared" si="41"/>
        <v/>
      </c>
      <c r="I453" s="49"/>
    </row>
    <row r="454" spans="2:9" ht="20.100000000000001" customHeight="1" x14ac:dyDescent="0.3">
      <c r="B454" s="198">
        <v>446</v>
      </c>
      <c r="C454" s="501" t="str">
        <f t="shared" si="37"/>
        <v/>
      </c>
      <c r="D454" s="502" t="str">
        <f t="shared" si="38"/>
        <v/>
      </c>
      <c r="E454" s="190" t="str">
        <f t="shared" si="39"/>
        <v/>
      </c>
      <c r="F454" s="196" t="str">
        <f t="shared" si="36"/>
        <v/>
      </c>
      <c r="G454" s="190" t="str">
        <f t="shared" si="40"/>
        <v/>
      </c>
      <c r="H454" s="503" t="str">
        <f t="shared" si="41"/>
        <v/>
      </c>
      <c r="I454" s="49"/>
    </row>
    <row r="455" spans="2:9" ht="20.100000000000001" customHeight="1" x14ac:dyDescent="0.3">
      <c r="B455" s="198">
        <v>447</v>
      </c>
      <c r="C455" s="501" t="str">
        <f t="shared" si="37"/>
        <v/>
      </c>
      <c r="D455" s="502" t="str">
        <f t="shared" si="38"/>
        <v/>
      </c>
      <c r="E455" s="190" t="str">
        <f t="shared" si="39"/>
        <v/>
      </c>
      <c r="F455" s="196" t="str">
        <f t="shared" si="36"/>
        <v/>
      </c>
      <c r="G455" s="190" t="str">
        <f t="shared" si="40"/>
        <v/>
      </c>
      <c r="H455" s="503" t="str">
        <f t="shared" si="41"/>
        <v/>
      </c>
      <c r="I455" s="49"/>
    </row>
    <row r="456" spans="2:9" ht="20.100000000000001" customHeight="1" x14ac:dyDescent="0.3">
      <c r="B456" s="198">
        <v>448</v>
      </c>
      <c r="C456" s="501" t="str">
        <f t="shared" si="37"/>
        <v/>
      </c>
      <c r="D456" s="502" t="str">
        <f t="shared" si="38"/>
        <v/>
      </c>
      <c r="E456" s="190" t="str">
        <f t="shared" si="39"/>
        <v/>
      </c>
      <c r="F456" s="196" t="str">
        <f t="shared" si="36"/>
        <v/>
      </c>
      <c r="G456" s="190" t="str">
        <f t="shared" si="40"/>
        <v/>
      </c>
      <c r="H456" s="503" t="str">
        <f t="shared" si="41"/>
        <v/>
      </c>
      <c r="I456" s="49"/>
    </row>
    <row r="457" spans="2:9" ht="20.100000000000001" customHeight="1" x14ac:dyDescent="0.3">
      <c r="B457" s="198">
        <v>449</v>
      </c>
      <c r="C457" s="501" t="str">
        <f t="shared" si="37"/>
        <v/>
      </c>
      <c r="D457" s="502" t="str">
        <f t="shared" si="38"/>
        <v/>
      </c>
      <c r="E457" s="190" t="str">
        <f t="shared" si="39"/>
        <v/>
      </c>
      <c r="F457" s="196" t="str">
        <f t="shared" si="36"/>
        <v/>
      </c>
      <c r="G457" s="190" t="str">
        <f t="shared" si="40"/>
        <v/>
      </c>
      <c r="H457" s="503" t="str">
        <f t="shared" si="41"/>
        <v/>
      </c>
      <c r="I457" s="49"/>
    </row>
    <row r="458" spans="2:9" ht="20.100000000000001" customHeight="1" x14ac:dyDescent="0.3">
      <c r="B458" s="198">
        <v>450</v>
      </c>
      <c r="C458" s="501" t="str">
        <f t="shared" si="37"/>
        <v/>
      </c>
      <c r="D458" s="502" t="str">
        <f t="shared" si="38"/>
        <v/>
      </c>
      <c r="E458" s="190" t="str">
        <f t="shared" si="39"/>
        <v/>
      </c>
      <c r="F458" s="196" t="str">
        <f t="shared" ref="F458:F521" si="42">IF($H$4="","",IF($F$4="원리금균등상환",IFERROR(D458+E458,""),IF($F$4="원금균등상환",D458+E458,"")))</f>
        <v/>
      </c>
      <c r="G458" s="190" t="str">
        <f t="shared" si="40"/>
        <v/>
      </c>
      <c r="H458" s="503" t="str">
        <f t="shared" si="41"/>
        <v/>
      </c>
      <c r="I458" s="49"/>
    </row>
    <row r="459" spans="2:9" ht="20.100000000000001" customHeight="1" x14ac:dyDescent="0.3">
      <c r="B459" s="198">
        <v>451</v>
      </c>
      <c r="C459" s="501" t="str">
        <f t="shared" ref="C459:C522" si="43">IF($H$4="","",IF(B459&gt;($B$6),"",IF(B459&lt;=($B$6),DATE(YEAR($G$4),MONTH($G$4)+B458,DAY($G$4)),"")))</f>
        <v/>
      </c>
      <c r="D459" s="502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190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196" t="str">
        <f t="shared" si="42"/>
        <v/>
      </c>
      <c r="G459" s="190" t="str">
        <f t="shared" ref="G459:G522" si="46">IFERROR(IF(B459&gt;(($D$6+$B$6)*12),"",IF(B459=1,D459,D459+G458)),"")</f>
        <v/>
      </c>
      <c r="H459" s="503" t="str">
        <f t="shared" ref="H459:H522" si="47">IFERROR(IF($H$4="","",H458-D459),"")</f>
        <v/>
      </c>
      <c r="I459" s="49"/>
    </row>
    <row r="460" spans="2:9" ht="20.100000000000001" customHeight="1" x14ac:dyDescent="0.3">
      <c r="B460" s="198">
        <v>452</v>
      </c>
      <c r="C460" s="501" t="str">
        <f t="shared" si="43"/>
        <v/>
      </c>
      <c r="D460" s="502" t="str">
        <f t="shared" si="44"/>
        <v/>
      </c>
      <c r="E460" s="190" t="str">
        <f t="shared" si="45"/>
        <v/>
      </c>
      <c r="F460" s="196" t="str">
        <f t="shared" si="42"/>
        <v/>
      </c>
      <c r="G460" s="190" t="str">
        <f t="shared" si="46"/>
        <v/>
      </c>
      <c r="H460" s="503" t="str">
        <f t="shared" si="47"/>
        <v/>
      </c>
      <c r="I460" s="49"/>
    </row>
    <row r="461" spans="2:9" ht="20.100000000000001" customHeight="1" x14ac:dyDescent="0.3">
      <c r="B461" s="198">
        <v>453</v>
      </c>
      <c r="C461" s="501" t="str">
        <f t="shared" si="43"/>
        <v/>
      </c>
      <c r="D461" s="502" t="str">
        <f t="shared" si="44"/>
        <v/>
      </c>
      <c r="E461" s="190" t="str">
        <f t="shared" si="45"/>
        <v/>
      </c>
      <c r="F461" s="196" t="str">
        <f t="shared" si="42"/>
        <v/>
      </c>
      <c r="G461" s="190" t="str">
        <f t="shared" si="46"/>
        <v/>
      </c>
      <c r="H461" s="503" t="str">
        <f t="shared" si="47"/>
        <v/>
      </c>
      <c r="I461" s="49"/>
    </row>
    <row r="462" spans="2:9" ht="20.100000000000001" customHeight="1" x14ac:dyDescent="0.3">
      <c r="B462" s="198">
        <v>454</v>
      </c>
      <c r="C462" s="501" t="str">
        <f t="shared" si="43"/>
        <v/>
      </c>
      <c r="D462" s="502" t="str">
        <f t="shared" si="44"/>
        <v/>
      </c>
      <c r="E462" s="190" t="str">
        <f t="shared" si="45"/>
        <v/>
      </c>
      <c r="F462" s="196" t="str">
        <f t="shared" si="42"/>
        <v/>
      </c>
      <c r="G462" s="190" t="str">
        <f t="shared" si="46"/>
        <v/>
      </c>
      <c r="H462" s="503" t="str">
        <f t="shared" si="47"/>
        <v/>
      </c>
      <c r="I462" s="49"/>
    </row>
    <row r="463" spans="2:9" ht="20.100000000000001" customHeight="1" x14ac:dyDescent="0.3">
      <c r="B463" s="198">
        <v>455</v>
      </c>
      <c r="C463" s="501" t="str">
        <f t="shared" si="43"/>
        <v/>
      </c>
      <c r="D463" s="502" t="str">
        <f t="shared" si="44"/>
        <v/>
      </c>
      <c r="E463" s="190" t="str">
        <f t="shared" si="45"/>
        <v/>
      </c>
      <c r="F463" s="196" t="str">
        <f t="shared" si="42"/>
        <v/>
      </c>
      <c r="G463" s="190" t="str">
        <f t="shared" si="46"/>
        <v/>
      </c>
      <c r="H463" s="503" t="str">
        <f t="shared" si="47"/>
        <v/>
      </c>
      <c r="I463" s="49"/>
    </row>
    <row r="464" spans="2:9" ht="20.100000000000001" customHeight="1" x14ac:dyDescent="0.3">
      <c r="B464" s="198">
        <v>456</v>
      </c>
      <c r="C464" s="501" t="str">
        <f t="shared" si="43"/>
        <v/>
      </c>
      <c r="D464" s="502" t="str">
        <f t="shared" si="44"/>
        <v/>
      </c>
      <c r="E464" s="190" t="str">
        <f t="shared" si="45"/>
        <v/>
      </c>
      <c r="F464" s="196" t="str">
        <f t="shared" si="42"/>
        <v/>
      </c>
      <c r="G464" s="190" t="str">
        <f t="shared" si="46"/>
        <v/>
      </c>
      <c r="H464" s="503" t="str">
        <f t="shared" si="47"/>
        <v/>
      </c>
      <c r="I464" s="49"/>
    </row>
    <row r="465" spans="2:9" ht="20.100000000000001" customHeight="1" x14ac:dyDescent="0.3">
      <c r="B465" s="198">
        <v>457</v>
      </c>
      <c r="C465" s="501" t="str">
        <f t="shared" si="43"/>
        <v/>
      </c>
      <c r="D465" s="502" t="str">
        <f t="shared" si="44"/>
        <v/>
      </c>
      <c r="E465" s="190" t="str">
        <f t="shared" si="45"/>
        <v/>
      </c>
      <c r="F465" s="196" t="str">
        <f t="shared" si="42"/>
        <v/>
      </c>
      <c r="G465" s="190" t="str">
        <f t="shared" si="46"/>
        <v/>
      </c>
      <c r="H465" s="503" t="str">
        <f t="shared" si="47"/>
        <v/>
      </c>
      <c r="I465" s="49"/>
    </row>
    <row r="466" spans="2:9" ht="20.100000000000001" customHeight="1" x14ac:dyDescent="0.3">
      <c r="B466" s="198">
        <v>458</v>
      </c>
      <c r="C466" s="501" t="str">
        <f t="shared" si="43"/>
        <v/>
      </c>
      <c r="D466" s="502" t="str">
        <f t="shared" si="44"/>
        <v/>
      </c>
      <c r="E466" s="190" t="str">
        <f t="shared" si="45"/>
        <v/>
      </c>
      <c r="F466" s="196" t="str">
        <f t="shared" si="42"/>
        <v/>
      </c>
      <c r="G466" s="190" t="str">
        <f t="shared" si="46"/>
        <v/>
      </c>
      <c r="H466" s="503" t="str">
        <f t="shared" si="47"/>
        <v/>
      </c>
      <c r="I466" s="49"/>
    </row>
    <row r="467" spans="2:9" ht="20.100000000000001" customHeight="1" x14ac:dyDescent="0.3">
      <c r="B467" s="198">
        <v>459</v>
      </c>
      <c r="C467" s="501" t="str">
        <f t="shared" si="43"/>
        <v/>
      </c>
      <c r="D467" s="502" t="str">
        <f t="shared" si="44"/>
        <v/>
      </c>
      <c r="E467" s="190" t="str">
        <f t="shared" si="45"/>
        <v/>
      </c>
      <c r="F467" s="196" t="str">
        <f t="shared" si="42"/>
        <v/>
      </c>
      <c r="G467" s="190" t="str">
        <f t="shared" si="46"/>
        <v/>
      </c>
      <c r="H467" s="503" t="str">
        <f t="shared" si="47"/>
        <v/>
      </c>
      <c r="I467" s="49"/>
    </row>
    <row r="468" spans="2:9" ht="20.100000000000001" customHeight="1" x14ac:dyDescent="0.3">
      <c r="B468" s="198">
        <v>460</v>
      </c>
      <c r="C468" s="501" t="str">
        <f t="shared" si="43"/>
        <v/>
      </c>
      <c r="D468" s="502" t="str">
        <f t="shared" si="44"/>
        <v/>
      </c>
      <c r="E468" s="190" t="str">
        <f t="shared" si="45"/>
        <v/>
      </c>
      <c r="F468" s="196" t="str">
        <f t="shared" si="42"/>
        <v/>
      </c>
      <c r="G468" s="190" t="str">
        <f t="shared" si="46"/>
        <v/>
      </c>
      <c r="H468" s="503" t="str">
        <f t="shared" si="47"/>
        <v/>
      </c>
      <c r="I468" s="49"/>
    </row>
    <row r="469" spans="2:9" ht="20.100000000000001" customHeight="1" x14ac:dyDescent="0.3">
      <c r="B469" s="198">
        <v>461</v>
      </c>
      <c r="C469" s="501" t="str">
        <f t="shared" si="43"/>
        <v/>
      </c>
      <c r="D469" s="502" t="str">
        <f t="shared" si="44"/>
        <v/>
      </c>
      <c r="E469" s="190" t="str">
        <f t="shared" si="45"/>
        <v/>
      </c>
      <c r="F469" s="196" t="str">
        <f t="shared" si="42"/>
        <v/>
      </c>
      <c r="G469" s="190" t="str">
        <f t="shared" si="46"/>
        <v/>
      </c>
      <c r="H469" s="503" t="str">
        <f t="shared" si="47"/>
        <v/>
      </c>
      <c r="I469" s="49"/>
    </row>
    <row r="470" spans="2:9" ht="20.100000000000001" customHeight="1" x14ac:dyDescent="0.3">
      <c r="B470" s="198">
        <v>462</v>
      </c>
      <c r="C470" s="501" t="str">
        <f t="shared" si="43"/>
        <v/>
      </c>
      <c r="D470" s="502" t="str">
        <f t="shared" si="44"/>
        <v/>
      </c>
      <c r="E470" s="190" t="str">
        <f t="shared" si="45"/>
        <v/>
      </c>
      <c r="F470" s="196" t="str">
        <f t="shared" si="42"/>
        <v/>
      </c>
      <c r="G470" s="190" t="str">
        <f t="shared" si="46"/>
        <v/>
      </c>
      <c r="H470" s="503" t="str">
        <f t="shared" si="47"/>
        <v/>
      </c>
      <c r="I470" s="49"/>
    </row>
    <row r="471" spans="2:9" ht="20.100000000000001" customHeight="1" x14ac:dyDescent="0.3">
      <c r="B471" s="198">
        <v>463</v>
      </c>
      <c r="C471" s="501" t="str">
        <f t="shared" si="43"/>
        <v/>
      </c>
      <c r="D471" s="502" t="str">
        <f t="shared" si="44"/>
        <v/>
      </c>
      <c r="E471" s="190" t="str">
        <f t="shared" si="45"/>
        <v/>
      </c>
      <c r="F471" s="196" t="str">
        <f t="shared" si="42"/>
        <v/>
      </c>
      <c r="G471" s="190" t="str">
        <f t="shared" si="46"/>
        <v/>
      </c>
      <c r="H471" s="503" t="str">
        <f t="shared" si="47"/>
        <v/>
      </c>
      <c r="I471" s="49"/>
    </row>
    <row r="472" spans="2:9" ht="20.100000000000001" customHeight="1" x14ac:dyDescent="0.3">
      <c r="B472" s="198">
        <v>464</v>
      </c>
      <c r="C472" s="501" t="str">
        <f t="shared" si="43"/>
        <v/>
      </c>
      <c r="D472" s="502" t="str">
        <f t="shared" si="44"/>
        <v/>
      </c>
      <c r="E472" s="190" t="str">
        <f t="shared" si="45"/>
        <v/>
      </c>
      <c r="F472" s="196" t="str">
        <f t="shared" si="42"/>
        <v/>
      </c>
      <c r="G472" s="190" t="str">
        <f t="shared" si="46"/>
        <v/>
      </c>
      <c r="H472" s="503" t="str">
        <f t="shared" si="47"/>
        <v/>
      </c>
      <c r="I472" s="49"/>
    </row>
    <row r="473" spans="2:9" ht="20.100000000000001" customHeight="1" x14ac:dyDescent="0.3">
      <c r="B473" s="198">
        <v>465</v>
      </c>
      <c r="C473" s="501" t="str">
        <f t="shared" si="43"/>
        <v/>
      </c>
      <c r="D473" s="502" t="str">
        <f t="shared" si="44"/>
        <v/>
      </c>
      <c r="E473" s="190" t="str">
        <f t="shared" si="45"/>
        <v/>
      </c>
      <c r="F473" s="196" t="str">
        <f t="shared" si="42"/>
        <v/>
      </c>
      <c r="G473" s="190" t="str">
        <f t="shared" si="46"/>
        <v/>
      </c>
      <c r="H473" s="503" t="str">
        <f t="shared" si="47"/>
        <v/>
      </c>
      <c r="I473" s="49"/>
    </row>
    <row r="474" spans="2:9" ht="20.100000000000001" customHeight="1" x14ac:dyDescent="0.3">
      <c r="B474" s="198">
        <v>466</v>
      </c>
      <c r="C474" s="501" t="str">
        <f t="shared" si="43"/>
        <v/>
      </c>
      <c r="D474" s="502" t="str">
        <f t="shared" si="44"/>
        <v/>
      </c>
      <c r="E474" s="190" t="str">
        <f t="shared" si="45"/>
        <v/>
      </c>
      <c r="F474" s="196" t="str">
        <f t="shared" si="42"/>
        <v/>
      </c>
      <c r="G474" s="190" t="str">
        <f t="shared" si="46"/>
        <v/>
      </c>
      <c r="H474" s="503" t="str">
        <f t="shared" si="47"/>
        <v/>
      </c>
      <c r="I474" s="49"/>
    </row>
    <row r="475" spans="2:9" ht="20.100000000000001" customHeight="1" x14ac:dyDescent="0.3">
      <c r="B475" s="198">
        <v>467</v>
      </c>
      <c r="C475" s="501" t="str">
        <f t="shared" si="43"/>
        <v/>
      </c>
      <c r="D475" s="502" t="str">
        <f t="shared" si="44"/>
        <v/>
      </c>
      <c r="E475" s="190" t="str">
        <f t="shared" si="45"/>
        <v/>
      </c>
      <c r="F475" s="196" t="str">
        <f t="shared" si="42"/>
        <v/>
      </c>
      <c r="G475" s="190" t="str">
        <f t="shared" si="46"/>
        <v/>
      </c>
      <c r="H475" s="503" t="str">
        <f t="shared" si="47"/>
        <v/>
      </c>
      <c r="I475" s="49"/>
    </row>
    <row r="476" spans="2:9" ht="20.100000000000001" customHeight="1" x14ac:dyDescent="0.3">
      <c r="B476" s="198">
        <v>468</v>
      </c>
      <c r="C476" s="501" t="str">
        <f t="shared" si="43"/>
        <v/>
      </c>
      <c r="D476" s="502" t="str">
        <f t="shared" si="44"/>
        <v/>
      </c>
      <c r="E476" s="190" t="str">
        <f t="shared" si="45"/>
        <v/>
      </c>
      <c r="F476" s="196" t="str">
        <f t="shared" si="42"/>
        <v/>
      </c>
      <c r="G476" s="190" t="str">
        <f t="shared" si="46"/>
        <v/>
      </c>
      <c r="H476" s="503" t="str">
        <f t="shared" si="47"/>
        <v/>
      </c>
      <c r="I476" s="49"/>
    </row>
    <row r="477" spans="2:9" ht="20.100000000000001" customHeight="1" x14ac:dyDescent="0.3">
      <c r="B477" s="198">
        <v>469</v>
      </c>
      <c r="C477" s="501" t="str">
        <f t="shared" si="43"/>
        <v/>
      </c>
      <c r="D477" s="502" t="str">
        <f t="shared" si="44"/>
        <v/>
      </c>
      <c r="E477" s="190" t="str">
        <f t="shared" si="45"/>
        <v/>
      </c>
      <c r="F477" s="196" t="str">
        <f t="shared" si="42"/>
        <v/>
      </c>
      <c r="G477" s="190" t="str">
        <f t="shared" si="46"/>
        <v/>
      </c>
      <c r="H477" s="503" t="str">
        <f t="shared" si="47"/>
        <v/>
      </c>
      <c r="I477" s="49"/>
    </row>
    <row r="478" spans="2:9" ht="20.100000000000001" customHeight="1" x14ac:dyDescent="0.3">
      <c r="B478" s="198">
        <v>470</v>
      </c>
      <c r="C478" s="501" t="str">
        <f t="shared" si="43"/>
        <v/>
      </c>
      <c r="D478" s="502" t="str">
        <f t="shared" si="44"/>
        <v/>
      </c>
      <c r="E478" s="190" t="str">
        <f t="shared" si="45"/>
        <v/>
      </c>
      <c r="F478" s="196" t="str">
        <f t="shared" si="42"/>
        <v/>
      </c>
      <c r="G478" s="190" t="str">
        <f t="shared" si="46"/>
        <v/>
      </c>
      <c r="H478" s="503" t="str">
        <f t="shared" si="47"/>
        <v/>
      </c>
      <c r="I478" s="49"/>
    </row>
    <row r="479" spans="2:9" ht="20.100000000000001" customHeight="1" x14ac:dyDescent="0.3">
      <c r="B479" s="198">
        <v>471</v>
      </c>
      <c r="C479" s="501" t="str">
        <f t="shared" si="43"/>
        <v/>
      </c>
      <c r="D479" s="502" t="str">
        <f t="shared" si="44"/>
        <v/>
      </c>
      <c r="E479" s="190" t="str">
        <f t="shared" si="45"/>
        <v/>
      </c>
      <c r="F479" s="196" t="str">
        <f t="shared" si="42"/>
        <v/>
      </c>
      <c r="G479" s="190" t="str">
        <f t="shared" si="46"/>
        <v/>
      </c>
      <c r="H479" s="503" t="str">
        <f t="shared" si="47"/>
        <v/>
      </c>
      <c r="I479" s="49"/>
    </row>
    <row r="480" spans="2:9" ht="20.100000000000001" customHeight="1" x14ac:dyDescent="0.3">
      <c r="B480" s="198">
        <v>472</v>
      </c>
      <c r="C480" s="501" t="str">
        <f t="shared" si="43"/>
        <v/>
      </c>
      <c r="D480" s="502" t="str">
        <f t="shared" si="44"/>
        <v/>
      </c>
      <c r="E480" s="190" t="str">
        <f t="shared" si="45"/>
        <v/>
      </c>
      <c r="F480" s="196" t="str">
        <f t="shared" si="42"/>
        <v/>
      </c>
      <c r="G480" s="190" t="str">
        <f t="shared" si="46"/>
        <v/>
      </c>
      <c r="H480" s="503" t="str">
        <f t="shared" si="47"/>
        <v/>
      </c>
      <c r="I480" s="49"/>
    </row>
    <row r="481" spans="2:9" ht="20.100000000000001" customHeight="1" x14ac:dyDescent="0.3">
      <c r="B481" s="198">
        <v>473</v>
      </c>
      <c r="C481" s="501" t="str">
        <f t="shared" si="43"/>
        <v/>
      </c>
      <c r="D481" s="502" t="str">
        <f t="shared" si="44"/>
        <v/>
      </c>
      <c r="E481" s="190" t="str">
        <f t="shared" si="45"/>
        <v/>
      </c>
      <c r="F481" s="196" t="str">
        <f t="shared" si="42"/>
        <v/>
      </c>
      <c r="G481" s="190" t="str">
        <f t="shared" si="46"/>
        <v/>
      </c>
      <c r="H481" s="503" t="str">
        <f t="shared" si="47"/>
        <v/>
      </c>
      <c r="I481" s="49"/>
    </row>
    <row r="482" spans="2:9" ht="20.100000000000001" customHeight="1" x14ac:dyDescent="0.3">
      <c r="B482" s="198">
        <v>474</v>
      </c>
      <c r="C482" s="501" t="str">
        <f t="shared" si="43"/>
        <v/>
      </c>
      <c r="D482" s="502" t="str">
        <f t="shared" si="44"/>
        <v/>
      </c>
      <c r="E482" s="190" t="str">
        <f t="shared" si="45"/>
        <v/>
      </c>
      <c r="F482" s="196" t="str">
        <f t="shared" si="42"/>
        <v/>
      </c>
      <c r="G482" s="190" t="str">
        <f t="shared" si="46"/>
        <v/>
      </c>
      <c r="H482" s="503" t="str">
        <f t="shared" si="47"/>
        <v/>
      </c>
      <c r="I482" s="49"/>
    </row>
    <row r="483" spans="2:9" ht="20.100000000000001" customHeight="1" x14ac:dyDescent="0.3">
      <c r="B483" s="198">
        <v>475</v>
      </c>
      <c r="C483" s="501" t="str">
        <f t="shared" si="43"/>
        <v/>
      </c>
      <c r="D483" s="502" t="str">
        <f t="shared" si="44"/>
        <v/>
      </c>
      <c r="E483" s="190" t="str">
        <f t="shared" si="45"/>
        <v/>
      </c>
      <c r="F483" s="196" t="str">
        <f t="shared" si="42"/>
        <v/>
      </c>
      <c r="G483" s="190" t="str">
        <f t="shared" si="46"/>
        <v/>
      </c>
      <c r="H483" s="503" t="str">
        <f t="shared" si="47"/>
        <v/>
      </c>
      <c r="I483" s="49"/>
    </row>
    <row r="484" spans="2:9" ht="20.100000000000001" customHeight="1" x14ac:dyDescent="0.3">
      <c r="B484" s="198">
        <v>476</v>
      </c>
      <c r="C484" s="501" t="str">
        <f t="shared" si="43"/>
        <v/>
      </c>
      <c r="D484" s="502" t="str">
        <f t="shared" si="44"/>
        <v/>
      </c>
      <c r="E484" s="190" t="str">
        <f t="shared" si="45"/>
        <v/>
      </c>
      <c r="F484" s="196" t="str">
        <f t="shared" si="42"/>
        <v/>
      </c>
      <c r="G484" s="190" t="str">
        <f t="shared" si="46"/>
        <v/>
      </c>
      <c r="H484" s="503" t="str">
        <f t="shared" si="47"/>
        <v/>
      </c>
      <c r="I484" s="49"/>
    </row>
    <row r="485" spans="2:9" ht="20.100000000000001" customHeight="1" x14ac:dyDescent="0.3">
      <c r="B485" s="198">
        <v>477</v>
      </c>
      <c r="C485" s="501" t="str">
        <f t="shared" si="43"/>
        <v/>
      </c>
      <c r="D485" s="502" t="str">
        <f t="shared" si="44"/>
        <v/>
      </c>
      <c r="E485" s="190" t="str">
        <f t="shared" si="45"/>
        <v/>
      </c>
      <c r="F485" s="196" t="str">
        <f t="shared" si="42"/>
        <v/>
      </c>
      <c r="G485" s="190" t="str">
        <f t="shared" si="46"/>
        <v/>
      </c>
      <c r="H485" s="503" t="str">
        <f t="shared" si="47"/>
        <v/>
      </c>
      <c r="I485" s="49"/>
    </row>
    <row r="486" spans="2:9" ht="20.100000000000001" customHeight="1" x14ac:dyDescent="0.3">
      <c r="B486" s="198">
        <v>478</v>
      </c>
      <c r="C486" s="501" t="str">
        <f t="shared" si="43"/>
        <v/>
      </c>
      <c r="D486" s="502" t="str">
        <f t="shared" si="44"/>
        <v/>
      </c>
      <c r="E486" s="190" t="str">
        <f t="shared" si="45"/>
        <v/>
      </c>
      <c r="F486" s="196" t="str">
        <f t="shared" si="42"/>
        <v/>
      </c>
      <c r="G486" s="190" t="str">
        <f t="shared" si="46"/>
        <v/>
      </c>
      <c r="H486" s="503" t="str">
        <f t="shared" si="47"/>
        <v/>
      </c>
      <c r="I486" s="49"/>
    </row>
    <row r="487" spans="2:9" ht="20.100000000000001" customHeight="1" x14ac:dyDescent="0.3">
      <c r="B487" s="198">
        <v>479</v>
      </c>
      <c r="C487" s="501" t="str">
        <f t="shared" si="43"/>
        <v/>
      </c>
      <c r="D487" s="502" t="str">
        <f t="shared" si="44"/>
        <v/>
      </c>
      <c r="E487" s="190" t="str">
        <f t="shared" si="45"/>
        <v/>
      </c>
      <c r="F487" s="196" t="str">
        <f t="shared" si="42"/>
        <v/>
      </c>
      <c r="G487" s="190" t="str">
        <f t="shared" si="46"/>
        <v/>
      </c>
      <c r="H487" s="503" t="str">
        <f t="shared" si="47"/>
        <v/>
      </c>
      <c r="I487" s="49"/>
    </row>
    <row r="488" spans="2:9" ht="20.100000000000001" customHeight="1" x14ac:dyDescent="0.3">
      <c r="B488" s="198">
        <v>480</v>
      </c>
      <c r="C488" s="501" t="str">
        <f t="shared" si="43"/>
        <v/>
      </c>
      <c r="D488" s="502" t="str">
        <f t="shared" si="44"/>
        <v/>
      </c>
      <c r="E488" s="190" t="str">
        <f t="shared" si="45"/>
        <v/>
      </c>
      <c r="F488" s="196" t="str">
        <f t="shared" si="42"/>
        <v/>
      </c>
      <c r="G488" s="190" t="str">
        <f t="shared" si="46"/>
        <v/>
      </c>
      <c r="H488" s="503" t="str">
        <f t="shared" si="47"/>
        <v/>
      </c>
      <c r="I488" s="49"/>
    </row>
    <row r="489" spans="2:9" ht="20.100000000000001" customHeight="1" x14ac:dyDescent="0.3">
      <c r="B489" s="198">
        <v>481</v>
      </c>
      <c r="C489" s="501" t="str">
        <f t="shared" si="43"/>
        <v/>
      </c>
      <c r="D489" s="502" t="str">
        <f t="shared" si="44"/>
        <v/>
      </c>
      <c r="E489" s="190" t="str">
        <f t="shared" si="45"/>
        <v/>
      </c>
      <c r="F489" s="196" t="str">
        <f t="shared" si="42"/>
        <v/>
      </c>
      <c r="G489" s="190" t="str">
        <f t="shared" si="46"/>
        <v/>
      </c>
      <c r="H489" s="503" t="str">
        <f t="shared" si="47"/>
        <v/>
      </c>
      <c r="I489" s="49"/>
    </row>
    <row r="490" spans="2:9" ht="20.100000000000001" customHeight="1" x14ac:dyDescent="0.3">
      <c r="B490" s="198">
        <v>482</v>
      </c>
      <c r="C490" s="501" t="str">
        <f t="shared" si="43"/>
        <v/>
      </c>
      <c r="D490" s="502" t="str">
        <f t="shared" si="44"/>
        <v/>
      </c>
      <c r="E490" s="190" t="str">
        <f t="shared" si="45"/>
        <v/>
      </c>
      <c r="F490" s="196" t="str">
        <f t="shared" si="42"/>
        <v/>
      </c>
      <c r="G490" s="190" t="str">
        <f t="shared" si="46"/>
        <v/>
      </c>
      <c r="H490" s="503" t="str">
        <f t="shared" si="47"/>
        <v/>
      </c>
      <c r="I490" s="49"/>
    </row>
    <row r="491" spans="2:9" ht="20.100000000000001" customHeight="1" x14ac:dyDescent="0.3">
      <c r="B491" s="198">
        <v>483</v>
      </c>
      <c r="C491" s="501" t="str">
        <f t="shared" si="43"/>
        <v/>
      </c>
      <c r="D491" s="502" t="str">
        <f t="shared" si="44"/>
        <v/>
      </c>
      <c r="E491" s="190" t="str">
        <f t="shared" si="45"/>
        <v/>
      </c>
      <c r="F491" s="196" t="str">
        <f t="shared" si="42"/>
        <v/>
      </c>
      <c r="G491" s="190" t="str">
        <f t="shared" si="46"/>
        <v/>
      </c>
      <c r="H491" s="503" t="str">
        <f t="shared" si="47"/>
        <v/>
      </c>
      <c r="I491" s="49"/>
    </row>
    <row r="492" spans="2:9" ht="20.100000000000001" customHeight="1" x14ac:dyDescent="0.3">
      <c r="B492" s="198">
        <v>484</v>
      </c>
      <c r="C492" s="501" t="str">
        <f t="shared" si="43"/>
        <v/>
      </c>
      <c r="D492" s="502" t="str">
        <f t="shared" si="44"/>
        <v/>
      </c>
      <c r="E492" s="190" t="str">
        <f t="shared" si="45"/>
        <v/>
      </c>
      <c r="F492" s="196" t="str">
        <f t="shared" si="42"/>
        <v/>
      </c>
      <c r="G492" s="190" t="str">
        <f t="shared" si="46"/>
        <v/>
      </c>
      <c r="H492" s="503" t="str">
        <f t="shared" si="47"/>
        <v/>
      </c>
      <c r="I492" s="49"/>
    </row>
    <row r="493" spans="2:9" ht="20.100000000000001" customHeight="1" x14ac:dyDescent="0.3">
      <c r="B493" s="198">
        <v>485</v>
      </c>
      <c r="C493" s="501" t="str">
        <f t="shared" si="43"/>
        <v/>
      </c>
      <c r="D493" s="502" t="str">
        <f t="shared" si="44"/>
        <v/>
      </c>
      <c r="E493" s="190" t="str">
        <f t="shared" si="45"/>
        <v/>
      </c>
      <c r="F493" s="196" t="str">
        <f t="shared" si="42"/>
        <v/>
      </c>
      <c r="G493" s="190" t="str">
        <f t="shared" si="46"/>
        <v/>
      </c>
      <c r="H493" s="503" t="str">
        <f t="shared" si="47"/>
        <v/>
      </c>
      <c r="I493" s="49"/>
    </row>
    <row r="494" spans="2:9" ht="20.100000000000001" customHeight="1" x14ac:dyDescent="0.3">
      <c r="B494" s="198">
        <v>486</v>
      </c>
      <c r="C494" s="501" t="str">
        <f t="shared" si="43"/>
        <v/>
      </c>
      <c r="D494" s="502" t="str">
        <f t="shared" si="44"/>
        <v/>
      </c>
      <c r="E494" s="190" t="str">
        <f t="shared" si="45"/>
        <v/>
      </c>
      <c r="F494" s="196" t="str">
        <f t="shared" si="42"/>
        <v/>
      </c>
      <c r="G494" s="190" t="str">
        <f t="shared" si="46"/>
        <v/>
      </c>
      <c r="H494" s="503" t="str">
        <f t="shared" si="47"/>
        <v/>
      </c>
      <c r="I494" s="49"/>
    </row>
    <row r="495" spans="2:9" ht="20.100000000000001" customHeight="1" x14ac:dyDescent="0.3">
      <c r="B495" s="198">
        <v>487</v>
      </c>
      <c r="C495" s="501" t="str">
        <f t="shared" si="43"/>
        <v/>
      </c>
      <c r="D495" s="502" t="str">
        <f t="shared" si="44"/>
        <v/>
      </c>
      <c r="E495" s="190" t="str">
        <f t="shared" si="45"/>
        <v/>
      </c>
      <c r="F495" s="196" t="str">
        <f t="shared" si="42"/>
        <v/>
      </c>
      <c r="G495" s="190" t="str">
        <f t="shared" si="46"/>
        <v/>
      </c>
      <c r="H495" s="503" t="str">
        <f t="shared" si="47"/>
        <v/>
      </c>
      <c r="I495" s="49"/>
    </row>
    <row r="496" spans="2:9" ht="20.100000000000001" customHeight="1" x14ac:dyDescent="0.3">
      <c r="B496" s="198">
        <v>488</v>
      </c>
      <c r="C496" s="501" t="str">
        <f t="shared" si="43"/>
        <v/>
      </c>
      <c r="D496" s="502" t="str">
        <f t="shared" si="44"/>
        <v/>
      </c>
      <c r="E496" s="190" t="str">
        <f t="shared" si="45"/>
        <v/>
      </c>
      <c r="F496" s="196" t="str">
        <f t="shared" si="42"/>
        <v/>
      </c>
      <c r="G496" s="190" t="str">
        <f t="shared" si="46"/>
        <v/>
      </c>
      <c r="H496" s="503" t="str">
        <f t="shared" si="47"/>
        <v/>
      </c>
      <c r="I496" s="49"/>
    </row>
    <row r="497" spans="2:9" ht="20.100000000000001" customHeight="1" x14ac:dyDescent="0.3">
      <c r="B497" s="198">
        <v>489</v>
      </c>
      <c r="C497" s="501" t="str">
        <f t="shared" si="43"/>
        <v/>
      </c>
      <c r="D497" s="502" t="str">
        <f t="shared" si="44"/>
        <v/>
      </c>
      <c r="E497" s="190" t="str">
        <f t="shared" si="45"/>
        <v/>
      </c>
      <c r="F497" s="196" t="str">
        <f t="shared" si="42"/>
        <v/>
      </c>
      <c r="G497" s="190" t="str">
        <f t="shared" si="46"/>
        <v/>
      </c>
      <c r="H497" s="503" t="str">
        <f t="shared" si="47"/>
        <v/>
      </c>
      <c r="I497" s="49"/>
    </row>
    <row r="498" spans="2:9" ht="20.100000000000001" customHeight="1" x14ac:dyDescent="0.3">
      <c r="B498" s="198">
        <v>490</v>
      </c>
      <c r="C498" s="501" t="str">
        <f t="shared" si="43"/>
        <v/>
      </c>
      <c r="D498" s="502" t="str">
        <f t="shared" si="44"/>
        <v/>
      </c>
      <c r="E498" s="190" t="str">
        <f t="shared" si="45"/>
        <v/>
      </c>
      <c r="F498" s="196" t="str">
        <f t="shared" si="42"/>
        <v/>
      </c>
      <c r="G498" s="190" t="str">
        <f t="shared" si="46"/>
        <v/>
      </c>
      <c r="H498" s="503" t="str">
        <f t="shared" si="47"/>
        <v/>
      </c>
      <c r="I498" s="49"/>
    </row>
    <row r="499" spans="2:9" ht="20.100000000000001" customHeight="1" x14ac:dyDescent="0.3">
      <c r="B499" s="198">
        <v>491</v>
      </c>
      <c r="C499" s="501" t="str">
        <f t="shared" si="43"/>
        <v/>
      </c>
      <c r="D499" s="502" t="str">
        <f t="shared" si="44"/>
        <v/>
      </c>
      <c r="E499" s="190" t="str">
        <f t="shared" si="45"/>
        <v/>
      </c>
      <c r="F499" s="196" t="str">
        <f t="shared" si="42"/>
        <v/>
      </c>
      <c r="G499" s="190" t="str">
        <f t="shared" si="46"/>
        <v/>
      </c>
      <c r="H499" s="503" t="str">
        <f t="shared" si="47"/>
        <v/>
      </c>
      <c r="I499" s="49"/>
    </row>
    <row r="500" spans="2:9" ht="20.100000000000001" customHeight="1" x14ac:dyDescent="0.3">
      <c r="B500" s="198">
        <v>492</v>
      </c>
      <c r="C500" s="501" t="str">
        <f t="shared" si="43"/>
        <v/>
      </c>
      <c r="D500" s="502" t="str">
        <f t="shared" si="44"/>
        <v/>
      </c>
      <c r="E500" s="190" t="str">
        <f t="shared" si="45"/>
        <v/>
      </c>
      <c r="F500" s="196" t="str">
        <f t="shared" si="42"/>
        <v/>
      </c>
      <c r="G500" s="190" t="str">
        <f t="shared" si="46"/>
        <v/>
      </c>
      <c r="H500" s="503" t="str">
        <f t="shared" si="47"/>
        <v/>
      </c>
      <c r="I500" s="49"/>
    </row>
    <row r="501" spans="2:9" ht="20.100000000000001" customHeight="1" x14ac:dyDescent="0.3">
      <c r="B501" s="198">
        <v>493</v>
      </c>
      <c r="C501" s="501" t="str">
        <f t="shared" si="43"/>
        <v/>
      </c>
      <c r="D501" s="502" t="str">
        <f t="shared" si="44"/>
        <v/>
      </c>
      <c r="E501" s="190" t="str">
        <f t="shared" si="45"/>
        <v/>
      </c>
      <c r="F501" s="196" t="str">
        <f t="shared" si="42"/>
        <v/>
      </c>
      <c r="G501" s="190" t="str">
        <f t="shared" si="46"/>
        <v/>
      </c>
      <c r="H501" s="503" t="str">
        <f t="shared" si="47"/>
        <v/>
      </c>
      <c r="I501" s="49"/>
    </row>
    <row r="502" spans="2:9" ht="20.100000000000001" customHeight="1" x14ac:dyDescent="0.3">
      <c r="B502" s="198">
        <v>494</v>
      </c>
      <c r="C502" s="501" t="str">
        <f t="shared" si="43"/>
        <v/>
      </c>
      <c r="D502" s="502" t="str">
        <f t="shared" si="44"/>
        <v/>
      </c>
      <c r="E502" s="190" t="str">
        <f t="shared" si="45"/>
        <v/>
      </c>
      <c r="F502" s="196" t="str">
        <f t="shared" si="42"/>
        <v/>
      </c>
      <c r="G502" s="190" t="str">
        <f t="shared" si="46"/>
        <v/>
      </c>
      <c r="H502" s="503" t="str">
        <f t="shared" si="47"/>
        <v/>
      </c>
      <c r="I502" s="49"/>
    </row>
    <row r="503" spans="2:9" ht="20.100000000000001" customHeight="1" x14ac:dyDescent="0.3">
      <c r="B503" s="198">
        <v>495</v>
      </c>
      <c r="C503" s="501" t="str">
        <f t="shared" si="43"/>
        <v/>
      </c>
      <c r="D503" s="502" t="str">
        <f t="shared" si="44"/>
        <v/>
      </c>
      <c r="E503" s="190" t="str">
        <f t="shared" si="45"/>
        <v/>
      </c>
      <c r="F503" s="196" t="str">
        <f t="shared" si="42"/>
        <v/>
      </c>
      <c r="G503" s="190" t="str">
        <f t="shared" si="46"/>
        <v/>
      </c>
      <c r="H503" s="503" t="str">
        <f t="shared" si="47"/>
        <v/>
      </c>
      <c r="I503" s="49"/>
    </row>
    <row r="504" spans="2:9" ht="20.100000000000001" customHeight="1" x14ac:dyDescent="0.3">
      <c r="B504" s="198">
        <v>496</v>
      </c>
      <c r="C504" s="501" t="str">
        <f t="shared" si="43"/>
        <v/>
      </c>
      <c r="D504" s="502" t="str">
        <f t="shared" si="44"/>
        <v/>
      </c>
      <c r="E504" s="190" t="str">
        <f t="shared" si="45"/>
        <v/>
      </c>
      <c r="F504" s="196" t="str">
        <f t="shared" si="42"/>
        <v/>
      </c>
      <c r="G504" s="190" t="str">
        <f t="shared" si="46"/>
        <v/>
      </c>
      <c r="H504" s="503" t="str">
        <f t="shared" si="47"/>
        <v/>
      </c>
      <c r="I504" s="49"/>
    </row>
    <row r="505" spans="2:9" ht="20.100000000000001" customHeight="1" x14ac:dyDescent="0.3">
      <c r="B505" s="198">
        <v>497</v>
      </c>
      <c r="C505" s="501" t="str">
        <f t="shared" si="43"/>
        <v/>
      </c>
      <c r="D505" s="502" t="str">
        <f t="shared" si="44"/>
        <v/>
      </c>
      <c r="E505" s="190" t="str">
        <f t="shared" si="45"/>
        <v/>
      </c>
      <c r="F505" s="196" t="str">
        <f t="shared" si="42"/>
        <v/>
      </c>
      <c r="G505" s="190" t="str">
        <f t="shared" si="46"/>
        <v/>
      </c>
      <c r="H505" s="503" t="str">
        <f t="shared" si="47"/>
        <v/>
      </c>
      <c r="I505" s="49"/>
    </row>
    <row r="506" spans="2:9" ht="20.100000000000001" customHeight="1" x14ac:dyDescent="0.3">
      <c r="B506" s="198">
        <v>498</v>
      </c>
      <c r="C506" s="501" t="str">
        <f t="shared" si="43"/>
        <v/>
      </c>
      <c r="D506" s="502" t="str">
        <f t="shared" si="44"/>
        <v/>
      </c>
      <c r="E506" s="190" t="str">
        <f t="shared" si="45"/>
        <v/>
      </c>
      <c r="F506" s="196" t="str">
        <f t="shared" si="42"/>
        <v/>
      </c>
      <c r="G506" s="190" t="str">
        <f t="shared" si="46"/>
        <v/>
      </c>
      <c r="H506" s="503" t="str">
        <f t="shared" si="47"/>
        <v/>
      </c>
      <c r="I506" s="49"/>
    </row>
    <row r="507" spans="2:9" ht="20.100000000000001" customHeight="1" x14ac:dyDescent="0.3">
      <c r="B507" s="198">
        <v>499</v>
      </c>
      <c r="C507" s="501" t="str">
        <f t="shared" si="43"/>
        <v/>
      </c>
      <c r="D507" s="502" t="str">
        <f t="shared" si="44"/>
        <v/>
      </c>
      <c r="E507" s="190" t="str">
        <f t="shared" si="45"/>
        <v/>
      </c>
      <c r="F507" s="196" t="str">
        <f t="shared" si="42"/>
        <v/>
      </c>
      <c r="G507" s="190" t="str">
        <f t="shared" si="46"/>
        <v/>
      </c>
      <c r="H507" s="503" t="str">
        <f t="shared" si="47"/>
        <v/>
      </c>
      <c r="I507" s="49"/>
    </row>
    <row r="508" spans="2:9" ht="20.100000000000001" customHeight="1" x14ac:dyDescent="0.3">
      <c r="B508" s="198">
        <v>500</v>
      </c>
      <c r="C508" s="501" t="str">
        <f t="shared" si="43"/>
        <v/>
      </c>
      <c r="D508" s="502" t="str">
        <f t="shared" si="44"/>
        <v/>
      </c>
      <c r="E508" s="190" t="str">
        <f t="shared" si="45"/>
        <v/>
      </c>
      <c r="F508" s="196" t="str">
        <f t="shared" si="42"/>
        <v/>
      </c>
      <c r="G508" s="190" t="str">
        <f t="shared" si="46"/>
        <v/>
      </c>
      <c r="H508" s="503" t="str">
        <f t="shared" si="47"/>
        <v/>
      </c>
      <c r="I508" s="49"/>
    </row>
    <row r="509" spans="2:9" ht="20.100000000000001" customHeight="1" x14ac:dyDescent="0.3">
      <c r="B509" s="198">
        <v>501</v>
      </c>
      <c r="C509" s="501" t="str">
        <f t="shared" si="43"/>
        <v/>
      </c>
      <c r="D509" s="502" t="str">
        <f t="shared" si="44"/>
        <v/>
      </c>
      <c r="E509" s="190" t="str">
        <f t="shared" si="45"/>
        <v/>
      </c>
      <c r="F509" s="196" t="str">
        <f t="shared" si="42"/>
        <v/>
      </c>
      <c r="G509" s="190" t="str">
        <f t="shared" si="46"/>
        <v/>
      </c>
      <c r="H509" s="503" t="str">
        <f t="shared" si="47"/>
        <v/>
      </c>
      <c r="I509" s="49"/>
    </row>
    <row r="510" spans="2:9" ht="20.100000000000001" customHeight="1" x14ac:dyDescent="0.3">
      <c r="B510" s="198">
        <v>502</v>
      </c>
      <c r="C510" s="501" t="str">
        <f t="shared" si="43"/>
        <v/>
      </c>
      <c r="D510" s="502" t="str">
        <f t="shared" si="44"/>
        <v/>
      </c>
      <c r="E510" s="190" t="str">
        <f t="shared" si="45"/>
        <v/>
      </c>
      <c r="F510" s="196" t="str">
        <f t="shared" si="42"/>
        <v/>
      </c>
      <c r="G510" s="190" t="str">
        <f t="shared" si="46"/>
        <v/>
      </c>
      <c r="H510" s="503" t="str">
        <f t="shared" si="47"/>
        <v/>
      </c>
      <c r="I510" s="49"/>
    </row>
    <row r="511" spans="2:9" ht="20.100000000000001" customHeight="1" x14ac:dyDescent="0.3">
      <c r="B511" s="198">
        <v>503</v>
      </c>
      <c r="C511" s="501" t="str">
        <f t="shared" si="43"/>
        <v/>
      </c>
      <c r="D511" s="502" t="str">
        <f t="shared" si="44"/>
        <v/>
      </c>
      <c r="E511" s="190" t="str">
        <f t="shared" si="45"/>
        <v/>
      </c>
      <c r="F511" s="196" t="str">
        <f t="shared" si="42"/>
        <v/>
      </c>
      <c r="G511" s="190" t="str">
        <f t="shared" si="46"/>
        <v/>
      </c>
      <c r="H511" s="503" t="str">
        <f t="shared" si="47"/>
        <v/>
      </c>
      <c r="I511" s="49"/>
    </row>
    <row r="512" spans="2:9" ht="20.100000000000001" customHeight="1" x14ac:dyDescent="0.3">
      <c r="B512" s="198">
        <v>504</v>
      </c>
      <c r="C512" s="501" t="str">
        <f t="shared" si="43"/>
        <v/>
      </c>
      <c r="D512" s="502" t="str">
        <f t="shared" si="44"/>
        <v/>
      </c>
      <c r="E512" s="190" t="str">
        <f t="shared" si="45"/>
        <v/>
      </c>
      <c r="F512" s="196" t="str">
        <f t="shared" si="42"/>
        <v/>
      </c>
      <c r="G512" s="190" t="str">
        <f t="shared" si="46"/>
        <v/>
      </c>
      <c r="H512" s="503" t="str">
        <f t="shared" si="47"/>
        <v/>
      </c>
      <c r="I512" s="49"/>
    </row>
    <row r="513" spans="2:9" ht="20.100000000000001" customHeight="1" x14ac:dyDescent="0.3">
      <c r="B513" s="198">
        <v>505</v>
      </c>
      <c r="C513" s="501" t="str">
        <f t="shared" si="43"/>
        <v/>
      </c>
      <c r="D513" s="502" t="str">
        <f t="shared" si="44"/>
        <v/>
      </c>
      <c r="E513" s="190" t="str">
        <f t="shared" si="45"/>
        <v/>
      </c>
      <c r="F513" s="196" t="str">
        <f t="shared" si="42"/>
        <v/>
      </c>
      <c r="G513" s="190" t="str">
        <f t="shared" si="46"/>
        <v/>
      </c>
      <c r="H513" s="503" t="str">
        <f t="shared" si="47"/>
        <v/>
      </c>
      <c r="I513" s="49"/>
    </row>
    <row r="514" spans="2:9" ht="20.100000000000001" customHeight="1" x14ac:dyDescent="0.3">
      <c r="B514" s="198">
        <v>506</v>
      </c>
      <c r="C514" s="501" t="str">
        <f t="shared" si="43"/>
        <v/>
      </c>
      <c r="D514" s="502" t="str">
        <f t="shared" si="44"/>
        <v/>
      </c>
      <c r="E514" s="190" t="str">
        <f t="shared" si="45"/>
        <v/>
      </c>
      <c r="F514" s="196" t="str">
        <f t="shared" si="42"/>
        <v/>
      </c>
      <c r="G514" s="190" t="str">
        <f t="shared" si="46"/>
        <v/>
      </c>
      <c r="H514" s="503" t="str">
        <f t="shared" si="47"/>
        <v/>
      </c>
      <c r="I514" s="49"/>
    </row>
    <row r="515" spans="2:9" ht="20.100000000000001" customHeight="1" x14ac:dyDescent="0.3">
      <c r="B515" s="198">
        <v>507</v>
      </c>
      <c r="C515" s="501" t="str">
        <f t="shared" si="43"/>
        <v/>
      </c>
      <c r="D515" s="502" t="str">
        <f t="shared" si="44"/>
        <v/>
      </c>
      <c r="E515" s="190" t="str">
        <f t="shared" si="45"/>
        <v/>
      </c>
      <c r="F515" s="196" t="str">
        <f t="shared" si="42"/>
        <v/>
      </c>
      <c r="G515" s="190" t="str">
        <f t="shared" si="46"/>
        <v/>
      </c>
      <c r="H515" s="503" t="str">
        <f t="shared" si="47"/>
        <v/>
      </c>
      <c r="I515" s="49"/>
    </row>
    <row r="516" spans="2:9" ht="20.100000000000001" customHeight="1" x14ac:dyDescent="0.3">
      <c r="B516" s="198">
        <v>508</v>
      </c>
      <c r="C516" s="501" t="str">
        <f t="shared" si="43"/>
        <v/>
      </c>
      <c r="D516" s="502" t="str">
        <f t="shared" si="44"/>
        <v/>
      </c>
      <c r="E516" s="190" t="str">
        <f t="shared" si="45"/>
        <v/>
      </c>
      <c r="F516" s="196" t="str">
        <f t="shared" si="42"/>
        <v/>
      </c>
      <c r="G516" s="190" t="str">
        <f t="shared" si="46"/>
        <v/>
      </c>
      <c r="H516" s="503" t="str">
        <f t="shared" si="47"/>
        <v/>
      </c>
      <c r="I516" s="49"/>
    </row>
    <row r="517" spans="2:9" ht="20.100000000000001" customHeight="1" x14ac:dyDescent="0.3">
      <c r="B517" s="198">
        <v>509</v>
      </c>
      <c r="C517" s="501" t="str">
        <f t="shared" si="43"/>
        <v/>
      </c>
      <c r="D517" s="502" t="str">
        <f t="shared" si="44"/>
        <v/>
      </c>
      <c r="E517" s="190" t="str">
        <f t="shared" si="45"/>
        <v/>
      </c>
      <c r="F517" s="196" t="str">
        <f t="shared" si="42"/>
        <v/>
      </c>
      <c r="G517" s="190" t="str">
        <f t="shared" si="46"/>
        <v/>
      </c>
      <c r="H517" s="503" t="str">
        <f t="shared" si="47"/>
        <v/>
      </c>
      <c r="I517" s="49"/>
    </row>
    <row r="518" spans="2:9" ht="20.100000000000001" customHeight="1" x14ac:dyDescent="0.3">
      <c r="B518" s="198">
        <v>510</v>
      </c>
      <c r="C518" s="501" t="str">
        <f t="shared" si="43"/>
        <v/>
      </c>
      <c r="D518" s="502" t="str">
        <f t="shared" si="44"/>
        <v/>
      </c>
      <c r="E518" s="190" t="str">
        <f t="shared" si="45"/>
        <v/>
      </c>
      <c r="F518" s="196" t="str">
        <f t="shared" si="42"/>
        <v/>
      </c>
      <c r="G518" s="190" t="str">
        <f t="shared" si="46"/>
        <v/>
      </c>
      <c r="H518" s="503" t="str">
        <f t="shared" si="47"/>
        <v/>
      </c>
      <c r="I518" s="49"/>
    </row>
    <row r="519" spans="2:9" ht="20.100000000000001" customHeight="1" x14ac:dyDescent="0.3">
      <c r="B519" s="198">
        <v>511</v>
      </c>
      <c r="C519" s="501" t="str">
        <f t="shared" si="43"/>
        <v/>
      </c>
      <c r="D519" s="502" t="str">
        <f t="shared" si="44"/>
        <v/>
      </c>
      <c r="E519" s="190" t="str">
        <f t="shared" si="45"/>
        <v/>
      </c>
      <c r="F519" s="196" t="str">
        <f t="shared" si="42"/>
        <v/>
      </c>
      <c r="G519" s="190" t="str">
        <f t="shared" si="46"/>
        <v/>
      </c>
      <c r="H519" s="503" t="str">
        <f t="shared" si="47"/>
        <v/>
      </c>
      <c r="I519" s="49"/>
    </row>
    <row r="520" spans="2:9" ht="20.100000000000001" customHeight="1" x14ac:dyDescent="0.3">
      <c r="B520" s="198">
        <v>512</v>
      </c>
      <c r="C520" s="501" t="str">
        <f t="shared" si="43"/>
        <v/>
      </c>
      <c r="D520" s="502" t="str">
        <f t="shared" si="44"/>
        <v/>
      </c>
      <c r="E520" s="190" t="str">
        <f t="shared" si="45"/>
        <v/>
      </c>
      <c r="F520" s="196" t="str">
        <f t="shared" si="42"/>
        <v/>
      </c>
      <c r="G520" s="190" t="str">
        <f t="shared" si="46"/>
        <v/>
      </c>
      <c r="H520" s="503" t="str">
        <f t="shared" si="47"/>
        <v/>
      </c>
      <c r="I520" s="49"/>
    </row>
    <row r="521" spans="2:9" ht="20.100000000000001" customHeight="1" x14ac:dyDescent="0.3">
      <c r="B521" s="198">
        <v>513</v>
      </c>
      <c r="C521" s="501" t="str">
        <f t="shared" si="43"/>
        <v/>
      </c>
      <c r="D521" s="502" t="str">
        <f t="shared" si="44"/>
        <v/>
      </c>
      <c r="E521" s="190" t="str">
        <f t="shared" si="45"/>
        <v/>
      </c>
      <c r="F521" s="196" t="str">
        <f t="shared" si="42"/>
        <v/>
      </c>
      <c r="G521" s="190" t="str">
        <f t="shared" si="46"/>
        <v/>
      </c>
      <c r="H521" s="503" t="str">
        <f t="shared" si="47"/>
        <v/>
      </c>
      <c r="I521" s="49"/>
    </row>
    <row r="522" spans="2:9" ht="20.100000000000001" customHeight="1" x14ac:dyDescent="0.3">
      <c r="B522" s="198">
        <v>514</v>
      </c>
      <c r="C522" s="501" t="str">
        <f t="shared" si="43"/>
        <v/>
      </c>
      <c r="D522" s="502" t="str">
        <f t="shared" si="44"/>
        <v/>
      </c>
      <c r="E522" s="190" t="str">
        <f t="shared" si="45"/>
        <v/>
      </c>
      <c r="F522" s="196" t="str">
        <f t="shared" ref="F522:F585" si="48">IF($H$4="","",IF($F$4="원리금균등상환",IFERROR(D522+E522,""),IF($F$4="원금균등상환",D522+E522,"")))</f>
        <v/>
      </c>
      <c r="G522" s="190" t="str">
        <f t="shared" si="46"/>
        <v/>
      </c>
      <c r="H522" s="503" t="str">
        <f t="shared" si="47"/>
        <v/>
      </c>
      <c r="I522" s="49"/>
    </row>
    <row r="523" spans="2:9" ht="20.100000000000001" customHeight="1" x14ac:dyDescent="0.3">
      <c r="B523" s="198">
        <v>515</v>
      </c>
      <c r="C523" s="501" t="str">
        <f t="shared" ref="C523:C586" si="49">IF($H$4="","",IF(B523&gt;($B$6),"",IF(B523&lt;=($B$6),DATE(YEAR($G$4),MONTH($G$4)+B522,DAY($G$4)),"")))</f>
        <v/>
      </c>
      <c r="D523" s="502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190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196" t="str">
        <f t="shared" si="48"/>
        <v/>
      </c>
      <c r="G523" s="190" t="str">
        <f t="shared" ref="G523:G586" si="52">IFERROR(IF(B523&gt;(($D$6+$B$6)*12),"",IF(B523=1,D523,D523+G522)),"")</f>
        <v/>
      </c>
      <c r="H523" s="503" t="str">
        <f t="shared" ref="H523:H586" si="53">IFERROR(IF($H$4="","",H522-D523),"")</f>
        <v/>
      </c>
      <c r="I523" s="49"/>
    </row>
    <row r="524" spans="2:9" ht="20.100000000000001" customHeight="1" x14ac:dyDescent="0.3">
      <c r="B524" s="198">
        <v>516</v>
      </c>
      <c r="C524" s="501" t="str">
        <f t="shared" si="49"/>
        <v/>
      </c>
      <c r="D524" s="502" t="str">
        <f t="shared" si="50"/>
        <v/>
      </c>
      <c r="E524" s="190" t="str">
        <f t="shared" si="51"/>
        <v/>
      </c>
      <c r="F524" s="196" t="str">
        <f t="shared" si="48"/>
        <v/>
      </c>
      <c r="G524" s="190" t="str">
        <f t="shared" si="52"/>
        <v/>
      </c>
      <c r="H524" s="503" t="str">
        <f t="shared" si="53"/>
        <v/>
      </c>
      <c r="I524" s="49"/>
    </row>
    <row r="525" spans="2:9" ht="20.100000000000001" customHeight="1" x14ac:dyDescent="0.3">
      <c r="B525" s="198">
        <v>517</v>
      </c>
      <c r="C525" s="501" t="str">
        <f t="shared" si="49"/>
        <v/>
      </c>
      <c r="D525" s="502" t="str">
        <f t="shared" si="50"/>
        <v/>
      </c>
      <c r="E525" s="190" t="str">
        <f t="shared" si="51"/>
        <v/>
      </c>
      <c r="F525" s="196" t="str">
        <f t="shared" si="48"/>
        <v/>
      </c>
      <c r="G525" s="190" t="str">
        <f t="shared" si="52"/>
        <v/>
      </c>
      <c r="H525" s="503" t="str">
        <f t="shared" si="53"/>
        <v/>
      </c>
      <c r="I525" s="49"/>
    </row>
    <row r="526" spans="2:9" ht="20.100000000000001" customHeight="1" x14ac:dyDescent="0.3">
      <c r="B526" s="198">
        <v>518</v>
      </c>
      <c r="C526" s="501" t="str">
        <f t="shared" si="49"/>
        <v/>
      </c>
      <c r="D526" s="502" t="str">
        <f t="shared" si="50"/>
        <v/>
      </c>
      <c r="E526" s="190" t="str">
        <f t="shared" si="51"/>
        <v/>
      </c>
      <c r="F526" s="196" t="str">
        <f t="shared" si="48"/>
        <v/>
      </c>
      <c r="G526" s="190" t="str">
        <f t="shared" si="52"/>
        <v/>
      </c>
      <c r="H526" s="503" t="str">
        <f t="shared" si="53"/>
        <v/>
      </c>
      <c r="I526" s="49"/>
    </row>
    <row r="527" spans="2:9" ht="20.100000000000001" customHeight="1" x14ac:dyDescent="0.3">
      <c r="B527" s="198">
        <v>519</v>
      </c>
      <c r="C527" s="501" t="str">
        <f t="shared" si="49"/>
        <v/>
      </c>
      <c r="D527" s="502" t="str">
        <f t="shared" si="50"/>
        <v/>
      </c>
      <c r="E527" s="190" t="str">
        <f t="shared" si="51"/>
        <v/>
      </c>
      <c r="F527" s="196" t="str">
        <f t="shared" si="48"/>
        <v/>
      </c>
      <c r="G527" s="190" t="str">
        <f t="shared" si="52"/>
        <v/>
      </c>
      <c r="H527" s="503" t="str">
        <f t="shared" si="53"/>
        <v/>
      </c>
      <c r="I527" s="49"/>
    </row>
    <row r="528" spans="2:9" ht="20.100000000000001" customHeight="1" x14ac:dyDescent="0.3">
      <c r="B528" s="198">
        <v>520</v>
      </c>
      <c r="C528" s="501" t="str">
        <f t="shared" si="49"/>
        <v/>
      </c>
      <c r="D528" s="502" t="str">
        <f t="shared" si="50"/>
        <v/>
      </c>
      <c r="E528" s="190" t="str">
        <f t="shared" si="51"/>
        <v/>
      </c>
      <c r="F528" s="196" t="str">
        <f t="shared" si="48"/>
        <v/>
      </c>
      <c r="G528" s="190" t="str">
        <f t="shared" si="52"/>
        <v/>
      </c>
      <c r="H528" s="503" t="str">
        <f t="shared" si="53"/>
        <v/>
      </c>
      <c r="I528" s="49"/>
    </row>
    <row r="529" spans="2:9" ht="20.100000000000001" customHeight="1" x14ac:dyDescent="0.3">
      <c r="B529" s="198">
        <v>521</v>
      </c>
      <c r="C529" s="501" t="str">
        <f t="shared" si="49"/>
        <v/>
      </c>
      <c r="D529" s="502" t="str">
        <f t="shared" si="50"/>
        <v/>
      </c>
      <c r="E529" s="190" t="str">
        <f t="shared" si="51"/>
        <v/>
      </c>
      <c r="F529" s="196" t="str">
        <f t="shared" si="48"/>
        <v/>
      </c>
      <c r="G529" s="190" t="str">
        <f t="shared" si="52"/>
        <v/>
      </c>
      <c r="H529" s="503" t="str">
        <f t="shared" si="53"/>
        <v/>
      </c>
      <c r="I529" s="49"/>
    </row>
    <row r="530" spans="2:9" ht="20.100000000000001" customHeight="1" x14ac:dyDescent="0.3">
      <c r="B530" s="198">
        <v>522</v>
      </c>
      <c r="C530" s="501" t="str">
        <f t="shared" si="49"/>
        <v/>
      </c>
      <c r="D530" s="502" t="str">
        <f t="shared" si="50"/>
        <v/>
      </c>
      <c r="E530" s="190" t="str">
        <f t="shared" si="51"/>
        <v/>
      </c>
      <c r="F530" s="196" t="str">
        <f t="shared" si="48"/>
        <v/>
      </c>
      <c r="G530" s="190" t="str">
        <f t="shared" si="52"/>
        <v/>
      </c>
      <c r="H530" s="503" t="str">
        <f t="shared" si="53"/>
        <v/>
      </c>
      <c r="I530" s="49"/>
    </row>
    <row r="531" spans="2:9" ht="20.100000000000001" customHeight="1" x14ac:dyDescent="0.3">
      <c r="B531" s="198">
        <v>523</v>
      </c>
      <c r="C531" s="501" t="str">
        <f t="shared" si="49"/>
        <v/>
      </c>
      <c r="D531" s="502" t="str">
        <f t="shared" si="50"/>
        <v/>
      </c>
      <c r="E531" s="190" t="str">
        <f t="shared" si="51"/>
        <v/>
      </c>
      <c r="F531" s="196" t="str">
        <f t="shared" si="48"/>
        <v/>
      </c>
      <c r="G531" s="190" t="str">
        <f t="shared" si="52"/>
        <v/>
      </c>
      <c r="H531" s="503" t="str">
        <f t="shared" si="53"/>
        <v/>
      </c>
      <c r="I531" s="49"/>
    </row>
    <row r="532" spans="2:9" ht="20.100000000000001" customHeight="1" x14ac:dyDescent="0.3">
      <c r="B532" s="198">
        <v>524</v>
      </c>
      <c r="C532" s="501" t="str">
        <f t="shared" si="49"/>
        <v/>
      </c>
      <c r="D532" s="502" t="str">
        <f t="shared" si="50"/>
        <v/>
      </c>
      <c r="E532" s="190" t="str">
        <f t="shared" si="51"/>
        <v/>
      </c>
      <c r="F532" s="196" t="str">
        <f t="shared" si="48"/>
        <v/>
      </c>
      <c r="G532" s="190" t="str">
        <f t="shared" si="52"/>
        <v/>
      </c>
      <c r="H532" s="503" t="str">
        <f t="shared" si="53"/>
        <v/>
      </c>
      <c r="I532" s="49"/>
    </row>
    <row r="533" spans="2:9" ht="20.100000000000001" customHeight="1" x14ac:dyDescent="0.3">
      <c r="B533" s="198">
        <v>525</v>
      </c>
      <c r="C533" s="501" t="str">
        <f t="shared" si="49"/>
        <v/>
      </c>
      <c r="D533" s="502" t="str">
        <f t="shared" si="50"/>
        <v/>
      </c>
      <c r="E533" s="190" t="str">
        <f t="shared" si="51"/>
        <v/>
      </c>
      <c r="F533" s="196" t="str">
        <f t="shared" si="48"/>
        <v/>
      </c>
      <c r="G533" s="190" t="str">
        <f t="shared" si="52"/>
        <v/>
      </c>
      <c r="H533" s="503" t="str">
        <f t="shared" si="53"/>
        <v/>
      </c>
      <c r="I533" s="49"/>
    </row>
    <row r="534" spans="2:9" ht="20.100000000000001" customHeight="1" x14ac:dyDescent="0.3">
      <c r="B534" s="198">
        <v>526</v>
      </c>
      <c r="C534" s="501" t="str">
        <f t="shared" si="49"/>
        <v/>
      </c>
      <c r="D534" s="502" t="str">
        <f t="shared" si="50"/>
        <v/>
      </c>
      <c r="E534" s="190" t="str">
        <f t="shared" si="51"/>
        <v/>
      </c>
      <c r="F534" s="196" t="str">
        <f t="shared" si="48"/>
        <v/>
      </c>
      <c r="G534" s="190" t="str">
        <f t="shared" si="52"/>
        <v/>
      </c>
      <c r="H534" s="503" t="str">
        <f t="shared" si="53"/>
        <v/>
      </c>
      <c r="I534" s="49"/>
    </row>
    <row r="535" spans="2:9" ht="20.100000000000001" customHeight="1" x14ac:dyDescent="0.3">
      <c r="B535" s="198">
        <v>527</v>
      </c>
      <c r="C535" s="501" t="str">
        <f t="shared" si="49"/>
        <v/>
      </c>
      <c r="D535" s="502" t="str">
        <f t="shared" si="50"/>
        <v/>
      </c>
      <c r="E535" s="190" t="str">
        <f t="shared" si="51"/>
        <v/>
      </c>
      <c r="F535" s="196" t="str">
        <f t="shared" si="48"/>
        <v/>
      </c>
      <c r="G535" s="190" t="str">
        <f t="shared" si="52"/>
        <v/>
      </c>
      <c r="H535" s="503" t="str">
        <f t="shared" si="53"/>
        <v/>
      </c>
      <c r="I535" s="49"/>
    </row>
    <row r="536" spans="2:9" ht="20.100000000000001" customHeight="1" x14ac:dyDescent="0.3">
      <c r="B536" s="198">
        <v>528</v>
      </c>
      <c r="C536" s="501" t="str">
        <f t="shared" si="49"/>
        <v/>
      </c>
      <c r="D536" s="502" t="str">
        <f t="shared" si="50"/>
        <v/>
      </c>
      <c r="E536" s="190" t="str">
        <f t="shared" si="51"/>
        <v/>
      </c>
      <c r="F536" s="196" t="str">
        <f t="shared" si="48"/>
        <v/>
      </c>
      <c r="G536" s="190" t="str">
        <f t="shared" si="52"/>
        <v/>
      </c>
      <c r="H536" s="503" t="str">
        <f t="shared" si="53"/>
        <v/>
      </c>
      <c r="I536" s="49"/>
    </row>
    <row r="537" spans="2:9" ht="20.100000000000001" customHeight="1" x14ac:dyDescent="0.3">
      <c r="B537" s="198">
        <v>529</v>
      </c>
      <c r="C537" s="501" t="str">
        <f t="shared" si="49"/>
        <v/>
      </c>
      <c r="D537" s="502" t="str">
        <f t="shared" si="50"/>
        <v/>
      </c>
      <c r="E537" s="190" t="str">
        <f t="shared" si="51"/>
        <v/>
      </c>
      <c r="F537" s="196" t="str">
        <f t="shared" si="48"/>
        <v/>
      </c>
      <c r="G537" s="190" t="str">
        <f t="shared" si="52"/>
        <v/>
      </c>
      <c r="H537" s="503" t="str">
        <f t="shared" si="53"/>
        <v/>
      </c>
      <c r="I537" s="49"/>
    </row>
    <row r="538" spans="2:9" ht="20.100000000000001" customHeight="1" x14ac:dyDescent="0.3">
      <c r="B538" s="198">
        <v>530</v>
      </c>
      <c r="C538" s="501" t="str">
        <f t="shared" si="49"/>
        <v/>
      </c>
      <c r="D538" s="502" t="str">
        <f t="shared" si="50"/>
        <v/>
      </c>
      <c r="E538" s="190" t="str">
        <f t="shared" si="51"/>
        <v/>
      </c>
      <c r="F538" s="196" t="str">
        <f t="shared" si="48"/>
        <v/>
      </c>
      <c r="G538" s="190" t="str">
        <f t="shared" si="52"/>
        <v/>
      </c>
      <c r="H538" s="503" t="str">
        <f t="shared" si="53"/>
        <v/>
      </c>
      <c r="I538" s="49"/>
    </row>
    <row r="539" spans="2:9" ht="20.100000000000001" customHeight="1" x14ac:dyDescent="0.3">
      <c r="B539" s="198">
        <v>531</v>
      </c>
      <c r="C539" s="501" t="str">
        <f t="shared" si="49"/>
        <v/>
      </c>
      <c r="D539" s="502" t="str">
        <f t="shared" si="50"/>
        <v/>
      </c>
      <c r="E539" s="190" t="str">
        <f t="shared" si="51"/>
        <v/>
      </c>
      <c r="F539" s="196" t="str">
        <f t="shared" si="48"/>
        <v/>
      </c>
      <c r="G539" s="190" t="str">
        <f t="shared" si="52"/>
        <v/>
      </c>
      <c r="H539" s="503" t="str">
        <f t="shared" si="53"/>
        <v/>
      </c>
      <c r="I539" s="49"/>
    </row>
    <row r="540" spans="2:9" ht="20.100000000000001" customHeight="1" x14ac:dyDescent="0.3">
      <c r="B540" s="198">
        <v>532</v>
      </c>
      <c r="C540" s="501" t="str">
        <f t="shared" si="49"/>
        <v/>
      </c>
      <c r="D540" s="502" t="str">
        <f t="shared" si="50"/>
        <v/>
      </c>
      <c r="E540" s="190" t="str">
        <f t="shared" si="51"/>
        <v/>
      </c>
      <c r="F540" s="196" t="str">
        <f t="shared" si="48"/>
        <v/>
      </c>
      <c r="G540" s="190" t="str">
        <f t="shared" si="52"/>
        <v/>
      </c>
      <c r="H540" s="503" t="str">
        <f t="shared" si="53"/>
        <v/>
      </c>
      <c r="I540" s="49"/>
    </row>
    <row r="541" spans="2:9" ht="20.100000000000001" customHeight="1" x14ac:dyDescent="0.3">
      <c r="B541" s="198">
        <v>533</v>
      </c>
      <c r="C541" s="501" t="str">
        <f t="shared" si="49"/>
        <v/>
      </c>
      <c r="D541" s="502" t="str">
        <f t="shared" si="50"/>
        <v/>
      </c>
      <c r="E541" s="190" t="str">
        <f t="shared" si="51"/>
        <v/>
      </c>
      <c r="F541" s="196" t="str">
        <f t="shared" si="48"/>
        <v/>
      </c>
      <c r="G541" s="190" t="str">
        <f t="shared" si="52"/>
        <v/>
      </c>
      <c r="H541" s="503" t="str">
        <f t="shared" si="53"/>
        <v/>
      </c>
      <c r="I541" s="49"/>
    </row>
    <row r="542" spans="2:9" ht="20.100000000000001" customHeight="1" x14ac:dyDescent="0.3">
      <c r="B542" s="198">
        <v>534</v>
      </c>
      <c r="C542" s="501" t="str">
        <f t="shared" si="49"/>
        <v/>
      </c>
      <c r="D542" s="502" t="str">
        <f t="shared" si="50"/>
        <v/>
      </c>
      <c r="E542" s="190" t="str">
        <f t="shared" si="51"/>
        <v/>
      </c>
      <c r="F542" s="196" t="str">
        <f t="shared" si="48"/>
        <v/>
      </c>
      <c r="G542" s="190" t="str">
        <f t="shared" si="52"/>
        <v/>
      </c>
      <c r="H542" s="503" t="str">
        <f t="shared" si="53"/>
        <v/>
      </c>
      <c r="I542" s="49"/>
    </row>
    <row r="543" spans="2:9" ht="20.100000000000001" customHeight="1" x14ac:dyDescent="0.3">
      <c r="B543" s="198">
        <v>535</v>
      </c>
      <c r="C543" s="501" t="str">
        <f t="shared" si="49"/>
        <v/>
      </c>
      <c r="D543" s="502" t="str">
        <f t="shared" si="50"/>
        <v/>
      </c>
      <c r="E543" s="190" t="str">
        <f t="shared" si="51"/>
        <v/>
      </c>
      <c r="F543" s="196" t="str">
        <f t="shared" si="48"/>
        <v/>
      </c>
      <c r="G543" s="190" t="str">
        <f t="shared" si="52"/>
        <v/>
      </c>
      <c r="H543" s="503" t="str">
        <f t="shared" si="53"/>
        <v/>
      </c>
      <c r="I543" s="49"/>
    </row>
    <row r="544" spans="2:9" ht="20.100000000000001" customHeight="1" x14ac:dyDescent="0.3">
      <c r="B544" s="198">
        <v>536</v>
      </c>
      <c r="C544" s="501" t="str">
        <f t="shared" si="49"/>
        <v/>
      </c>
      <c r="D544" s="502" t="str">
        <f t="shared" si="50"/>
        <v/>
      </c>
      <c r="E544" s="190" t="str">
        <f t="shared" si="51"/>
        <v/>
      </c>
      <c r="F544" s="196" t="str">
        <f t="shared" si="48"/>
        <v/>
      </c>
      <c r="G544" s="190" t="str">
        <f t="shared" si="52"/>
        <v/>
      </c>
      <c r="H544" s="503" t="str">
        <f t="shared" si="53"/>
        <v/>
      </c>
      <c r="I544" s="49"/>
    </row>
    <row r="545" spans="2:9" ht="20.100000000000001" customHeight="1" x14ac:dyDescent="0.3">
      <c r="B545" s="198">
        <v>537</v>
      </c>
      <c r="C545" s="501" t="str">
        <f t="shared" si="49"/>
        <v/>
      </c>
      <c r="D545" s="502" t="str">
        <f t="shared" si="50"/>
        <v/>
      </c>
      <c r="E545" s="190" t="str">
        <f t="shared" si="51"/>
        <v/>
      </c>
      <c r="F545" s="196" t="str">
        <f t="shared" si="48"/>
        <v/>
      </c>
      <c r="G545" s="190" t="str">
        <f t="shared" si="52"/>
        <v/>
      </c>
      <c r="H545" s="503" t="str">
        <f t="shared" si="53"/>
        <v/>
      </c>
      <c r="I545" s="49"/>
    </row>
    <row r="546" spans="2:9" ht="20.100000000000001" customHeight="1" x14ac:dyDescent="0.3">
      <c r="B546" s="198">
        <v>538</v>
      </c>
      <c r="C546" s="501" t="str">
        <f t="shared" si="49"/>
        <v/>
      </c>
      <c r="D546" s="502" t="str">
        <f t="shared" si="50"/>
        <v/>
      </c>
      <c r="E546" s="190" t="str">
        <f t="shared" si="51"/>
        <v/>
      </c>
      <c r="F546" s="196" t="str">
        <f t="shared" si="48"/>
        <v/>
      </c>
      <c r="G546" s="190" t="str">
        <f t="shared" si="52"/>
        <v/>
      </c>
      <c r="H546" s="503" t="str">
        <f t="shared" si="53"/>
        <v/>
      </c>
      <c r="I546" s="49"/>
    </row>
    <row r="547" spans="2:9" ht="20.100000000000001" customHeight="1" x14ac:dyDescent="0.3">
      <c r="B547" s="198">
        <v>539</v>
      </c>
      <c r="C547" s="501" t="str">
        <f t="shared" si="49"/>
        <v/>
      </c>
      <c r="D547" s="502" t="str">
        <f t="shared" si="50"/>
        <v/>
      </c>
      <c r="E547" s="190" t="str">
        <f t="shared" si="51"/>
        <v/>
      </c>
      <c r="F547" s="196" t="str">
        <f t="shared" si="48"/>
        <v/>
      </c>
      <c r="G547" s="190" t="str">
        <f t="shared" si="52"/>
        <v/>
      </c>
      <c r="H547" s="503" t="str">
        <f t="shared" si="53"/>
        <v/>
      </c>
      <c r="I547" s="49"/>
    </row>
    <row r="548" spans="2:9" ht="20.100000000000001" customHeight="1" x14ac:dyDescent="0.3">
      <c r="B548" s="198">
        <v>540</v>
      </c>
      <c r="C548" s="501" t="str">
        <f t="shared" si="49"/>
        <v/>
      </c>
      <c r="D548" s="502" t="str">
        <f t="shared" si="50"/>
        <v/>
      </c>
      <c r="E548" s="190" t="str">
        <f t="shared" si="51"/>
        <v/>
      </c>
      <c r="F548" s="196" t="str">
        <f t="shared" si="48"/>
        <v/>
      </c>
      <c r="G548" s="190" t="str">
        <f t="shared" si="52"/>
        <v/>
      </c>
      <c r="H548" s="503" t="str">
        <f t="shared" si="53"/>
        <v/>
      </c>
      <c r="I548" s="49"/>
    </row>
    <row r="549" spans="2:9" ht="20.100000000000001" customHeight="1" x14ac:dyDescent="0.3">
      <c r="B549" s="198">
        <v>541</v>
      </c>
      <c r="C549" s="501" t="str">
        <f t="shared" si="49"/>
        <v/>
      </c>
      <c r="D549" s="502" t="str">
        <f t="shared" si="50"/>
        <v/>
      </c>
      <c r="E549" s="190" t="str">
        <f t="shared" si="51"/>
        <v/>
      </c>
      <c r="F549" s="196" t="str">
        <f t="shared" si="48"/>
        <v/>
      </c>
      <c r="G549" s="190" t="str">
        <f t="shared" si="52"/>
        <v/>
      </c>
      <c r="H549" s="503" t="str">
        <f t="shared" si="53"/>
        <v/>
      </c>
      <c r="I549" s="49"/>
    </row>
    <row r="550" spans="2:9" ht="20.100000000000001" customHeight="1" x14ac:dyDescent="0.3">
      <c r="B550" s="198">
        <v>542</v>
      </c>
      <c r="C550" s="501" t="str">
        <f t="shared" si="49"/>
        <v/>
      </c>
      <c r="D550" s="502" t="str">
        <f t="shared" si="50"/>
        <v/>
      </c>
      <c r="E550" s="190" t="str">
        <f t="shared" si="51"/>
        <v/>
      </c>
      <c r="F550" s="196" t="str">
        <f t="shared" si="48"/>
        <v/>
      </c>
      <c r="G550" s="190" t="str">
        <f t="shared" si="52"/>
        <v/>
      </c>
      <c r="H550" s="503" t="str">
        <f t="shared" si="53"/>
        <v/>
      </c>
      <c r="I550" s="49"/>
    </row>
    <row r="551" spans="2:9" ht="20.100000000000001" customHeight="1" x14ac:dyDescent="0.3">
      <c r="B551" s="198">
        <v>543</v>
      </c>
      <c r="C551" s="501" t="str">
        <f t="shared" si="49"/>
        <v/>
      </c>
      <c r="D551" s="502" t="str">
        <f t="shared" si="50"/>
        <v/>
      </c>
      <c r="E551" s="190" t="str">
        <f t="shared" si="51"/>
        <v/>
      </c>
      <c r="F551" s="196" t="str">
        <f t="shared" si="48"/>
        <v/>
      </c>
      <c r="G551" s="190" t="str">
        <f t="shared" si="52"/>
        <v/>
      </c>
      <c r="H551" s="503" t="str">
        <f t="shared" si="53"/>
        <v/>
      </c>
      <c r="I551" s="49"/>
    </row>
    <row r="552" spans="2:9" ht="20.100000000000001" customHeight="1" x14ac:dyDescent="0.3">
      <c r="B552" s="198">
        <v>544</v>
      </c>
      <c r="C552" s="501" t="str">
        <f t="shared" si="49"/>
        <v/>
      </c>
      <c r="D552" s="502" t="str">
        <f t="shared" si="50"/>
        <v/>
      </c>
      <c r="E552" s="190" t="str">
        <f t="shared" si="51"/>
        <v/>
      </c>
      <c r="F552" s="196" t="str">
        <f t="shared" si="48"/>
        <v/>
      </c>
      <c r="G552" s="190" t="str">
        <f t="shared" si="52"/>
        <v/>
      </c>
      <c r="H552" s="503" t="str">
        <f t="shared" si="53"/>
        <v/>
      </c>
      <c r="I552" s="49"/>
    </row>
    <row r="553" spans="2:9" ht="20.100000000000001" customHeight="1" x14ac:dyDescent="0.3">
      <c r="B553" s="198">
        <v>545</v>
      </c>
      <c r="C553" s="501" t="str">
        <f t="shared" si="49"/>
        <v/>
      </c>
      <c r="D553" s="502" t="str">
        <f t="shared" si="50"/>
        <v/>
      </c>
      <c r="E553" s="190" t="str">
        <f t="shared" si="51"/>
        <v/>
      </c>
      <c r="F553" s="196" t="str">
        <f t="shared" si="48"/>
        <v/>
      </c>
      <c r="G553" s="190" t="str">
        <f t="shared" si="52"/>
        <v/>
      </c>
      <c r="H553" s="503" t="str">
        <f t="shared" si="53"/>
        <v/>
      </c>
      <c r="I553" s="49"/>
    </row>
    <row r="554" spans="2:9" ht="20.100000000000001" customHeight="1" x14ac:dyDescent="0.3">
      <c r="B554" s="198">
        <v>546</v>
      </c>
      <c r="C554" s="501" t="str">
        <f t="shared" si="49"/>
        <v/>
      </c>
      <c r="D554" s="502" t="str">
        <f t="shared" si="50"/>
        <v/>
      </c>
      <c r="E554" s="190" t="str">
        <f t="shared" si="51"/>
        <v/>
      </c>
      <c r="F554" s="196" t="str">
        <f t="shared" si="48"/>
        <v/>
      </c>
      <c r="G554" s="190" t="str">
        <f t="shared" si="52"/>
        <v/>
      </c>
      <c r="H554" s="503" t="str">
        <f t="shared" si="53"/>
        <v/>
      </c>
      <c r="I554" s="49"/>
    </row>
    <row r="555" spans="2:9" ht="20.100000000000001" customHeight="1" x14ac:dyDescent="0.3">
      <c r="B555" s="198">
        <v>547</v>
      </c>
      <c r="C555" s="501" t="str">
        <f t="shared" si="49"/>
        <v/>
      </c>
      <c r="D555" s="502" t="str">
        <f t="shared" si="50"/>
        <v/>
      </c>
      <c r="E555" s="190" t="str">
        <f t="shared" si="51"/>
        <v/>
      </c>
      <c r="F555" s="196" t="str">
        <f t="shared" si="48"/>
        <v/>
      </c>
      <c r="G555" s="190" t="str">
        <f t="shared" si="52"/>
        <v/>
      </c>
      <c r="H555" s="503" t="str">
        <f t="shared" si="53"/>
        <v/>
      </c>
      <c r="I555" s="49"/>
    </row>
    <row r="556" spans="2:9" ht="20.100000000000001" customHeight="1" x14ac:dyDescent="0.3">
      <c r="B556" s="198">
        <v>548</v>
      </c>
      <c r="C556" s="501" t="str">
        <f t="shared" si="49"/>
        <v/>
      </c>
      <c r="D556" s="502" t="str">
        <f t="shared" si="50"/>
        <v/>
      </c>
      <c r="E556" s="190" t="str">
        <f t="shared" si="51"/>
        <v/>
      </c>
      <c r="F556" s="196" t="str">
        <f t="shared" si="48"/>
        <v/>
      </c>
      <c r="G556" s="190" t="str">
        <f t="shared" si="52"/>
        <v/>
      </c>
      <c r="H556" s="503" t="str">
        <f t="shared" si="53"/>
        <v/>
      </c>
      <c r="I556" s="49"/>
    </row>
    <row r="557" spans="2:9" ht="20.100000000000001" customHeight="1" x14ac:dyDescent="0.3">
      <c r="B557" s="198">
        <v>549</v>
      </c>
      <c r="C557" s="501" t="str">
        <f t="shared" si="49"/>
        <v/>
      </c>
      <c r="D557" s="502" t="str">
        <f t="shared" si="50"/>
        <v/>
      </c>
      <c r="E557" s="190" t="str">
        <f t="shared" si="51"/>
        <v/>
      </c>
      <c r="F557" s="196" t="str">
        <f t="shared" si="48"/>
        <v/>
      </c>
      <c r="G557" s="190" t="str">
        <f t="shared" si="52"/>
        <v/>
      </c>
      <c r="H557" s="503" t="str">
        <f t="shared" si="53"/>
        <v/>
      </c>
      <c r="I557" s="49"/>
    </row>
    <row r="558" spans="2:9" ht="20.100000000000001" customHeight="1" x14ac:dyDescent="0.3">
      <c r="B558" s="198">
        <v>550</v>
      </c>
      <c r="C558" s="501" t="str">
        <f t="shared" si="49"/>
        <v/>
      </c>
      <c r="D558" s="502" t="str">
        <f t="shared" si="50"/>
        <v/>
      </c>
      <c r="E558" s="190" t="str">
        <f t="shared" si="51"/>
        <v/>
      </c>
      <c r="F558" s="196" t="str">
        <f t="shared" si="48"/>
        <v/>
      </c>
      <c r="G558" s="190" t="str">
        <f t="shared" si="52"/>
        <v/>
      </c>
      <c r="H558" s="503" t="str">
        <f t="shared" si="53"/>
        <v/>
      </c>
      <c r="I558" s="49"/>
    </row>
    <row r="559" spans="2:9" ht="20.100000000000001" customHeight="1" x14ac:dyDescent="0.3">
      <c r="B559" s="198">
        <v>551</v>
      </c>
      <c r="C559" s="501" t="str">
        <f t="shared" si="49"/>
        <v/>
      </c>
      <c r="D559" s="502" t="str">
        <f t="shared" si="50"/>
        <v/>
      </c>
      <c r="E559" s="190" t="str">
        <f t="shared" si="51"/>
        <v/>
      </c>
      <c r="F559" s="196" t="str">
        <f t="shared" si="48"/>
        <v/>
      </c>
      <c r="G559" s="190" t="str">
        <f t="shared" si="52"/>
        <v/>
      </c>
      <c r="H559" s="503" t="str">
        <f t="shared" si="53"/>
        <v/>
      </c>
      <c r="I559" s="49"/>
    </row>
    <row r="560" spans="2:9" ht="20.100000000000001" customHeight="1" x14ac:dyDescent="0.3">
      <c r="B560" s="198">
        <v>552</v>
      </c>
      <c r="C560" s="501" t="str">
        <f t="shared" si="49"/>
        <v/>
      </c>
      <c r="D560" s="502" t="str">
        <f t="shared" si="50"/>
        <v/>
      </c>
      <c r="E560" s="190" t="str">
        <f t="shared" si="51"/>
        <v/>
      </c>
      <c r="F560" s="196" t="str">
        <f t="shared" si="48"/>
        <v/>
      </c>
      <c r="G560" s="190" t="str">
        <f t="shared" si="52"/>
        <v/>
      </c>
      <c r="H560" s="503" t="str">
        <f t="shared" si="53"/>
        <v/>
      </c>
      <c r="I560" s="49"/>
    </row>
    <row r="561" spans="2:9" ht="20.100000000000001" customHeight="1" x14ac:dyDescent="0.3">
      <c r="B561" s="198">
        <v>553</v>
      </c>
      <c r="C561" s="501" t="str">
        <f t="shared" si="49"/>
        <v/>
      </c>
      <c r="D561" s="502" t="str">
        <f t="shared" si="50"/>
        <v/>
      </c>
      <c r="E561" s="190" t="str">
        <f t="shared" si="51"/>
        <v/>
      </c>
      <c r="F561" s="196" t="str">
        <f t="shared" si="48"/>
        <v/>
      </c>
      <c r="G561" s="190" t="str">
        <f t="shared" si="52"/>
        <v/>
      </c>
      <c r="H561" s="503" t="str">
        <f t="shared" si="53"/>
        <v/>
      </c>
      <c r="I561" s="49"/>
    </row>
    <row r="562" spans="2:9" ht="20.100000000000001" customHeight="1" x14ac:dyDescent="0.3">
      <c r="B562" s="198">
        <v>554</v>
      </c>
      <c r="C562" s="501" t="str">
        <f t="shared" si="49"/>
        <v/>
      </c>
      <c r="D562" s="502" t="str">
        <f t="shared" si="50"/>
        <v/>
      </c>
      <c r="E562" s="190" t="str">
        <f t="shared" si="51"/>
        <v/>
      </c>
      <c r="F562" s="196" t="str">
        <f t="shared" si="48"/>
        <v/>
      </c>
      <c r="G562" s="190" t="str">
        <f t="shared" si="52"/>
        <v/>
      </c>
      <c r="H562" s="503" t="str">
        <f t="shared" si="53"/>
        <v/>
      </c>
      <c r="I562" s="49"/>
    </row>
    <row r="563" spans="2:9" ht="20.100000000000001" customHeight="1" x14ac:dyDescent="0.3">
      <c r="B563" s="198">
        <v>555</v>
      </c>
      <c r="C563" s="501" t="str">
        <f t="shared" si="49"/>
        <v/>
      </c>
      <c r="D563" s="502" t="str">
        <f t="shared" si="50"/>
        <v/>
      </c>
      <c r="E563" s="190" t="str">
        <f t="shared" si="51"/>
        <v/>
      </c>
      <c r="F563" s="196" t="str">
        <f t="shared" si="48"/>
        <v/>
      </c>
      <c r="G563" s="190" t="str">
        <f t="shared" si="52"/>
        <v/>
      </c>
      <c r="H563" s="503" t="str">
        <f t="shared" si="53"/>
        <v/>
      </c>
      <c r="I563" s="49"/>
    </row>
    <row r="564" spans="2:9" ht="20.100000000000001" customHeight="1" x14ac:dyDescent="0.3">
      <c r="B564" s="198">
        <v>556</v>
      </c>
      <c r="C564" s="501" t="str">
        <f t="shared" si="49"/>
        <v/>
      </c>
      <c r="D564" s="502" t="str">
        <f t="shared" si="50"/>
        <v/>
      </c>
      <c r="E564" s="190" t="str">
        <f t="shared" si="51"/>
        <v/>
      </c>
      <c r="F564" s="196" t="str">
        <f t="shared" si="48"/>
        <v/>
      </c>
      <c r="G564" s="190" t="str">
        <f t="shared" si="52"/>
        <v/>
      </c>
      <c r="H564" s="503" t="str">
        <f t="shared" si="53"/>
        <v/>
      </c>
      <c r="I564" s="49"/>
    </row>
    <row r="565" spans="2:9" ht="20.100000000000001" customHeight="1" x14ac:dyDescent="0.3">
      <c r="B565" s="198">
        <v>557</v>
      </c>
      <c r="C565" s="501" t="str">
        <f t="shared" si="49"/>
        <v/>
      </c>
      <c r="D565" s="502" t="str">
        <f t="shared" si="50"/>
        <v/>
      </c>
      <c r="E565" s="190" t="str">
        <f t="shared" si="51"/>
        <v/>
      </c>
      <c r="F565" s="196" t="str">
        <f t="shared" si="48"/>
        <v/>
      </c>
      <c r="G565" s="190" t="str">
        <f t="shared" si="52"/>
        <v/>
      </c>
      <c r="H565" s="503" t="str">
        <f t="shared" si="53"/>
        <v/>
      </c>
      <c r="I565" s="49"/>
    </row>
    <row r="566" spans="2:9" ht="20.100000000000001" customHeight="1" x14ac:dyDescent="0.3">
      <c r="B566" s="198">
        <v>558</v>
      </c>
      <c r="C566" s="501" t="str">
        <f t="shared" si="49"/>
        <v/>
      </c>
      <c r="D566" s="502" t="str">
        <f t="shared" si="50"/>
        <v/>
      </c>
      <c r="E566" s="190" t="str">
        <f t="shared" si="51"/>
        <v/>
      </c>
      <c r="F566" s="196" t="str">
        <f t="shared" si="48"/>
        <v/>
      </c>
      <c r="G566" s="190" t="str">
        <f t="shared" si="52"/>
        <v/>
      </c>
      <c r="H566" s="503" t="str">
        <f t="shared" si="53"/>
        <v/>
      </c>
      <c r="I566" s="49"/>
    </row>
    <row r="567" spans="2:9" ht="20.100000000000001" customHeight="1" x14ac:dyDescent="0.3">
      <c r="B567" s="198">
        <v>559</v>
      </c>
      <c r="C567" s="501" t="str">
        <f t="shared" si="49"/>
        <v/>
      </c>
      <c r="D567" s="502" t="str">
        <f t="shared" si="50"/>
        <v/>
      </c>
      <c r="E567" s="190" t="str">
        <f t="shared" si="51"/>
        <v/>
      </c>
      <c r="F567" s="196" t="str">
        <f t="shared" si="48"/>
        <v/>
      </c>
      <c r="G567" s="190" t="str">
        <f t="shared" si="52"/>
        <v/>
      </c>
      <c r="H567" s="503" t="str">
        <f t="shared" si="53"/>
        <v/>
      </c>
      <c r="I567" s="49"/>
    </row>
    <row r="568" spans="2:9" ht="20.100000000000001" customHeight="1" x14ac:dyDescent="0.3">
      <c r="B568" s="198">
        <v>560</v>
      </c>
      <c r="C568" s="501" t="str">
        <f t="shared" si="49"/>
        <v/>
      </c>
      <c r="D568" s="502" t="str">
        <f t="shared" si="50"/>
        <v/>
      </c>
      <c r="E568" s="190" t="str">
        <f t="shared" si="51"/>
        <v/>
      </c>
      <c r="F568" s="196" t="str">
        <f t="shared" si="48"/>
        <v/>
      </c>
      <c r="G568" s="190" t="str">
        <f t="shared" si="52"/>
        <v/>
      </c>
      <c r="H568" s="503" t="str">
        <f t="shared" si="53"/>
        <v/>
      </c>
      <c r="I568" s="49"/>
    </row>
    <row r="569" spans="2:9" ht="20.100000000000001" customHeight="1" x14ac:dyDescent="0.3">
      <c r="B569" s="198">
        <v>561</v>
      </c>
      <c r="C569" s="501" t="str">
        <f t="shared" si="49"/>
        <v/>
      </c>
      <c r="D569" s="502" t="str">
        <f t="shared" si="50"/>
        <v/>
      </c>
      <c r="E569" s="190" t="str">
        <f t="shared" si="51"/>
        <v/>
      </c>
      <c r="F569" s="196" t="str">
        <f t="shared" si="48"/>
        <v/>
      </c>
      <c r="G569" s="190" t="str">
        <f t="shared" si="52"/>
        <v/>
      </c>
      <c r="H569" s="503" t="str">
        <f t="shared" si="53"/>
        <v/>
      </c>
      <c r="I569" s="49"/>
    </row>
    <row r="570" spans="2:9" ht="20.100000000000001" customHeight="1" x14ac:dyDescent="0.3">
      <c r="B570" s="198">
        <v>562</v>
      </c>
      <c r="C570" s="501" t="str">
        <f t="shared" si="49"/>
        <v/>
      </c>
      <c r="D570" s="502" t="str">
        <f t="shared" si="50"/>
        <v/>
      </c>
      <c r="E570" s="190" t="str">
        <f t="shared" si="51"/>
        <v/>
      </c>
      <c r="F570" s="196" t="str">
        <f t="shared" si="48"/>
        <v/>
      </c>
      <c r="G570" s="190" t="str">
        <f t="shared" si="52"/>
        <v/>
      </c>
      <c r="H570" s="503" t="str">
        <f t="shared" si="53"/>
        <v/>
      </c>
      <c r="I570" s="49"/>
    </row>
    <row r="571" spans="2:9" ht="20.100000000000001" customHeight="1" x14ac:dyDescent="0.3">
      <c r="B571" s="198">
        <v>563</v>
      </c>
      <c r="C571" s="501" t="str">
        <f t="shared" si="49"/>
        <v/>
      </c>
      <c r="D571" s="502" t="str">
        <f t="shared" si="50"/>
        <v/>
      </c>
      <c r="E571" s="190" t="str">
        <f t="shared" si="51"/>
        <v/>
      </c>
      <c r="F571" s="196" t="str">
        <f t="shared" si="48"/>
        <v/>
      </c>
      <c r="G571" s="190" t="str">
        <f t="shared" si="52"/>
        <v/>
      </c>
      <c r="H571" s="503" t="str">
        <f t="shared" si="53"/>
        <v/>
      </c>
      <c r="I571" s="49"/>
    </row>
    <row r="572" spans="2:9" ht="20.100000000000001" customHeight="1" x14ac:dyDescent="0.3">
      <c r="B572" s="198">
        <v>564</v>
      </c>
      <c r="C572" s="501" t="str">
        <f t="shared" si="49"/>
        <v/>
      </c>
      <c r="D572" s="502" t="str">
        <f t="shared" si="50"/>
        <v/>
      </c>
      <c r="E572" s="190" t="str">
        <f t="shared" si="51"/>
        <v/>
      </c>
      <c r="F572" s="196" t="str">
        <f t="shared" si="48"/>
        <v/>
      </c>
      <c r="G572" s="190" t="str">
        <f t="shared" si="52"/>
        <v/>
      </c>
      <c r="H572" s="503" t="str">
        <f t="shared" si="53"/>
        <v/>
      </c>
      <c r="I572" s="49"/>
    </row>
    <row r="573" spans="2:9" ht="20.100000000000001" customHeight="1" x14ac:dyDescent="0.3">
      <c r="B573" s="198">
        <v>565</v>
      </c>
      <c r="C573" s="501" t="str">
        <f t="shared" si="49"/>
        <v/>
      </c>
      <c r="D573" s="502" t="str">
        <f t="shared" si="50"/>
        <v/>
      </c>
      <c r="E573" s="190" t="str">
        <f t="shared" si="51"/>
        <v/>
      </c>
      <c r="F573" s="196" t="str">
        <f t="shared" si="48"/>
        <v/>
      </c>
      <c r="G573" s="190" t="str">
        <f t="shared" si="52"/>
        <v/>
      </c>
      <c r="H573" s="503" t="str">
        <f t="shared" si="53"/>
        <v/>
      </c>
      <c r="I573" s="49"/>
    </row>
    <row r="574" spans="2:9" ht="20.100000000000001" customHeight="1" x14ac:dyDescent="0.3">
      <c r="B574" s="198">
        <v>566</v>
      </c>
      <c r="C574" s="501" t="str">
        <f t="shared" si="49"/>
        <v/>
      </c>
      <c r="D574" s="502" t="str">
        <f t="shared" si="50"/>
        <v/>
      </c>
      <c r="E574" s="190" t="str">
        <f t="shared" si="51"/>
        <v/>
      </c>
      <c r="F574" s="196" t="str">
        <f t="shared" si="48"/>
        <v/>
      </c>
      <c r="G574" s="190" t="str">
        <f t="shared" si="52"/>
        <v/>
      </c>
      <c r="H574" s="503" t="str">
        <f t="shared" si="53"/>
        <v/>
      </c>
      <c r="I574" s="49"/>
    </row>
    <row r="575" spans="2:9" ht="20.100000000000001" customHeight="1" x14ac:dyDescent="0.3">
      <c r="B575" s="198">
        <v>567</v>
      </c>
      <c r="C575" s="501" t="str">
        <f t="shared" si="49"/>
        <v/>
      </c>
      <c r="D575" s="502" t="str">
        <f t="shared" si="50"/>
        <v/>
      </c>
      <c r="E575" s="190" t="str">
        <f t="shared" si="51"/>
        <v/>
      </c>
      <c r="F575" s="196" t="str">
        <f t="shared" si="48"/>
        <v/>
      </c>
      <c r="G575" s="190" t="str">
        <f t="shared" si="52"/>
        <v/>
      </c>
      <c r="H575" s="503" t="str">
        <f t="shared" si="53"/>
        <v/>
      </c>
      <c r="I575" s="49"/>
    </row>
    <row r="576" spans="2:9" ht="20.100000000000001" customHeight="1" x14ac:dyDescent="0.3">
      <c r="B576" s="198">
        <v>568</v>
      </c>
      <c r="C576" s="501" t="str">
        <f t="shared" si="49"/>
        <v/>
      </c>
      <c r="D576" s="502" t="str">
        <f t="shared" si="50"/>
        <v/>
      </c>
      <c r="E576" s="190" t="str">
        <f t="shared" si="51"/>
        <v/>
      </c>
      <c r="F576" s="196" t="str">
        <f t="shared" si="48"/>
        <v/>
      </c>
      <c r="G576" s="190" t="str">
        <f t="shared" si="52"/>
        <v/>
      </c>
      <c r="H576" s="503" t="str">
        <f t="shared" si="53"/>
        <v/>
      </c>
      <c r="I576" s="49"/>
    </row>
    <row r="577" spans="2:9" ht="20.100000000000001" customHeight="1" x14ac:dyDescent="0.3">
      <c r="B577" s="198">
        <v>569</v>
      </c>
      <c r="C577" s="501" t="str">
        <f t="shared" si="49"/>
        <v/>
      </c>
      <c r="D577" s="502" t="str">
        <f t="shared" si="50"/>
        <v/>
      </c>
      <c r="E577" s="190" t="str">
        <f t="shared" si="51"/>
        <v/>
      </c>
      <c r="F577" s="196" t="str">
        <f t="shared" si="48"/>
        <v/>
      </c>
      <c r="G577" s="190" t="str">
        <f t="shared" si="52"/>
        <v/>
      </c>
      <c r="H577" s="503" t="str">
        <f t="shared" si="53"/>
        <v/>
      </c>
      <c r="I577" s="49"/>
    </row>
    <row r="578" spans="2:9" ht="20.100000000000001" customHeight="1" x14ac:dyDescent="0.3">
      <c r="B578" s="198">
        <v>570</v>
      </c>
      <c r="C578" s="501" t="str">
        <f t="shared" si="49"/>
        <v/>
      </c>
      <c r="D578" s="502" t="str">
        <f t="shared" si="50"/>
        <v/>
      </c>
      <c r="E578" s="190" t="str">
        <f t="shared" si="51"/>
        <v/>
      </c>
      <c r="F578" s="196" t="str">
        <f t="shared" si="48"/>
        <v/>
      </c>
      <c r="G578" s="190" t="str">
        <f t="shared" si="52"/>
        <v/>
      </c>
      <c r="H578" s="503" t="str">
        <f t="shared" si="53"/>
        <v/>
      </c>
      <c r="I578" s="49"/>
    </row>
    <row r="579" spans="2:9" ht="20.100000000000001" customHeight="1" x14ac:dyDescent="0.3">
      <c r="B579" s="198">
        <v>571</v>
      </c>
      <c r="C579" s="501" t="str">
        <f t="shared" si="49"/>
        <v/>
      </c>
      <c r="D579" s="502" t="str">
        <f t="shared" si="50"/>
        <v/>
      </c>
      <c r="E579" s="190" t="str">
        <f t="shared" si="51"/>
        <v/>
      </c>
      <c r="F579" s="196" t="str">
        <f t="shared" si="48"/>
        <v/>
      </c>
      <c r="G579" s="190" t="str">
        <f t="shared" si="52"/>
        <v/>
      </c>
      <c r="H579" s="503" t="str">
        <f t="shared" si="53"/>
        <v/>
      </c>
      <c r="I579" s="49"/>
    </row>
    <row r="580" spans="2:9" ht="20.100000000000001" customHeight="1" x14ac:dyDescent="0.3">
      <c r="B580" s="198">
        <v>572</v>
      </c>
      <c r="C580" s="501" t="str">
        <f t="shared" si="49"/>
        <v/>
      </c>
      <c r="D580" s="502" t="str">
        <f t="shared" si="50"/>
        <v/>
      </c>
      <c r="E580" s="190" t="str">
        <f t="shared" si="51"/>
        <v/>
      </c>
      <c r="F580" s="196" t="str">
        <f t="shared" si="48"/>
        <v/>
      </c>
      <c r="G580" s="190" t="str">
        <f t="shared" si="52"/>
        <v/>
      </c>
      <c r="H580" s="503" t="str">
        <f t="shared" si="53"/>
        <v/>
      </c>
      <c r="I580" s="49"/>
    </row>
    <row r="581" spans="2:9" ht="20.100000000000001" customHeight="1" x14ac:dyDescent="0.3">
      <c r="B581" s="198">
        <v>573</v>
      </c>
      <c r="C581" s="501" t="str">
        <f t="shared" si="49"/>
        <v/>
      </c>
      <c r="D581" s="502" t="str">
        <f t="shared" si="50"/>
        <v/>
      </c>
      <c r="E581" s="190" t="str">
        <f t="shared" si="51"/>
        <v/>
      </c>
      <c r="F581" s="196" t="str">
        <f t="shared" si="48"/>
        <v/>
      </c>
      <c r="G581" s="190" t="str">
        <f t="shared" si="52"/>
        <v/>
      </c>
      <c r="H581" s="503" t="str">
        <f t="shared" si="53"/>
        <v/>
      </c>
      <c r="I581" s="49"/>
    </row>
    <row r="582" spans="2:9" ht="20.100000000000001" customHeight="1" x14ac:dyDescent="0.3">
      <c r="B582" s="198">
        <v>574</v>
      </c>
      <c r="C582" s="501" t="str">
        <f t="shared" si="49"/>
        <v/>
      </c>
      <c r="D582" s="502" t="str">
        <f t="shared" si="50"/>
        <v/>
      </c>
      <c r="E582" s="190" t="str">
        <f t="shared" si="51"/>
        <v/>
      </c>
      <c r="F582" s="196" t="str">
        <f t="shared" si="48"/>
        <v/>
      </c>
      <c r="G582" s="190" t="str">
        <f t="shared" si="52"/>
        <v/>
      </c>
      <c r="H582" s="503" t="str">
        <f t="shared" si="53"/>
        <v/>
      </c>
      <c r="I582" s="49"/>
    </row>
    <row r="583" spans="2:9" ht="20.100000000000001" customHeight="1" x14ac:dyDescent="0.3">
      <c r="B583" s="198">
        <v>575</v>
      </c>
      <c r="C583" s="501" t="str">
        <f t="shared" si="49"/>
        <v/>
      </c>
      <c r="D583" s="502" t="str">
        <f t="shared" si="50"/>
        <v/>
      </c>
      <c r="E583" s="190" t="str">
        <f t="shared" si="51"/>
        <v/>
      </c>
      <c r="F583" s="196" t="str">
        <f t="shared" si="48"/>
        <v/>
      </c>
      <c r="G583" s="190" t="str">
        <f t="shared" si="52"/>
        <v/>
      </c>
      <c r="H583" s="503" t="str">
        <f t="shared" si="53"/>
        <v/>
      </c>
      <c r="I583" s="49"/>
    </row>
    <row r="584" spans="2:9" ht="20.100000000000001" customHeight="1" x14ac:dyDescent="0.3">
      <c r="B584" s="198">
        <v>576</v>
      </c>
      <c r="C584" s="501" t="str">
        <f t="shared" si="49"/>
        <v/>
      </c>
      <c r="D584" s="502" t="str">
        <f t="shared" si="50"/>
        <v/>
      </c>
      <c r="E584" s="190" t="str">
        <f t="shared" si="51"/>
        <v/>
      </c>
      <c r="F584" s="196" t="str">
        <f t="shared" si="48"/>
        <v/>
      </c>
      <c r="G584" s="190" t="str">
        <f t="shared" si="52"/>
        <v/>
      </c>
      <c r="H584" s="503" t="str">
        <f t="shared" si="53"/>
        <v/>
      </c>
      <c r="I584" s="49"/>
    </row>
    <row r="585" spans="2:9" ht="20.100000000000001" customHeight="1" x14ac:dyDescent="0.3">
      <c r="B585" s="198">
        <v>577</v>
      </c>
      <c r="C585" s="501" t="str">
        <f t="shared" si="49"/>
        <v/>
      </c>
      <c r="D585" s="502" t="str">
        <f t="shared" si="50"/>
        <v/>
      </c>
      <c r="E585" s="190" t="str">
        <f t="shared" si="51"/>
        <v/>
      </c>
      <c r="F585" s="196" t="str">
        <f t="shared" si="48"/>
        <v/>
      </c>
      <c r="G585" s="190" t="str">
        <f t="shared" si="52"/>
        <v/>
      </c>
      <c r="H585" s="503" t="str">
        <f t="shared" si="53"/>
        <v/>
      </c>
      <c r="I585" s="49"/>
    </row>
    <row r="586" spans="2:9" ht="20.100000000000001" customHeight="1" x14ac:dyDescent="0.3">
      <c r="B586" s="198">
        <v>578</v>
      </c>
      <c r="C586" s="501" t="str">
        <f t="shared" si="49"/>
        <v/>
      </c>
      <c r="D586" s="502" t="str">
        <f t="shared" si="50"/>
        <v/>
      </c>
      <c r="E586" s="190" t="str">
        <f t="shared" si="51"/>
        <v/>
      </c>
      <c r="F586" s="196" t="str">
        <f t="shared" ref="F586:F608" si="54">IF($H$4="","",IF($F$4="원리금균등상환",IFERROR(D586+E586,""),IF($F$4="원금균등상환",D586+E586,"")))</f>
        <v/>
      </c>
      <c r="G586" s="190" t="str">
        <f t="shared" si="52"/>
        <v/>
      </c>
      <c r="H586" s="503" t="str">
        <f t="shared" si="53"/>
        <v/>
      </c>
      <c r="I586" s="49"/>
    </row>
    <row r="587" spans="2:9" ht="20.100000000000001" customHeight="1" x14ac:dyDescent="0.3">
      <c r="B587" s="198">
        <v>579</v>
      </c>
      <c r="C587" s="501" t="str">
        <f t="shared" ref="C587:C608" si="55">IF($H$4="","",IF(B587&gt;($B$6),"",IF(B587&lt;=($B$6),DATE(YEAR($G$4),MONTH($G$4)+B586,DAY($G$4)),"")))</f>
        <v/>
      </c>
      <c r="D587" s="502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190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196" t="str">
        <f t="shared" si="54"/>
        <v/>
      </c>
      <c r="G587" s="190" t="str">
        <f t="shared" ref="G587:G608" si="58">IFERROR(IF(B587&gt;(($D$6+$B$6)*12),"",IF(B587=1,D587,D587+G586)),"")</f>
        <v/>
      </c>
      <c r="H587" s="503" t="str">
        <f t="shared" ref="H587:H608" si="59">IFERROR(IF($H$4="","",H586-D587),"")</f>
        <v/>
      </c>
      <c r="I587" s="49"/>
    </row>
    <row r="588" spans="2:9" ht="20.100000000000001" customHeight="1" x14ac:dyDescent="0.3">
      <c r="B588" s="198">
        <v>580</v>
      </c>
      <c r="C588" s="501" t="str">
        <f t="shared" si="55"/>
        <v/>
      </c>
      <c r="D588" s="502" t="str">
        <f t="shared" si="56"/>
        <v/>
      </c>
      <c r="E588" s="190" t="str">
        <f t="shared" si="57"/>
        <v/>
      </c>
      <c r="F588" s="196" t="str">
        <f t="shared" si="54"/>
        <v/>
      </c>
      <c r="G588" s="190" t="str">
        <f t="shared" si="58"/>
        <v/>
      </c>
      <c r="H588" s="503" t="str">
        <f t="shared" si="59"/>
        <v/>
      </c>
      <c r="I588" s="49"/>
    </row>
    <row r="589" spans="2:9" ht="20.100000000000001" customHeight="1" x14ac:dyDescent="0.3">
      <c r="B589" s="198">
        <v>581</v>
      </c>
      <c r="C589" s="501" t="str">
        <f t="shared" si="55"/>
        <v/>
      </c>
      <c r="D589" s="502" t="str">
        <f t="shared" si="56"/>
        <v/>
      </c>
      <c r="E589" s="190" t="str">
        <f t="shared" si="57"/>
        <v/>
      </c>
      <c r="F589" s="196" t="str">
        <f t="shared" si="54"/>
        <v/>
      </c>
      <c r="G589" s="190" t="str">
        <f t="shared" si="58"/>
        <v/>
      </c>
      <c r="H589" s="503" t="str">
        <f t="shared" si="59"/>
        <v/>
      </c>
      <c r="I589" s="49"/>
    </row>
    <row r="590" spans="2:9" ht="20.100000000000001" customHeight="1" x14ac:dyDescent="0.3">
      <c r="B590" s="198">
        <v>582</v>
      </c>
      <c r="C590" s="501" t="str">
        <f t="shared" si="55"/>
        <v/>
      </c>
      <c r="D590" s="502" t="str">
        <f t="shared" si="56"/>
        <v/>
      </c>
      <c r="E590" s="190" t="str">
        <f t="shared" si="57"/>
        <v/>
      </c>
      <c r="F590" s="196" t="str">
        <f t="shared" si="54"/>
        <v/>
      </c>
      <c r="G590" s="190" t="str">
        <f t="shared" si="58"/>
        <v/>
      </c>
      <c r="H590" s="503" t="str">
        <f t="shared" si="59"/>
        <v/>
      </c>
      <c r="I590" s="49"/>
    </row>
    <row r="591" spans="2:9" ht="20.100000000000001" customHeight="1" x14ac:dyDescent="0.3">
      <c r="B591" s="198">
        <v>583</v>
      </c>
      <c r="C591" s="501" t="str">
        <f t="shared" si="55"/>
        <v/>
      </c>
      <c r="D591" s="502" t="str">
        <f t="shared" si="56"/>
        <v/>
      </c>
      <c r="E591" s="190" t="str">
        <f t="shared" si="57"/>
        <v/>
      </c>
      <c r="F591" s="196" t="str">
        <f t="shared" si="54"/>
        <v/>
      </c>
      <c r="G591" s="190" t="str">
        <f t="shared" si="58"/>
        <v/>
      </c>
      <c r="H591" s="503" t="str">
        <f t="shared" si="59"/>
        <v/>
      </c>
      <c r="I591" s="49"/>
    </row>
    <row r="592" spans="2:9" ht="20.100000000000001" customHeight="1" x14ac:dyDescent="0.3">
      <c r="B592" s="198">
        <v>584</v>
      </c>
      <c r="C592" s="501" t="str">
        <f t="shared" si="55"/>
        <v/>
      </c>
      <c r="D592" s="502" t="str">
        <f t="shared" si="56"/>
        <v/>
      </c>
      <c r="E592" s="190" t="str">
        <f t="shared" si="57"/>
        <v/>
      </c>
      <c r="F592" s="196" t="str">
        <f t="shared" si="54"/>
        <v/>
      </c>
      <c r="G592" s="190" t="str">
        <f t="shared" si="58"/>
        <v/>
      </c>
      <c r="H592" s="503" t="str">
        <f t="shared" si="59"/>
        <v/>
      </c>
      <c r="I592" s="49"/>
    </row>
    <row r="593" spans="2:9" ht="20.100000000000001" customHeight="1" x14ac:dyDescent="0.3">
      <c r="B593" s="198">
        <v>585</v>
      </c>
      <c r="C593" s="501" t="str">
        <f t="shared" si="55"/>
        <v/>
      </c>
      <c r="D593" s="502" t="str">
        <f t="shared" si="56"/>
        <v/>
      </c>
      <c r="E593" s="190" t="str">
        <f t="shared" si="57"/>
        <v/>
      </c>
      <c r="F593" s="196" t="str">
        <f t="shared" si="54"/>
        <v/>
      </c>
      <c r="G593" s="190" t="str">
        <f t="shared" si="58"/>
        <v/>
      </c>
      <c r="H593" s="503" t="str">
        <f t="shared" si="59"/>
        <v/>
      </c>
      <c r="I593" s="49"/>
    </row>
    <row r="594" spans="2:9" ht="20.100000000000001" customHeight="1" x14ac:dyDescent="0.3">
      <c r="B594" s="198">
        <v>586</v>
      </c>
      <c r="C594" s="501" t="str">
        <f t="shared" si="55"/>
        <v/>
      </c>
      <c r="D594" s="502" t="str">
        <f t="shared" si="56"/>
        <v/>
      </c>
      <c r="E594" s="190" t="str">
        <f t="shared" si="57"/>
        <v/>
      </c>
      <c r="F594" s="196" t="str">
        <f t="shared" si="54"/>
        <v/>
      </c>
      <c r="G594" s="190" t="str">
        <f t="shared" si="58"/>
        <v/>
      </c>
      <c r="H594" s="503" t="str">
        <f t="shared" si="59"/>
        <v/>
      </c>
      <c r="I594" s="49"/>
    </row>
    <row r="595" spans="2:9" ht="20.100000000000001" customHeight="1" x14ac:dyDescent="0.3">
      <c r="B595" s="198">
        <v>587</v>
      </c>
      <c r="C595" s="501" t="str">
        <f t="shared" si="55"/>
        <v/>
      </c>
      <c r="D595" s="502" t="str">
        <f t="shared" si="56"/>
        <v/>
      </c>
      <c r="E595" s="190" t="str">
        <f t="shared" si="57"/>
        <v/>
      </c>
      <c r="F595" s="196" t="str">
        <f t="shared" si="54"/>
        <v/>
      </c>
      <c r="G595" s="190" t="str">
        <f t="shared" si="58"/>
        <v/>
      </c>
      <c r="H595" s="503" t="str">
        <f t="shared" si="59"/>
        <v/>
      </c>
      <c r="I595" s="49"/>
    </row>
    <row r="596" spans="2:9" ht="20.100000000000001" customHeight="1" x14ac:dyDescent="0.3">
      <c r="B596" s="198">
        <v>588</v>
      </c>
      <c r="C596" s="501" t="str">
        <f t="shared" si="55"/>
        <v/>
      </c>
      <c r="D596" s="502" t="str">
        <f t="shared" si="56"/>
        <v/>
      </c>
      <c r="E596" s="190" t="str">
        <f t="shared" si="57"/>
        <v/>
      </c>
      <c r="F596" s="196" t="str">
        <f t="shared" si="54"/>
        <v/>
      </c>
      <c r="G596" s="190" t="str">
        <f t="shared" si="58"/>
        <v/>
      </c>
      <c r="H596" s="503" t="str">
        <f t="shared" si="59"/>
        <v/>
      </c>
      <c r="I596" s="49"/>
    </row>
    <row r="597" spans="2:9" ht="20.100000000000001" customHeight="1" x14ac:dyDescent="0.3">
      <c r="B597" s="198">
        <v>589</v>
      </c>
      <c r="C597" s="501" t="str">
        <f t="shared" si="55"/>
        <v/>
      </c>
      <c r="D597" s="502" t="str">
        <f t="shared" si="56"/>
        <v/>
      </c>
      <c r="E597" s="190" t="str">
        <f t="shared" si="57"/>
        <v/>
      </c>
      <c r="F597" s="196" t="str">
        <f t="shared" si="54"/>
        <v/>
      </c>
      <c r="G597" s="190" t="str">
        <f t="shared" si="58"/>
        <v/>
      </c>
      <c r="H597" s="503" t="str">
        <f t="shared" si="59"/>
        <v/>
      </c>
      <c r="I597" s="49"/>
    </row>
    <row r="598" spans="2:9" ht="20.100000000000001" customHeight="1" x14ac:dyDescent="0.3">
      <c r="B598" s="198">
        <v>590</v>
      </c>
      <c r="C598" s="501" t="str">
        <f t="shared" si="55"/>
        <v/>
      </c>
      <c r="D598" s="502" t="str">
        <f t="shared" si="56"/>
        <v/>
      </c>
      <c r="E598" s="190" t="str">
        <f t="shared" si="57"/>
        <v/>
      </c>
      <c r="F598" s="196" t="str">
        <f t="shared" si="54"/>
        <v/>
      </c>
      <c r="G598" s="190" t="str">
        <f t="shared" si="58"/>
        <v/>
      </c>
      <c r="H598" s="503" t="str">
        <f t="shared" si="59"/>
        <v/>
      </c>
      <c r="I598" s="49"/>
    </row>
    <row r="599" spans="2:9" ht="20.100000000000001" customHeight="1" x14ac:dyDescent="0.3">
      <c r="B599" s="198">
        <v>591</v>
      </c>
      <c r="C599" s="501" t="str">
        <f t="shared" si="55"/>
        <v/>
      </c>
      <c r="D599" s="502" t="str">
        <f t="shared" si="56"/>
        <v/>
      </c>
      <c r="E599" s="190" t="str">
        <f t="shared" si="57"/>
        <v/>
      </c>
      <c r="F599" s="196" t="str">
        <f t="shared" si="54"/>
        <v/>
      </c>
      <c r="G599" s="190" t="str">
        <f t="shared" si="58"/>
        <v/>
      </c>
      <c r="H599" s="503" t="str">
        <f t="shared" si="59"/>
        <v/>
      </c>
      <c r="I599" s="49"/>
    </row>
    <row r="600" spans="2:9" ht="20.100000000000001" customHeight="1" x14ac:dyDescent="0.3">
      <c r="B600" s="198">
        <v>592</v>
      </c>
      <c r="C600" s="501" t="str">
        <f t="shared" si="55"/>
        <v/>
      </c>
      <c r="D600" s="502" t="str">
        <f t="shared" si="56"/>
        <v/>
      </c>
      <c r="E600" s="190" t="str">
        <f t="shared" si="57"/>
        <v/>
      </c>
      <c r="F600" s="196" t="str">
        <f t="shared" si="54"/>
        <v/>
      </c>
      <c r="G600" s="190" t="str">
        <f t="shared" si="58"/>
        <v/>
      </c>
      <c r="H600" s="503" t="str">
        <f t="shared" si="59"/>
        <v/>
      </c>
      <c r="I600" s="49"/>
    </row>
    <row r="601" spans="2:9" ht="20.100000000000001" customHeight="1" x14ac:dyDescent="0.3">
      <c r="B601" s="198">
        <v>593</v>
      </c>
      <c r="C601" s="501" t="str">
        <f t="shared" si="55"/>
        <v/>
      </c>
      <c r="D601" s="502" t="str">
        <f t="shared" si="56"/>
        <v/>
      </c>
      <c r="E601" s="190" t="str">
        <f t="shared" si="57"/>
        <v/>
      </c>
      <c r="F601" s="196" t="str">
        <f t="shared" si="54"/>
        <v/>
      </c>
      <c r="G601" s="190" t="str">
        <f t="shared" si="58"/>
        <v/>
      </c>
      <c r="H601" s="503" t="str">
        <f t="shared" si="59"/>
        <v/>
      </c>
      <c r="I601" s="49"/>
    </row>
    <row r="602" spans="2:9" ht="20.100000000000001" customHeight="1" x14ac:dyDescent="0.3">
      <c r="B602" s="198">
        <v>594</v>
      </c>
      <c r="C602" s="501" t="str">
        <f t="shared" si="55"/>
        <v/>
      </c>
      <c r="D602" s="502" t="str">
        <f t="shared" si="56"/>
        <v/>
      </c>
      <c r="E602" s="190" t="str">
        <f t="shared" si="57"/>
        <v/>
      </c>
      <c r="F602" s="196" t="str">
        <f t="shared" si="54"/>
        <v/>
      </c>
      <c r="G602" s="190" t="str">
        <f t="shared" si="58"/>
        <v/>
      </c>
      <c r="H602" s="503" t="str">
        <f t="shared" si="59"/>
        <v/>
      </c>
      <c r="I602" s="49"/>
    </row>
    <row r="603" spans="2:9" ht="20.100000000000001" customHeight="1" x14ac:dyDescent="0.3">
      <c r="B603" s="198">
        <v>595</v>
      </c>
      <c r="C603" s="501" t="str">
        <f t="shared" si="55"/>
        <v/>
      </c>
      <c r="D603" s="502" t="str">
        <f t="shared" si="56"/>
        <v/>
      </c>
      <c r="E603" s="190" t="str">
        <f t="shared" si="57"/>
        <v/>
      </c>
      <c r="F603" s="196" t="str">
        <f t="shared" si="54"/>
        <v/>
      </c>
      <c r="G603" s="190" t="str">
        <f t="shared" si="58"/>
        <v/>
      </c>
      <c r="H603" s="503" t="str">
        <f t="shared" si="59"/>
        <v/>
      </c>
      <c r="I603" s="49"/>
    </row>
    <row r="604" spans="2:9" ht="20.100000000000001" customHeight="1" x14ac:dyDescent="0.3">
      <c r="B604" s="198">
        <v>596</v>
      </c>
      <c r="C604" s="501" t="str">
        <f t="shared" si="55"/>
        <v/>
      </c>
      <c r="D604" s="502" t="str">
        <f t="shared" si="56"/>
        <v/>
      </c>
      <c r="E604" s="190" t="str">
        <f t="shared" si="57"/>
        <v/>
      </c>
      <c r="F604" s="196" t="str">
        <f t="shared" si="54"/>
        <v/>
      </c>
      <c r="G604" s="190" t="str">
        <f t="shared" si="58"/>
        <v/>
      </c>
      <c r="H604" s="503" t="str">
        <f t="shared" si="59"/>
        <v/>
      </c>
      <c r="I604" s="49"/>
    </row>
    <row r="605" spans="2:9" ht="20.100000000000001" customHeight="1" x14ac:dyDescent="0.3">
      <c r="B605" s="198">
        <v>597</v>
      </c>
      <c r="C605" s="501" t="str">
        <f t="shared" si="55"/>
        <v/>
      </c>
      <c r="D605" s="502" t="str">
        <f t="shared" si="56"/>
        <v/>
      </c>
      <c r="E605" s="190" t="str">
        <f t="shared" si="57"/>
        <v/>
      </c>
      <c r="F605" s="196" t="str">
        <f t="shared" si="54"/>
        <v/>
      </c>
      <c r="G605" s="190" t="str">
        <f t="shared" si="58"/>
        <v/>
      </c>
      <c r="H605" s="503" t="str">
        <f t="shared" si="59"/>
        <v/>
      </c>
      <c r="I605" s="49"/>
    </row>
    <row r="606" spans="2:9" ht="20.100000000000001" customHeight="1" x14ac:dyDescent="0.3">
      <c r="B606" s="198">
        <v>598</v>
      </c>
      <c r="C606" s="501" t="str">
        <f t="shared" si="55"/>
        <v/>
      </c>
      <c r="D606" s="502" t="str">
        <f t="shared" si="56"/>
        <v/>
      </c>
      <c r="E606" s="190" t="str">
        <f t="shared" si="57"/>
        <v/>
      </c>
      <c r="F606" s="196" t="str">
        <f t="shared" si="54"/>
        <v/>
      </c>
      <c r="G606" s="190" t="str">
        <f t="shared" si="58"/>
        <v/>
      </c>
      <c r="H606" s="503" t="str">
        <f t="shared" si="59"/>
        <v/>
      </c>
      <c r="I606" s="49"/>
    </row>
    <row r="607" spans="2:9" ht="20.100000000000001" customHeight="1" x14ac:dyDescent="0.3">
      <c r="B607" s="198">
        <v>599</v>
      </c>
      <c r="C607" s="501" t="str">
        <f t="shared" si="55"/>
        <v/>
      </c>
      <c r="D607" s="502" t="str">
        <f t="shared" si="56"/>
        <v/>
      </c>
      <c r="E607" s="190" t="str">
        <f t="shared" si="57"/>
        <v/>
      </c>
      <c r="F607" s="196" t="str">
        <f t="shared" si="54"/>
        <v/>
      </c>
      <c r="G607" s="190" t="str">
        <f t="shared" si="58"/>
        <v/>
      </c>
      <c r="H607" s="503" t="str">
        <f t="shared" si="59"/>
        <v/>
      </c>
      <c r="I607" s="49"/>
    </row>
    <row r="608" spans="2:9" ht="20.100000000000001" customHeight="1" x14ac:dyDescent="0.3">
      <c r="B608" s="198">
        <v>600</v>
      </c>
      <c r="C608" s="501" t="str">
        <f t="shared" si="55"/>
        <v/>
      </c>
      <c r="D608" s="502" t="str">
        <f t="shared" si="56"/>
        <v/>
      </c>
      <c r="E608" s="190" t="str">
        <f t="shared" si="57"/>
        <v/>
      </c>
      <c r="F608" s="196" t="str">
        <f t="shared" si="54"/>
        <v/>
      </c>
      <c r="G608" s="190" t="str">
        <f t="shared" si="58"/>
        <v/>
      </c>
      <c r="H608" s="503" t="str">
        <f t="shared" si="59"/>
        <v/>
      </c>
      <c r="I608" s="49"/>
    </row>
    <row r="609" spans="2:8" x14ac:dyDescent="0.3">
      <c r="B609" s="67"/>
      <c r="C609" s="67"/>
      <c r="D609" s="64"/>
      <c r="E609" s="422"/>
      <c r="F609" s="422"/>
      <c r="G609" s="422"/>
      <c r="H609" s="504"/>
    </row>
    <row r="610" spans="2:8" x14ac:dyDescent="0.3">
      <c r="B610" s="47"/>
      <c r="C610" s="47"/>
      <c r="D610" s="44"/>
      <c r="E610" s="122"/>
      <c r="F610" s="122"/>
      <c r="G610" s="122"/>
      <c r="H610" s="505"/>
    </row>
    <row r="611" spans="2:8" x14ac:dyDescent="0.3">
      <c r="B611" s="47"/>
      <c r="C611" s="47"/>
      <c r="D611" s="44"/>
      <c r="E611" s="122"/>
      <c r="F611" s="122"/>
      <c r="G611" s="122"/>
      <c r="H611" s="505"/>
    </row>
    <row r="612" spans="2:8" x14ac:dyDescent="0.3">
      <c r="B612" s="47"/>
      <c r="C612" s="47"/>
      <c r="D612" s="44"/>
      <c r="E612" s="122"/>
      <c r="F612" s="122"/>
      <c r="G612" s="122"/>
      <c r="H612" s="505"/>
    </row>
    <row r="613" spans="2:8" x14ac:dyDescent="0.3">
      <c r="B613" s="47"/>
      <c r="C613" s="47"/>
      <c r="D613" s="44"/>
      <c r="E613" s="122"/>
      <c r="F613" s="122"/>
      <c r="G613" s="122"/>
      <c r="H613" s="505"/>
    </row>
    <row r="614" spans="2:8" x14ac:dyDescent="0.3">
      <c r="B614" s="47"/>
      <c r="C614" s="47"/>
      <c r="D614" s="44"/>
      <c r="E614" s="122"/>
      <c r="F614" s="122"/>
      <c r="G614" s="122"/>
      <c r="H614" s="505"/>
    </row>
    <row r="615" spans="2:8" x14ac:dyDescent="0.3">
      <c r="B615" s="47"/>
      <c r="C615" s="47"/>
      <c r="D615" s="44"/>
      <c r="E615" s="122"/>
      <c r="F615" s="122"/>
      <c r="G615" s="122"/>
      <c r="H615" s="505"/>
    </row>
    <row r="616" spans="2:8" x14ac:dyDescent="0.3">
      <c r="B616" s="47"/>
      <c r="C616" s="47"/>
      <c r="D616" s="44"/>
      <c r="E616" s="122"/>
      <c r="F616" s="122"/>
      <c r="G616" s="122"/>
      <c r="H616" s="505"/>
    </row>
    <row r="617" spans="2:8" x14ac:dyDescent="0.3">
      <c r="B617" s="47"/>
      <c r="C617" s="47"/>
      <c r="D617" s="44"/>
      <c r="E617" s="122"/>
      <c r="F617" s="122"/>
      <c r="G617" s="122"/>
      <c r="H617" s="505"/>
    </row>
    <row r="618" spans="2:8" x14ac:dyDescent="0.3">
      <c r="B618" s="47"/>
      <c r="C618" s="47"/>
      <c r="D618" s="44"/>
      <c r="E618" s="122"/>
      <c r="F618" s="122"/>
      <c r="G618" s="122"/>
      <c r="H618" s="505"/>
    </row>
    <row r="619" spans="2:8" x14ac:dyDescent="0.3">
      <c r="B619" s="47"/>
      <c r="C619" s="47"/>
      <c r="D619" s="44"/>
      <c r="E619" s="122"/>
      <c r="F619" s="122"/>
      <c r="G619" s="122"/>
      <c r="H619" s="505"/>
    </row>
    <row r="620" spans="2:8" x14ac:dyDescent="0.3">
      <c r="B620" s="47"/>
      <c r="C620" s="47"/>
      <c r="D620" s="44"/>
      <c r="E620" s="122"/>
      <c r="F620" s="122"/>
      <c r="G620" s="122"/>
      <c r="H620" s="505"/>
    </row>
    <row r="621" spans="2:8" x14ac:dyDescent="0.3">
      <c r="B621" s="47"/>
      <c r="C621" s="47"/>
      <c r="D621" s="44"/>
      <c r="E621" s="122"/>
      <c r="F621" s="122"/>
      <c r="G621" s="122"/>
      <c r="H621" s="505"/>
    </row>
    <row r="622" spans="2:8" x14ac:dyDescent="0.3">
      <c r="B622" s="47"/>
      <c r="C622" s="47"/>
      <c r="D622" s="44"/>
      <c r="E622" s="122"/>
      <c r="F622" s="122"/>
      <c r="G622" s="122"/>
      <c r="H622" s="505"/>
    </row>
    <row r="623" spans="2:8" x14ac:dyDescent="0.3">
      <c r="B623" s="47"/>
      <c r="C623" s="47"/>
      <c r="D623" s="44"/>
      <c r="E623" s="122"/>
      <c r="F623" s="122"/>
      <c r="G623" s="122"/>
      <c r="H623" s="505"/>
    </row>
    <row r="624" spans="2:8" x14ac:dyDescent="0.3">
      <c r="B624" s="47"/>
      <c r="C624" s="47"/>
      <c r="D624" s="44"/>
      <c r="E624" s="122"/>
      <c r="F624" s="122"/>
      <c r="G624" s="122"/>
      <c r="H624" s="505"/>
    </row>
    <row r="625" spans="2:8" x14ac:dyDescent="0.3">
      <c r="B625" s="47"/>
      <c r="C625" s="47"/>
      <c r="D625" s="44"/>
      <c r="E625" s="122"/>
      <c r="F625" s="122"/>
      <c r="G625" s="122"/>
      <c r="H625" s="505"/>
    </row>
    <row r="626" spans="2:8" x14ac:dyDescent="0.3">
      <c r="B626" s="47"/>
      <c r="C626" s="47"/>
      <c r="D626" s="44"/>
      <c r="E626" s="122"/>
      <c r="F626" s="122"/>
      <c r="G626" s="122"/>
      <c r="H626" s="505"/>
    </row>
    <row r="627" spans="2:8" x14ac:dyDescent="0.3">
      <c r="B627" s="47"/>
      <c r="C627" s="47"/>
      <c r="D627" s="44"/>
      <c r="E627" s="122"/>
      <c r="F627" s="122"/>
      <c r="G627" s="122"/>
      <c r="H627" s="505"/>
    </row>
    <row r="628" spans="2:8" x14ac:dyDescent="0.3">
      <c r="B628" s="47"/>
      <c r="C628" s="47"/>
      <c r="D628" s="44"/>
      <c r="E628" s="122"/>
      <c r="F628" s="122"/>
      <c r="G628" s="122"/>
      <c r="H628" s="505"/>
    </row>
    <row r="629" spans="2:8" x14ac:dyDescent="0.3">
      <c r="B629" s="47"/>
      <c r="C629" s="47"/>
      <c r="D629" s="44"/>
      <c r="E629" s="122"/>
      <c r="F629" s="122"/>
      <c r="G629" s="122"/>
      <c r="H629" s="505"/>
    </row>
    <row r="630" spans="2:8" x14ac:dyDescent="0.3">
      <c r="B630" s="47"/>
      <c r="C630" s="47"/>
      <c r="D630" s="44"/>
      <c r="E630" s="122"/>
      <c r="F630" s="122"/>
      <c r="G630" s="122"/>
      <c r="H630" s="505"/>
    </row>
    <row r="631" spans="2:8" x14ac:dyDescent="0.3">
      <c r="B631" s="47"/>
      <c r="C631" s="47"/>
      <c r="D631" s="44"/>
      <c r="E631" s="122"/>
      <c r="F631" s="122"/>
      <c r="G631" s="122"/>
      <c r="H631" s="505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disablePrompts="1" count="2">
    <dataValidation allowBlank="1" showInputMessage="1" showErrorMessage="1" prompt="년-월-일 형식으로 입력" sqref="G4:H4"/>
    <dataValidation type="list" allowBlank="1" showInputMessage="1" showErrorMessage="1" sqref="F4">
      <formula1>"원리금균등상환, 원금균등상환,만기일시상환"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-0.499984740745262"/>
  </sheetPr>
  <dimension ref="A1:AB631"/>
  <sheetViews>
    <sheetView showGridLines="0" workbookViewId="0">
      <selection activeCell="L10" sqref="L10"/>
    </sheetView>
  </sheetViews>
  <sheetFormatPr defaultRowHeight="16.5" x14ac:dyDescent="0.3"/>
  <cols>
    <col min="1" max="1" width="4.75" customWidth="1"/>
    <col min="2" max="7" width="10.625" style="25" customWidth="1"/>
    <col min="8" max="8" width="10.625" customWidth="1"/>
    <col min="9" max="9" width="4.75" customWidth="1"/>
    <col min="10" max="28" width="9.375" customWidth="1"/>
    <col min="29" max="29" width="4.75" customWidth="1"/>
  </cols>
  <sheetData>
    <row r="1" spans="1:17" ht="40.5" customHeight="1" x14ac:dyDescent="0.3">
      <c r="A1" s="10"/>
      <c r="B1" s="543" t="s">
        <v>347</v>
      </c>
      <c r="C1" s="543"/>
      <c r="D1" s="543"/>
      <c r="E1" s="543"/>
      <c r="F1" s="543"/>
      <c r="G1" s="543"/>
      <c r="H1" s="543"/>
      <c r="I1" s="10"/>
    </row>
    <row r="2" spans="1:17" ht="16.5" customHeight="1" thickBot="1" x14ac:dyDescent="0.35"/>
    <row r="3" spans="1:17" ht="24.95" customHeight="1" thickBot="1" x14ac:dyDescent="0.35">
      <c r="B3" s="29" t="s">
        <v>326</v>
      </c>
      <c r="C3" s="30" t="s">
        <v>327</v>
      </c>
      <c r="D3" s="30" t="s">
        <v>329</v>
      </c>
      <c r="E3" s="30" t="s">
        <v>333</v>
      </c>
      <c r="F3" s="30" t="s">
        <v>334</v>
      </c>
      <c r="G3" s="30" t="s">
        <v>328</v>
      </c>
      <c r="H3" s="31" t="s">
        <v>335</v>
      </c>
    </row>
    <row r="4" spans="1:17" ht="24.95" customHeight="1" thickBot="1" x14ac:dyDescent="0.35">
      <c r="B4" s="491"/>
      <c r="C4" s="492"/>
      <c r="D4" s="493"/>
      <c r="E4" s="494"/>
      <c r="F4" s="515"/>
      <c r="G4" s="495"/>
      <c r="H4" s="496"/>
    </row>
    <row r="5" spans="1:17" ht="24.95" customHeight="1" thickBot="1" x14ac:dyDescent="0.35">
      <c r="B5" s="29" t="s">
        <v>337</v>
      </c>
      <c r="C5" s="30" t="s">
        <v>338</v>
      </c>
      <c r="D5" s="30" t="s">
        <v>339</v>
      </c>
      <c r="E5" s="30" t="s">
        <v>330</v>
      </c>
      <c r="F5" s="30" t="s">
        <v>331</v>
      </c>
      <c r="G5" s="30" t="s">
        <v>324</v>
      </c>
      <c r="H5" s="31" t="s">
        <v>325</v>
      </c>
    </row>
    <row r="6" spans="1:17" ht="24.95" customHeight="1" x14ac:dyDescent="0.3">
      <c r="B6" s="497" t="str">
        <f>IF(H4="","",DATEDIF(G4,H4,"M")+D6)</f>
        <v/>
      </c>
      <c r="C6" s="498" t="str">
        <f ca="1">IF(H4="","",IF(H4&lt;TODAY(),0,DATEDIF(TODAY(),H4,"M")))</f>
        <v/>
      </c>
      <c r="D6" s="499"/>
      <c r="E6" s="190">
        <f>SUM($E$9:$E$697)</f>
        <v>0</v>
      </c>
      <c r="F6" s="190">
        <f>SUM($F$9:$F$697)</f>
        <v>0</v>
      </c>
      <c r="G6" s="190" t="str">
        <f ca="1">IF($H$4="","",VLOOKUP(TODAY(),$C$8:$H$697,5,TRUE))</f>
        <v/>
      </c>
      <c r="H6" s="196" t="str">
        <f ca="1">IF($H$4="","",VLOOKUP(TODAY(),$C$8:$H$697,6,TRUE))</f>
        <v/>
      </c>
    </row>
    <row r="7" spans="1:17" ht="16.5" customHeight="1" thickBot="1" x14ac:dyDescent="0.35">
      <c r="B7" s="27"/>
      <c r="C7" s="27"/>
      <c r="D7" s="27"/>
      <c r="E7" s="27"/>
      <c r="F7" s="27"/>
      <c r="G7" s="27"/>
      <c r="H7" s="500"/>
      <c r="Q7" s="43"/>
    </row>
    <row r="8" spans="1:17" ht="30" customHeight="1" thickBot="1" x14ac:dyDescent="0.35">
      <c r="B8" s="29" t="s">
        <v>340</v>
      </c>
      <c r="C8" s="29" t="s">
        <v>341</v>
      </c>
      <c r="D8" s="30" t="s">
        <v>342</v>
      </c>
      <c r="E8" s="30" t="s">
        <v>343</v>
      </c>
      <c r="F8" s="31" t="s">
        <v>344</v>
      </c>
      <c r="G8" s="30" t="s">
        <v>345</v>
      </c>
      <c r="H8" s="31" t="s">
        <v>346</v>
      </c>
      <c r="I8" s="49"/>
    </row>
    <row r="9" spans="1:17" ht="20.100000000000001" customHeight="1" x14ac:dyDescent="0.3">
      <c r="B9" s="197">
        <v>1</v>
      </c>
      <c r="C9" s="501" t="str">
        <f>IF($H$4="","",IF(B9&gt;($B$6),"",IF(B9&lt;=($B$6),DATE(YEAR($G$4),MONTH($G$4),DAY($G$4)),"")))</f>
        <v/>
      </c>
      <c r="D9" s="502" t="str">
        <f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190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196" t="str">
        <f>IF($H$4="","",IF($F$4="원리금균등상환",IFERROR(D9+E9,""),IF($F$4="원금균등상환",D9+E9,"")))</f>
        <v/>
      </c>
      <c r="G9" s="190" t="str">
        <f>IFERROR(IF(B9&gt;(($D$6+$B$6)*12),"",IF(B9=1,D9,D9+G8)),"")</f>
        <v/>
      </c>
      <c r="H9" s="503" t="str">
        <f>IFERROR(IF($H$4="","",D4-D9),"")</f>
        <v/>
      </c>
      <c r="I9" s="49"/>
    </row>
    <row r="10" spans="1:17" ht="20.100000000000001" customHeight="1" x14ac:dyDescent="0.3">
      <c r="B10" s="198">
        <v>2</v>
      </c>
      <c r="C10" s="501" t="str">
        <f>IF($H$4="","",IF(B10&gt;($B$6),"",IF(B10&lt;=($B$6),DATE(YEAR($G$4),MONTH($G$4)+B9,DAY($G$4)),"")))</f>
        <v/>
      </c>
      <c r="D10" s="502" t="str">
        <f>IF($H$4="","",IF($F$4="원리금균등상환",IFERROR(IF(B10&lt;=$D$6,0,-PPMT($E$4/12,B10-$D$6,($B$6-$D$6),$D$4)),""),IF($F$4="원금균등상환",IF(B10&lt;($D$6+1),0,IF(B10&gt;$B$6,0,$D$4/($B$6-$D$6))),IF($F$4="만기일시상환",0,""))))</f>
        <v/>
      </c>
      <c r="E10" s="190" t="str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196" t="str">
        <f t="shared" ref="F10:F73" si="0">IF($H$4="","",IF($F$4="원리금균등상환",IFERROR(D10+E10,""),IF($F$4="원금균등상환",D10+E10,"")))</f>
        <v/>
      </c>
      <c r="G10" s="190" t="str">
        <f>IFERROR(IF(B10&gt;(($D$6+$B$6)*12),"",IF(B10=1,D10,D10+G9)),"")</f>
        <v/>
      </c>
      <c r="H10" s="503" t="str">
        <f>IFERROR(IF($H$4="","",H9-D10),"")</f>
        <v/>
      </c>
      <c r="I10" s="49"/>
    </row>
    <row r="11" spans="1:17" ht="20.100000000000001" customHeight="1" x14ac:dyDescent="0.3">
      <c r="B11" s="198">
        <v>3</v>
      </c>
      <c r="C11" s="501" t="str">
        <f t="shared" ref="C11:C74" si="1">IF($H$4="","",IF(B11&gt;($B$6),"",IF(B11&lt;=($B$6),DATE(YEAR($G$4),MONTH($G$4)+B10,DAY($G$4)),"")))</f>
        <v/>
      </c>
      <c r="D11" s="502" t="str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/>
      </c>
      <c r="E11" s="190" t="str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/>
      </c>
      <c r="F11" s="196" t="str">
        <f t="shared" si="0"/>
        <v/>
      </c>
      <c r="G11" s="190" t="str">
        <f t="shared" ref="G11:G74" si="4">IFERROR(IF(B11&gt;(($D$6+$B$6)*12),"",IF(B11=1,D11,D11+G10)),"")</f>
        <v/>
      </c>
      <c r="H11" s="503" t="str">
        <f t="shared" ref="H11:H74" si="5">IFERROR(IF($H$4="","",H10-D11),"")</f>
        <v/>
      </c>
      <c r="I11" s="49"/>
    </row>
    <row r="12" spans="1:17" ht="20.100000000000001" customHeight="1" x14ac:dyDescent="0.3">
      <c r="B12" s="198">
        <v>4</v>
      </c>
      <c r="C12" s="501" t="str">
        <f t="shared" si="1"/>
        <v/>
      </c>
      <c r="D12" s="502" t="str">
        <f t="shared" si="2"/>
        <v/>
      </c>
      <c r="E12" s="190" t="str">
        <f t="shared" si="3"/>
        <v/>
      </c>
      <c r="F12" s="196" t="str">
        <f t="shared" si="0"/>
        <v/>
      </c>
      <c r="G12" s="190" t="str">
        <f t="shared" si="4"/>
        <v/>
      </c>
      <c r="H12" s="503" t="str">
        <f t="shared" si="5"/>
        <v/>
      </c>
      <c r="I12" s="49"/>
    </row>
    <row r="13" spans="1:17" ht="20.100000000000001" customHeight="1" x14ac:dyDescent="0.3">
      <c r="B13" s="198">
        <v>5</v>
      </c>
      <c r="C13" s="501" t="str">
        <f t="shared" si="1"/>
        <v/>
      </c>
      <c r="D13" s="502" t="str">
        <f t="shared" si="2"/>
        <v/>
      </c>
      <c r="E13" s="190" t="str">
        <f t="shared" si="3"/>
        <v/>
      </c>
      <c r="F13" s="196" t="str">
        <f t="shared" si="0"/>
        <v/>
      </c>
      <c r="G13" s="190" t="str">
        <f t="shared" si="4"/>
        <v/>
      </c>
      <c r="H13" s="503" t="str">
        <f t="shared" si="5"/>
        <v/>
      </c>
      <c r="I13" s="49"/>
    </row>
    <row r="14" spans="1:17" ht="20.100000000000001" customHeight="1" x14ac:dyDescent="0.3">
      <c r="B14" s="198">
        <v>6</v>
      </c>
      <c r="C14" s="501" t="str">
        <f t="shared" si="1"/>
        <v/>
      </c>
      <c r="D14" s="502" t="str">
        <f t="shared" si="2"/>
        <v/>
      </c>
      <c r="E14" s="190" t="str">
        <f t="shared" si="3"/>
        <v/>
      </c>
      <c r="F14" s="196" t="str">
        <f t="shared" si="0"/>
        <v/>
      </c>
      <c r="G14" s="190" t="str">
        <f t="shared" si="4"/>
        <v/>
      </c>
      <c r="H14" s="503" t="str">
        <f t="shared" si="5"/>
        <v/>
      </c>
      <c r="I14" s="49"/>
    </row>
    <row r="15" spans="1:17" ht="20.100000000000001" customHeight="1" x14ac:dyDescent="0.3">
      <c r="B15" s="198">
        <v>7</v>
      </c>
      <c r="C15" s="501" t="str">
        <f t="shared" si="1"/>
        <v/>
      </c>
      <c r="D15" s="502" t="str">
        <f t="shared" si="2"/>
        <v/>
      </c>
      <c r="E15" s="190" t="str">
        <f t="shared" si="3"/>
        <v/>
      </c>
      <c r="F15" s="196" t="str">
        <f t="shared" si="0"/>
        <v/>
      </c>
      <c r="G15" s="190" t="str">
        <f t="shared" si="4"/>
        <v/>
      </c>
      <c r="H15" s="503" t="str">
        <f t="shared" si="5"/>
        <v/>
      </c>
      <c r="I15" s="49"/>
    </row>
    <row r="16" spans="1:17" ht="20.100000000000001" customHeight="1" x14ac:dyDescent="0.3">
      <c r="B16" s="198">
        <v>8</v>
      </c>
      <c r="C16" s="501" t="str">
        <f t="shared" si="1"/>
        <v/>
      </c>
      <c r="D16" s="502" t="str">
        <f t="shared" si="2"/>
        <v/>
      </c>
      <c r="E16" s="190" t="str">
        <f t="shared" si="3"/>
        <v/>
      </c>
      <c r="F16" s="196" t="str">
        <f t="shared" si="0"/>
        <v/>
      </c>
      <c r="G16" s="190" t="str">
        <f t="shared" si="4"/>
        <v/>
      </c>
      <c r="H16" s="503" t="str">
        <f t="shared" si="5"/>
        <v/>
      </c>
      <c r="I16" s="49"/>
    </row>
    <row r="17" spans="2:9" ht="20.100000000000001" customHeight="1" x14ac:dyDescent="0.3">
      <c r="B17" s="198">
        <v>9</v>
      </c>
      <c r="C17" s="501" t="str">
        <f t="shared" si="1"/>
        <v/>
      </c>
      <c r="D17" s="502" t="str">
        <f t="shared" si="2"/>
        <v/>
      </c>
      <c r="E17" s="190" t="str">
        <f t="shared" si="3"/>
        <v/>
      </c>
      <c r="F17" s="196" t="str">
        <f t="shared" si="0"/>
        <v/>
      </c>
      <c r="G17" s="190" t="str">
        <f t="shared" si="4"/>
        <v/>
      </c>
      <c r="H17" s="503" t="str">
        <f t="shared" si="5"/>
        <v/>
      </c>
      <c r="I17" s="49"/>
    </row>
    <row r="18" spans="2:9" ht="20.100000000000001" customHeight="1" x14ac:dyDescent="0.3">
      <c r="B18" s="198">
        <v>10</v>
      </c>
      <c r="C18" s="501" t="str">
        <f t="shared" si="1"/>
        <v/>
      </c>
      <c r="D18" s="502" t="str">
        <f t="shared" si="2"/>
        <v/>
      </c>
      <c r="E18" s="190" t="str">
        <f t="shared" si="3"/>
        <v/>
      </c>
      <c r="F18" s="196" t="str">
        <f t="shared" si="0"/>
        <v/>
      </c>
      <c r="G18" s="190" t="str">
        <f t="shared" si="4"/>
        <v/>
      </c>
      <c r="H18" s="503" t="str">
        <f t="shared" si="5"/>
        <v/>
      </c>
      <c r="I18" s="49"/>
    </row>
    <row r="19" spans="2:9" ht="20.100000000000001" customHeight="1" x14ac:dyDescent="0.3">
      <c r="B19" s="198">
        <v>11</v>
      </c>
      <c r="C19" s="501" t="str">
        <f t="shared" si="1"/>
        <v/>
      </c>
      <c r="D19" s="502" t="str">
        <f t="shared" si="2"/>
        <v/>
      </c>
      <c r="E19" s="190" t="str">
        <f t="shared" si="3"/>
        <v/>
      </c>
      <c r="F19" s="196" t="str">
        <f t="shared" si="0"/>
        <v/>
      </c>
      <c r="G19" s="190" t="str">
        <f t="shared" si="4"/>
        <v/>
      </c>
      <c r="H19" s="503" t="str">
        <f t="shared" si="5"/>
        <v/>
      </c>
      <c r="I19" s="49"/>
    </row>
    <row r="20" spans="2:9" ht="20.100000000000001" customHeight="1" x14ac:dyDescent="0.3">
      <c r="B20" s="198">
        <v>12</v>
      </c>
      <c r="C20" s="501" t="str">
        <f t="shared" si="1"/>
        <v/>
      </c>
      <c r="D20" s="502" t="str">
        <f t="shared" si="2"/>
        <v/>
      </c>
      <c r="E20" s="190" t="str">
        <f t="shared" si="3"/>
        <v/>
      </c>
      <c r="F20" s="196" t="str">
        <f t="shared" si="0"/>
        <v/>
      </c>
      <c r="G20" s="190" t="str">
        <f t="shared" si="4"/>
        <v/>
      </c>
      <c r="H20" s="503" t="str">
        <f t="shared" si="5"/>
        <v/>
      </c>
      <c r="I20" s="49"/>
    </row>
    <row r="21" spans="2:9" ht="20.100000000000001" customHeight="1" x14ac:dyDescent="0.3">
      <c r="B21" s="197">
        <v>13</v>
      </c>
      <c r="C21" s="501" t="str">
        <f t="shared" si="1"/>
        <v/>
      </c>
      <c r="D21" s="502" t="str">
        <f t="shared" si="2"/>
        <v/>
      </c>
      <c r="E21" s="190" t="str">
        <f t="shared" si="3"/>
        <v/>
      </c>
      <c r="F21" s="196" t="str">
        <f t="shared" si="0"/>
        <v/>
      </c>
      <c r="G21" s="190" t="str">
        <f t="shared" si="4"/>
        <v/>
      </c>
      <c r="H21" s="503" t="str">
        <f t="shared" si="5"/>
        <v/>
      </c>
      <c r="I21" s="49"/>
    </row>
    <row r="22" spans="2:9" ht="20.100000000000001" customHeight="1" x14ac:dyDescent="0.3">
      <c r="B22" s="198">
        <v>14</v>
      </c>
      <c r="C22" s="501" t="str">
        <f t="shared" si="1"/>
        <v/>
      </c>
      <c r="D22" s="502" t="str">
        <f t="shared" si="2"/>
        <v/>
      </c>
      <c r="E22" s="190" t="str">
        <f t="shared" si="3"/>
        <v/>
      </c>
      <c r="F22" s="196" t="str">
        <f t="shared" si="0"/>
        <v/>
      </c>
      <c r="G22" s="190" t="str">
        <f t="shared" si="4"/>
        <v/>
      </c>
      <c r="H22" s="503" t="str">
        <f t="shared" si="5"/>
        <v/>
      </c>
      <c r="I22" s="49"/>
    </row>
    <row r="23" spans="2:9" ht="20.100000000000001" customHeight="1" x14ac:dyDescent="0.3">
      <c r="B23" s="198">
        <v>15</v>
      </c>
      <c r="C23" s="501" t="str">
        <f t="shared" si="1"/>
        <v/>
      </c>
      <c r="D23" s="502" t="str">
        <f t="shared" si="2"/>
        <v/>
      </c>
      <c r="E23" s="190" t="str">
        <f t="shared" si="3"/>
        <v/>
      </c>
      <c r="F23" s="196" t="str">
        <f t="shared" si="0"/>
        <v/>
      </c>
      <c r="G23" s="190" t="str">
        <f t="shared" si="4"/>
        <v/>
      </c>
      <c r="H23" s="503" t="str">
        <f t="shared" si="5"/>
        <v/>
      </c>
      <c r="I23" s="49"/>
    </row>
    <row r="24" spans="2:9" ht="20.100000000000001" customHeight="1" x14ac:dyDescent="0.3">
      <c r="B24" s="198">
        <v>16</v>
      </c>
      <c r="C24" s="501" t="str">
        <f t="shared" si="1"/>
        <v/>
      </c>
      <c r="D24" s="502" t="str">
        <f t="shared" si="2"/>
        <v/>
      </c>
      <c r="E24" s="190" t="str">
        <f t="shared" si="3"/>
        <v/>
      </c>
      <c r="F24" s="196" t="str">
        <f t="shared" si="0"/>
        <v/>
      </c>
      <c r="G24" s="190" t="str">
        <f t="shared" si="4"/>
        <v/>
      </c>
      <c r="H24" s="503" t="str">
        <f t="shared" si="5"/>
        <v/>
      </c>
      <c r="I24" s="49"/>
    </row>
    <row r="25" spans="2:9" ht="20.100000000000001" customHeight="1" x14ac:dyDescent="0.3">
      <c r="B25" s="198">
        <v>17</v>
      </c>
      <c r="C25" s="501" t="str">
        <f t="shared" si="1"/>
        <v/>
      </c>
      <c r="D25" s="502" t="str">
        <f t="shared" si="2"/>
        <v/>
      </c>
      <c r="E25" s="190" t="str">
        <f t="shared" si="3"/>
        <v/>
      </c>
      <c r="F25" s="196" t="str">
        <f t="shared" si="0"/>
        <v/>
      </c>
      <c r="G25" s="190" t="str">
        <f t="shared" si="4"/>
        <v/>
      </c>
      <c r="H25" s="503" t="str">
        <f t="shared" si="5"/>
        <v/>
      </c>
      <c r="I25" s="49"/>
    </row>
    <row r="26" spans="2:9" ht="20.100000000000001" customHeight="1" x14ac:dyDescent="0.3">
      <c r="B26" s="198">
        <v>18</v>
      </c>
      <c r="C26" s="501" t="str">
        <f t="shared" si="1"/>
        <v/>
      </c>
      <c r="D26" s="502" t="str">
        <f t="shared" si="2"/>
        <v/>
      </c>
      <c r="E26" s="190" t="str">
        <f t="shared" si="3"/>
        <v/>
      </c>
      <c r="F26" s="196" t="str">
        <f t="shared" si="0"/>
        <v/>
      </c>
      <c r="G26" s="190" t="str">
        <f t="shared" si="4"/>
        <v/>
      </c>
      <c r="H26" s="503" t="str">
        <f t="shared" si="5"/>
        <v/>
      </c>
      <c r="I26" s="49"/>
    </row>
    <row r="27" spans="2:9" ht="20.100000000000001" customHeight="1" x14ac:dyDescent="0.3">
      <c r="B27" s="198">
        <v>19</v>
      </c>
      <c r="C27" s="501" t="str">
        <f t="shared" si="1"/>
        <v/>
      </c>
      <c r="D27" s="502" t="str">
        <f t="shared" si="2"/>
        <v/>
      </c>
      <c r="E27" s="190" t="str">
        <f t="shared" si="3"/>
        <v/>
      </c>
      <c r="F27" s="196" t="str">
        <f t="shared" si="0"/>
        <v/>
      </c>
      <c r="G27" s="190" t="str">
        <f t="shared" si="4"/>
        <v/>
      </c>
      <c r="H27" s="503" t="str">
        <f t="shared" si="5"/>
        <v/>
      </c>
      <c r="I27" s="49"/>
    </row>
    <row r="28" spans="2:9" ht="20.100000000000001" customHeight="1" x14ac:dyDescent="0.3">
      <c r="B28" s="198">
        <v>20</v>
      </c>
      <c r="C28" s="501" t="str">
        <f t="shared" si="1"/>
        <v/>
      </c>
      <c r="D28" s="502" t="str">
        <f t="shared" si="2"/>
        <v/>
      </c>
      <c r="E28" s="190" t="str">
        <f t="shared" si="3"/>
        <v/>
      </c>
      <c r="F28" s="196" t="str">
        <f t="shared" si="0"/>
        <v/>
      </c>
      <c r="G28" s="190" t="str">
        <f t="shared" si="4"/>
        <v/>
      </c>
      <c r="H28" s="503" t="str">
        <f t="shared" si="5"/>
        <v/>
      </c>
      <c r="I28" s="49"/>
    </row>
    <row r="29" spans="2:9" ht="20.100000000000001" customHeight="1" x14ac:dyDescent="0.3">
      <c r="B29" s="198">
        <v>21</v>
      </c>
      <c r="C29" s="501" t="str">
        <f t="shared" si="1"/>
        <v/>
      </c>
      <c r="D29" s="502" t="str">
        <f t="shared" si="2"/>
        <v/>
      </c>
      <c r="E29" s="190" t="str">
        <f t="shared" si="3"/>
        <v/>
      </c>
      <c r="F29" s="196" t="str">
        <f t="shared" si="0"/>
        <v/>
      </c>
      <c r="G29" s="190" t="str">
        <f t="shared" si="4"/>
        <v/>
      </c>
      <c r="H29" s="503" t="str">
        <f t="shared" si="5"/>
        <v/>
      </c>
      <c r="I29" s="49"/>
    </row>
    <row r="30" spans="2:9" ht="20.100000000000001" customHeight="1" x14ac:dyDescent="0.3">
      <c r="B30" s="198">
        <v>22</v>
      </c>
      <c r="C30" s="501" t="str">
        <f t="shared" si="1"/>
        <v/>
      </c>
      <c r="D30" s="502" t="str">
        <f t="shared" si="2"/>
        <v/>
      </c>
      <c r="E30" s="190" t="str">
        <f t="shared" si="3"/>
        <v/>
      </c>
      <c r="F30" s="196" t="str">
        <f t="shared" si="0"/>
        <v/>
      </c>
      <c r="G30" s="190" t="str">
        <f t="shared" si="4"/>
        <v/>
      </c>
      <c r="H30" s="503" t="str">
        <f t="shared" si="5"/>
        <v/>
      </c>
      <c r="I30" s="49"/>
    </row>
    <row r="31" spans="2:9" ht="20.100000000000001" customHeight="1" x14ac:dyDescent="0.3">
      <c r="B31" s="198">
        <v>23</v>
      </c>
      <c r="C31" s="501" t="str">
        <f t="shared" si="1"/>
        <v/>
      </c>
      <c r="D31" s="502" t="str">
        <f t="shared" si="2"/>
        <v/>
      </c>
      <c r="E31" s="190" t="str">
        <f t="shared" si="3"/>
        <v/>
      </c>
      <c r="F31" s="196" t="str">
        <f t="shared" si="0"/>
        <v/>
      </c>
      <c r="G31" s="190" t="str">
        <f t="shared" si="4"/>
        <v/>
      </c>
      <c r="H31" s="503" t="str">
        <f t="shared" si="5"/>
        <v/>
      </c>
      <c r="I31" s="49"/>
    </row>
    <row r="32" spans="2:9" ht="20.100000000000001" customHeight="1" x14ac:dyDescent="0.3">
      <c r="B32" s="198">
        <v>24</v>
      </c>
      <c r="C32" s="501" t="str">
        <f t="shared" si="1"/>
        <v/>
      </c>
      <c r="D32" s="502" t="str">
        <f t="shared" si="2"/>
        <v/>
      </c>
      <c r="E32" s="190" t="str">
        <f t="shared" si="3"/>
        <v/>
      </c>
      <c r="F32" s="196" t="str">
        <f t="shared" si="0"/>
        <v/>
      </c>
      <c r="G32" s="190" t="str">
        <f t="shared" si="4"/>
        <v/>
      </c>
      <c r="H32" s="503" t="str">
        <f t="shared" si="5"/>
        <v/>
      </c>
      <c r="I32" s="49"/>
    </row>
    <row r="33" spans="2:9" ht="20.100000000000001" customHeight="1" x14ac:dyDescent="0.3">
      <c r="B33" s="197">
        <v>25</v>
      </c>
      <c r="C33" s="501" t="str">
        <f t="shared" si="1"/>
        <v/>
      </c>
      <c r="D33" s="502" t="str">
        <f t="shared" si="2"/>
        <v/>
      </c>
      <c r="E33" s="190" t="str">
        <f t="shared" si="3"/>
        <v/>
      </c>
      <c r="F33" s="196" t="str">
        <f t="shared" si="0"/>
        <v/>
      </c>
      <c r="G33" s="190" t="str">
        <f t="shared" si="4"/>
        <v/>
      </c>
      <c r="H33" s="503" t="str">
        <f t="shared" si="5"/>
        <v/>
      </c>
      <c r="I33" s="49"/>
    </row>
    <row r="34" spans="2:9" ht="20.100000000000001" customHeight="1" x14ac:dyDescent="0.3">
      <c r="B34" s="198">
        <v>26</v>
      </c>
      <c r="C34" s="501" t="str">
        <f t="shared" si="1"/>
        <v/>
      </c>
      <c r="D34" s="502" t="str">
        <f t="shared" si="2"/>
        <v/>
      </c>
      <c r="E34" s="190" t="str">
        <f t="shared" si="3"/>
        <v/>
      </c>
      <c r="F34" s="196" t="str">
        <f t="shared" si="0"/>
        <v/>
      </c>
      <c r="G34" s="190" t="str">
        <f t="shared" si="4"/>
        <v/>
      </c>
      <c r="H34" s="503" t="str">
        <f t="shared" si="5"/>
        <v/>
      </c>
      <c r="I34" s="49"/>
    </row>
    <row r="35" spans="2:9" ht="20.100000000000001" customHeight="1" x14ac:dyDescent="0.3">
      <c r="B35" s="198">
        <v>27</v>
      </c>
      <c r="C35" s="501" t="str">
        <f t="shared" si="1"/>
        <v/>
      </c>
      <c r="D35" s="502" t="str">
        <f t="shared" si="2"/>
        <v/>
      </c>
      <c r="E35" s="190" t="str">
        <f t="shared" si="3"/>
        <v/>
      </c>
      <c r="F35" s="196" t="str">
        <f t="shared" si="0"/>
        <v/>
      </c>
      <c r="G35" s="190" t="str">
        <f t="shared" si="4"/>
        <v/>
      </c>
      <c r="H35" s="503" t="str">
        <f t="shared" si="5"/>
        <v/>
      </c>
      <c r="I35" s="49"/>
    </row>
    <row r="36" spans="2:9" ht="20.100000000000001" customHeight="1" x14ac:dyDescent="0.3">
      <c r="B36" s="198">
        <v>28</v>
      </c>
      <c r="C36" s="501" t="str">
        <f t="shared" si="1"/>
        <v/>
      </c>
      <c r="D36" s="502" t="str">
        <f t="shared" si="2"/>
        <v/>
      </c>
      <c r="E36" s="190" t="str">
        <f t="shared" si="3"/>
        <v/>
      </c>
      <c r="F36" s="196" t="str">
        <f t="shared" si="0"/>
        <v/>
      </c>
      <c r="G36" s="190" t="str">
        <f t="shared" si="4"/>
        <v/>
      </c>
      <c r="H36" s="503" t="str">
        <f t="shared" si="5"/>
        <v/>
      </c>
      <c r="I36" s="49"/>
    </row>
    <row r="37" spans="2:9" ht="20.100000000000001" customHeight="1" x14ac:dyDescent="0.3">
      <c r="B37" s="198">
        <v>29</v>
      </c>
      <c r="C37" s="501" t="str">
        <f t="shared" si="1"/>
        <v/>
      </c>
      <c r="D37" s="502" t="str">
        <f t="shared" si="2"/>
        <v/>
      </c>
      <c r="E37" s="190" t="str">
        <f t="shared" si="3"/>
        <v/>
      </c>
      <c r="F37" s="196" t="str">
        <f t="shared" si="0"/>
        <v/>
      </c>
      <c r="G37" s="190" t="str">
        <f t="shared" si="4"/>
        <v/>
      </c>
      <c r="H37" s="503" t="str">
        <f t="shared" si="5"/>
        <v/>
      </c>
      <c r="I37" s="49"/>
    </row>
    <row r="38" spans="2:9" ht="20.100000000000001" customHeight="1" x14ac:dyDescent="0.3">
      <c r="B38" s="198">
        <v>30</v>
      </c>
      <c r="C38" s="501" t="str">
        <f t="shared" si="1"/>
        <v/>
      </c>
      <c r="D38" s="502" t="str">
        <f t="shared" si="2"/>
        <v/>
      </c>
      <c r="E38" s="190" t="str">
        <f t="shared" si="3"/>
        <v/>
      </c>
      <c r="F38" s="196" t="str">
        <f t="shared" si="0"/>
        <v/>
      </c>
      <c r="G38" s="190" t="str">
        <f t="shared" si="4"/>
        <v/>
      </c>
      <c r="H38" s="503" t="str">
        <f t="shared" si="5"/>
        <v/>
      </c>
      <c r="I38" s="49"/>
    </row>
    <row r="39" spans="2:9" ht="20.100000000000001" customHeight="1" x14ac:dyDescent="0.3">
      <c r="B39" s="198">
        <v>31</v>
      </c>
      <c r="C39" s="501" t="str">
        <f t="shared" si="1"/>
        <v/>
      </c>
      <c r="D39" s="502" t="str">
        <f t="shared" si="2"/>
        <v/>
      </c>
      <c r="E39" s="190" t="str">
        <f t="shared" si="3"/>
        <v/>
      </c>
      <c r="F39" s="196" t="str">
        <f t="shared" si="0"/>
        <v/>
      </c>
      <c r="G39" s="190" t="str">
        <f t="shared" si="4"/>
        <v/>
      </c>
      <c r="H39" s="503" t="str">
        <f t="shared" si="5"/>
        <v/>
      </c>
      <c r="I39" s="49"/>
    </row>
    <row r="40" spans="2:9" ht="20.100000000000001" customHeight="1" x14ac:dyDescent="0.3">
      <c r="B40" s="198">
        <v>32</v>
      </c>
      <c r="C40" s="501" t="str">
        <f t="shared" si="1"/>
        <v/>
      </c>
      <c r="D40" s="502" t="str">
        <f t="shared" si="2"/>
        <v/>
      </c>
      <c r="E40" s="190" t="str">
        <f t="shared" si="3"/>
        <v/>
      </c>
      <c r="F40" s="196" t="str">
        <f t="shared" si="0"/>
        <v/>
      </c>
      <c r="G40" s="190" t="str">
        <f t="shared" si="4"/>
        <v/>
      </c>
      <c r="H40" s="503" t="str">
        <f t="shared" si="5"/>
        <v/>
      </c>
      <c r="I40" s="49"/>
    </row>
    <row r="41" spans="2:9" ht="20.100000000000001" customHeight="1" x14ac:dyDescent="0.3">
      <c r="B41" s="198">
        <v>33</v>
      </c>
      <c r="C41" s="501" t="str">
        <f t="shared" si="1"/>
        <v/>
      </c>
      <c r="D41" s="502" t="str">
        <f t="shared" si="2"/>
        <v/>
      </c>
      <c r="E41" s="190" t="str">
        <f t="shared" si="3"/>
        <v/>
      </c>
      <c r="F41" s="196" t="str">
        <f t="shared" si="0"/>
        <v/>
      </c>
      <c r="G41" s="190" t="str">
        <f t="shared" si="4"/>
        <v/>
      </c>
      <c r="H41" s="503" t="str">
        <f t="shared" si="5"/>
        <v/>
      </c>
      <c r="I41" s="49"/>
    </row>
    <row r="42" spans="2:9" ht="20.100000000000001" customHeight="1" x14ac:dyDescent="0.3">
      <c r="B42" s="198">
        <v>34</v>
      </c>
      <c r="C42" s="501" t="str">
        <f t="shared" si="1"/>
        <v/>
      </c>
      <c r="D42" s="502" t="str">
        <f t="shared" si="2"/>
        <v/>
      </c>
      <c r="E42" s="190" t="str">
        <f t="shared" si="3"/>
        <v/>
      </c>
      <c r="F42" s="196" t="str">
        <f t="shared" si="0"/>
        <v/>
      </c>
      <c r="G42" s="190" t="str">
        <f t="shared" si="4"/>
        <v/>
      </c>
      <c r="H42" s="503" t="str">
        <f t="shared" si="5"/>
        <v/>
      </c>
      <c r="I42" s="49"/>
    </row>
    <row r="43" spans="2:9" ht="20.100000000000001" customHeight="1" x14ac:dyDescent="0.3">
      <c r="B43" s="198">
        <v>35</v>
      </c>
      <c r="C43" s="501" t="str">
        <f t="shared" si="1"/>
        <v/>
      </c>
      <c r="D43" s="502" t="str">
        <f t="shared" si="2"/>
        <v/>
      </c>
      <c r="E43" s="190" t="str">
        <f t="shared" si="3"/>
        <v/>
      </c>
      <c r="F43" s="196" t="str">
        <f t="shared" si="0"/>
        <v/>
      </c>
      <c r="G43" s="190" t="str">
        <f t="shared" si="4"/>
        <v/>
      </c>
      <c r="H43" s="503" t="str">
        <f t="shared" si="5"/>
        <v/>
      </c>
      <c r="I43" s="49"/>
    </row>
    <row r="44" spans="2:9" ht="20.100000000000001" customHeight="1" x14ac:dyDescent="0.3">
      <c r="B44" s="198">
        <v>36</v>
      </c>
      <c r="C44" s="501" t="str">
        <f t="shared" si="1"/>
        <v/>
      </c>
      <c r="D44" s="502" t="str">
        <f t="shared" si="2"/>
        <v/>
      </c>
      <c r="E44" s="190" t="str">
        <f t="shared" si="3"/>
        <v/>
      </c>
      <c r="F44" s="196" t="str">
        <f t="shared" si="0"/>
        <v/>
      </c>
      <c r="G44" s="190" t="str">
        <f t="shared" si="4"/>
        <v/>
      </c>
      <c r="H44" s="503" t="str">
        <f t="shared" si="5"/>
        <v/>
      </c>
      <c r="I44" s="49"/>
    </row>
    <row r="45" spans="2:9" ht="20.100000000000001" customHeight="1" x14ac:dyDescent="0.3">
      <c r="B45" s="198">
        <v>37</v>
      </c>
      <c r="C45" s="501" t="str">
        <f t="shared" si="1"/>
        <v/>
      </c>
      <c r="D45" s="502" t="str">
        <f t="shared" si="2"/>
        <v/>
      </c>
      <c r="E45" s="190" t="str">
        <f t="shared" si="3"/>
        <v/>
      </c>
      <c r="F45" s="196" t="str">
        <f t="shared" si="0"/>
        <v/>
      </c>
      <c r="G45" s="190" t="str">
        <f t="shared" si="4"/>
        <v/>
      </c>
      <c r="H45" s="503" t="str">
        <f t="shared" si="5"/>
        <v/>
      </c>
      <c r="I45" s="49"/>
    </row>
    <row r="46" spans="2:9" ht="20.100000000000001" customHeight="1" x14ac:dyDescent="0.3">
      <c r="B46" s="198">
        <v>38</v>
      </c>
      <c r="C46" s="501" t="str">
        <f t="shared" si="1"/>
        <v/>
      </c>
      <c r="D46" s="502" t="str">
        <f t="shared" si="2"/>
        <v/>
      </c>
      <c r="E46" s="190" t="str">
        <f t="shared" si="3"/>
        <v/>
      </c>
      <c r="F46" s="196" t="str">
        <f t="shared" si="0"/>
        <v/>
      </c>
      <c r="G46" s="190" t="str">
        <f t="shared" si="4"/>
        <v/>
      </c>
      <c r="H46" s="503" t="str">
        <f t="shared" si="5"/>
        <v/>
      </c>
      <c r="I46" s="49"/>
    </row>
    <row r="47" spans="2:9" ht="20.100000000000001" customHeight="1" x14ac:dyDescent="0.3">
      <c r="B47" s="198">
        <v>39</v>
      </c>
      <c r="C47" s="501" t="str">
        <f t="shared" si="1"/>
        <v/>
      </c>
      <c r="D47" s="502" t="str">
        <f t="shared" si="2"/>
        <v/>
      </c>
      <c r="E47" s="190" t="str">
        <f t="shared" si="3"/>
        <v/>
      </c>
      <c r="F47" s="196" t="str">
        <f t="shared" si="0"/>
        <v/>
      </c>
      <c r="G47" s="190" t="str">
        <f t="shared" si="4"/>
        <v/>
      </c>
      <c r="H47" s="503" t="str">
        <f t="shared" si="5"/>
        <v/>
      </c>
      <c r="I47" s="49"/>
    </row>
    <row r="48" spans="2:9" ht="20.100000000000001" customHeight="1" x14ac:dyDescent="0.3">
      <c r="B48" s="198">
        <v>40</v>
      </c>
      <c r="C48" s="501" t="str">
        <f t="shared" si="1"/>
        <v/>
      </c>
      <c r="D48" s="502" t="str">
        <f t="shared" si="2"/>
        <v/>
      </c>
      <c r="E48" s="190" t="str">
        <f t="shared" si="3"/>
        <v/>
      </c>
      <c r="F48" s="196" t="str">
        <f t="shared" si="0"/>
        <v/>
      </c>
      <c r="G48" s="190" t="str">
        <f t="shared" si="4"/>
        <v/>
      </c>
      <c r="H48" s="503" t="str">
        <f t="shared" si="5"/>
        <v/>
      </c>
      <c r="I48" s="49"/>
    </row>
    <row r="49" spans="2:28" ht="20.100000000000001" customHeight="1" x14ac:dyDescent="0.3">
      <c r="B49" s="198">
        <v>41</v>
      </c>
      <c r="C49" s="501" t="str">
        <f t="shared" si="1"/>
        <v/>
      </c>
      <c r="D49" s="502" t="str">
        <f t="shared" si="2"/>
        <v/>
      </c>
      <c r="E49" s="190" t="str">
        <f t="shared" si="3"/>
        <v/>
      </c>
      <c r="F49" s="196" t="str">
        <f t="shared" si="0"/>
        <v/>
      </c>
      <c r="G49" s="190" t="str">
        <f t="shared" si="4"/>
        <v/>
      </c>
      <c r="H49" s="503" t="str">
        <f t="shared" si="5"/>
        <v/>
      </c>
      <c r="I49" s="49"/>
    </row>
    <row r="50" spans="2:28" ht="20.100000000000001" customHeight="1" x14ac:dyDescent="0.3">
      <c r="B50" s="198">
        <v>42</v>
      </c>
      <c r="C50" s="501" t="str">
        <f t="shared" si="1"/>
        <v/>
      </c>
      <c r="D50" s="502" t="str">
        <f t="shared" si="2"/>
        <v/>
      </c>
      <c r="E50" s="190" t="str">
        <f t="shared" si="3"/>
        <v/>
      </c>
      <c r="F50" s="196" t="str">
        <f t="shared" si="0"/>
        <v/>
      </c>
      <c r="G50" s="190" t="str">
        <f t="shared" si="4"/>
        <v/>
      </c>
      <c r="H50" s="503" t="str">
        <f t="shared" si="5"/>
        <v/>
      </c>
      <c r="I50" s="49"/>
    </row>
    <row r="51" spans="2:28" ht="20.100000000000001" customHeight="1" x14ac:dyDescent="0.3">
      <c r="B51" s="198">
        <v>43</v>
      </c>
      <c r="C51" s="501" t="str">
        <f t="shared" si="1"/>
        <v/>
      </c>
      <c r="D51" s="502" t="str">
        <f t="shared" si="2"/>
        <v/>
      </c>
      <c r="E51" s="190" t="str">
        <f t="shared" si="3"/>
        <v/>
      </c>
      <c r="F51" s="196" t="str">
        <f t="shared" si="0"/>
        <v/>
      </c>
      <c r="G51" s="190" t="str">
        <f t="shared" si="4"/>
        <v/>
      </c>
      <c r="H51" s="503" t="str">
        <f t="shared" si="5"/>
        <v/>
      </c>
      <c r="I51" s="49"/>
    </row>
    <row r="52" spans="2:28" ht="20.100000000000001" customHeight="1" x14ac:dyDescent="0.3">
      <c r="B52" s="198">
        <v>44</v>
      </c>
      <c r="C52" s="501" t="str">
        <f t="shared" si="1"/>
        <v/>
      </c>
      <c r="D52" s="502" t="str">
        <f t="shared" si="2"/>
        <v/>
      </c>
      <c r="E52" s="190" t="str">
        <f t="shared" si="3"/>
        <v/>
      </c>
      <c r="F52" s="196" t="str">
        <f t="shared" si="0"/>
        <v/>
      </c>
      <c r="G52" s="190" t="str">
        <f t="shared" si="4"/>
        <v/>
      </c>
      <c r="H52" s="503" t="str">
        <f t="shared" si="5"/>
        <v/>
      </c>
      <c r="I52" s="49"/>
    </row>
    <row r="53" spans="2:28" ht="20.100000000000001" customHeight="1" x14ac:dyDescent="0.3">
      <c r="B53" s="198">
        <v>45</v>
      </c>
      <c r="C53" s="501" t="str">
        <f t="shared" si="1"/>
        <v/>
      </c>
      <c r="D53" s="502" t="str">
        <f t="shared" si="2"/>
        <v/>
      </c>
      <c r="E53" s="190" t="str">
        <f t="shared" si="3"/>
        <v/>
      </c>
      <c r="F53" s="196" t="str">
        <f t="shared" si="0"/>
        <v/>
      </c>
      <c r="G53" s="190" t="str">
        <f t="shared" si="4"/>
        <v/>
      </c>
      <c r="H53" s="503" t="str">
        <f t="shared" si="5"/>
        <v/>
      </c>
      <c r="I53" s="49"/>
    </row>
    <row r="54" spans="2:28" ht="20.100000000000001" customHeight="1" x14ac:dyDescent="0.3">
      <c r="B54" s="198">
        <v>46</v>
      </c>
      <c r="C54" s="501" t="str">
        <f t="shared" si="1"/>
        <v/>
      </c>
      <c r="D54" s="502" t="str">
        <f t="shared" si="2"/>
        <v/>
      </c>
      <c r="E54" s="190" t="str">
        <f t="shared" si="3"/>
        <v/>
      </c>
      <c r="F54" s="196" t="str">
        <f t="shared" si="0"/>
        <v/>
      </c>
      <c r="G54" s="190" t="str">
        <f t="shared" si="4"/>
        <v/>
      </c>
      <c r="H54" s="503" t="str">
        <f t="shared" si="5"/>
        <v/>
      </c>
      <c r="I54" s="49"/>
    </row>
    <row r="55" spans="2:28" ht="20.100000000000001" customHeight="1" x14ac:dyDescent="0.3">
      <c r="B55" s="198">
        <v>47</v>
      </c>
      <c r="C55" s="501" t="str">
        <f t="shared" si="1"/>
        <v/>
      </c>
      <c r="D55" s="502" t="str">
        <f t="shared" si="2"/>
        <v/>
      </c>
      <c r="E55" s="190" t="str">
        <f t="shared" si="3"/>
        <v/>
      </c>
      <c r="F55" s="196" t="str">
        <f t="shared" si="0"/>
        <v/>
      </c>
      <c r="G55" s="190" t="str">
        <f t="shared" si="4"/>
        <v/>
      </c>
      <c r="H55" s="503" t="str">
        <f t="shared" si="5"/>
        <v/>
      </c>
      <c r="I55" s="49"/>
    </row>
    <row r="56" spans="2:28" ht="20.100000000000001" customHeight="1" x14ac:dyDescent="0.3">
      <c r="B56" s="198">
        <v>48</v>
      </c>
      <c r="C56" s="501" t="str">
        <f t="shared" si="1"/>
        <v/>
      </c>
      <c r="D56" s="502" t="str">
        <f t="shared" si="2"/>
        <v/>
      </c>
      <c r="E56" s="190" t="str">
        <f t="shared" si="3"/>
        <v/>
      </c>
      <c r="F56" s="196" t="str">
        <f t="shared" si="0"/>
        <v/>
      </c>
      <c r="G56" s="190" t="str">
        <f t="shared" si="4"/>
        <v/>
      </c>
      <c r="H56" s="503" t="str">
        <f t="shared" si="5"/>
        <v/>
      </c>
      <c r="I56" s="49"/>
    </row>
    <row r="57" spans="2:28" ht="20.100000000000001" customHeight="1" x14ac:dyDescent="0.3">
      <c r="B57" s="198">
        <v>49</v>
      </c>
      <c r="C57" s="501" t="str">
        <f t="shared" si="1"/>
        <v/>
      </c>
      <c r="D57" s="502" t="str">
        <f t="shared" si="2"/>
        <v/>
      </c>
      <c r="E57" s="190" t="str">
        <f t="shared" si="3"/>
        <v/>
      </c>
      <c r="F57" s="196" t="str">
        <f t="shared" si="0"/>
        <v/>
      </c>
      <c r="G57" s="190" t="str">
        <f t="shared" si="4"/>
        <v/>
      </c>
      <c r="H57" s="503" t="str">
        <f t="shared" si="5"/>
        <v/>
      </c>
      <c r="I57" s="49"/>
    </row>
    <row r="58" spans="2:28" ht="20.100000000000001" customHeight="1" x14ac:dyDescent="0.3">
      <c r="B58" s="198">
        <v>50</v>
      </c>
      <c r="C58" s="501" t="str">
        <f t="shared" si="1"/>
        <v/>
      </c>
      <c r="D58" s="502" t="str">
        <f t="shared" si="2"/>
        <v/>
      </c>
      <c r="E58" s="190" t="str">
        <f t="shared" si="3"/>
        <v/>
      </c>
      <c r="F58" s="196" t="str">
        <f t="shared" si="0"/>
        <v/>
      </c>
      <c r="G58" s="190" t="str">
        <f t="shared" si="4"/>
        <v/>
      </c>
      <c r="H58" s="503" t="str">
        <f t="shared" si="5"/>
        <v/>
      </c>
      <c r="I58" s="49"/>
    </row>
    <row r="59" spans="2:28" ht="20.100000000000001" customHeight="1" x14ac:dyDescent="0.3">
      <c r="B59" s="198">
        <v>51</v>
      </c>
      <c r="C59" s="501" t="str">
        <f t="shared" si="1"/>
        <v/>
      </c>
      <c r="D59" s="502" t="str">
        <f t="shared" si="2"/>
        <v/>
      </c>
      <c r="E59" s="190" t="str">
        <f t="shared" si="3"/>
        <v/>
      </c>
      <c r="F59" s="196" t="str">
        <f t="shared" si="0"/>
        <v/>
      </c>
      <c r="G59" s="190" t="str">
        <f t="shared" si="4"/>
        <v/>
      </c>
      <c r="H59" s="503" t="str">
        <f t="shared" si="5"/>
        <v/>
      </c>
      <c r="I59" s="49"/>
    </row>
    <row r="60" spans="2:28" ht="20.100000000000001" customHeight="1" x14ac:dyDescent="0.3">
      <c r="B60" s="198">
        <v>52</v>
      </c>
      <c r="C60" s="501" t="str">
        <f t="shared" si="1"/>
        <v/>
      </c>
      <c r="D60" s="502" t="str">
        <f t="shared" si="2"/>
        <v/>
      </c>
      <c r="E60" s="190" t="str">
        <f t="shared" si="3"/>
        <v/>
      </c>
      <c r="F60" s="196" t="str">
        <f t="shared" si="0"/>
        <v/>
      </c>
      <c r="G60" s="190" t="str">
        <f t="shared" si="4"/>
        <v/>
      </c>
      <c r="H60" s="503" t="str">
        <f t="shared" si="5"/>
        <v/>
      </c>
      <c r="I60" s="49"/>
    </row>
    <row r="61" spans="2:28" ht="20.100000000000001" customHeight="1" x14ac:dyDescent="0.3">
      <c r="B61" s="198">
        <v>53</v>
      </c>
      <c r="C61" s="501" t="str">
        <f t="shared" si="1"/>
        <v/>
      </c>
      <c r="D61" s="502" t="str">
        <f t="shared" si="2"/>
        <v/>
      </c>
      <c r="E61" s="190" t="str">
        <f t="shared" si="3"/>
        <v/>
      </c>
      <c r="F61" s="196" t="str">
        <f t="shared" si="0"/>
        <v/>
      </c>
      <c r="G61" s="190" t="str">
        <f t="shared" si="4"/>
        <v/>
      </c>
      <c r="H61" s="503" t="str">
        <f t="shared" si="5"/>
        <v/>
      </c>
      <c r="I61" s="49"/>
      <c r="K61" s="1"/>
      <c r="L61" s="1"/>
      <c r="M61" s="1"/>
      <c r="T61" s="45"/>
      <c r="U61" s="1"/>
      <c r="V61" s="1"/>
      <c r="Z61" s="1"/>
      <c r="AA61" s="1"/>
      <c r="AB61" s="1"/>
    </row>
    <row r="62" spans="2:28" ht="20.100000000000001" customHeight="1" x14ac:dyDescent="0.3">
      <c r="B62" s="198">
        <v>54</v>
      </c>
      <c r="C62" s="501" t="str">
        <f t="shared" si="1"/>
        <v/>
      </c>
      <c r="D62" s="502" t="str">
        <f t="shared" si="2"/>
        <v/>
      </c>
      <c r="E62" s="190" t="str">
        <f t="shared" si="3"/>
        <v/>
      </c>
      <c r="F62" s="196" t="str">
        <f t="shared" si="0"/>
        <v/>
      </c>
      <c r="G62" s="190" t="str">
        <f t="shared" si="4"/>
        <v/>
      </c>
      <c r="H62" s="503" t="str">
        <f t="shared" si="5"/>
        <v/>
      </c>
      <c r="I62" s="44"/>
      <c r="K62" s="44"/>
      <c r="N62" s="44"/>
      <c r="Q62" s="44"/>
      <c r="T62" s="44"/>
      <c r="W62" s="44"/>
      <c r="Z62" s="44"/>
    </row>
    <row r="63" spans="2:28" ht="20.100000000000001" customHeight="1" x14ac:dyDescent="0.3">
      <c r="B63" s="198">
        <v>55</v>
      </c>
      <c r="C63" s="501" t="str">
        <f t="shared" si="1"/>
        <v/>
      </c>
      <c r="D63" s="502" t="str">
        <f t="shared" si="2"/>
        <v/>
      </c>
      <c r="E63" s="190" t="str">
        <f t="shared" si="3"/>
        <v/>
      </c>
      <c r="F63" s="196" t="str">
        <f t="shared" si="0"/>
        <v/>
      </c>
      <c r="G63" s="190" t="str">
        <f t="shared" si="4"/>
        <v/>
      </c>
      <c r="H63" s="503" t="str">
        <f t="shared" si="5"/>
        <v/>
      </c>
      <c r="I63" s="452"/>
      <c r="K63" s="578"/>
      <c r="L63" s="578"/>
      <c r="M63" s="46"/>
      <c r="N63" s="578"/>
      <c r="O63" s="578"/>
      <c r="P63" s="46"/>
      <c r="Q63" s="578"/>
      <c r="R63" s="578"/>
      <c r="S63" s="46"/>
      <c r="T63" s="578"/>
      <c r="U63" s="578"/>
      <c r="V63" s="46"/>
      <c r="W63" s="578"/>
      <c r="X63" s="578"/>
      <c r="Y63" s="46"/>
      <c r="Z63" s="578"/>
      <c r="AA63" s="578"/>
      <c r="AB63" s="46"/>
    </row>
    <row r="64" spans="2:28" ht="20.100000000000001" customHeight="1" x14ac:dyDescent="0.3">
      <c r="B64" s="198">
        <v>56</v>
      </c>
      <c r="C64" s="501" t="str">
        <f t="shared" si="1"/>
        <v/>
      </c>
      <c r="D64" s="502" t="str">
        <f t="shared" si="2"/>
        <v/>
      </c>
      <c r="E64" s="190" t="str">
        <f t="shared" si="3"/>
        <v/>
      </c>
      <c r="F64" s="196" t="str">
        <f t="shared" si="0"/>
        <v/>
      </c>
      <c r="G64" s="190" t="str">
        <f t="shared" si="4"/>
        <v/>
      </c>
      <c r="H64" s="503" t="str">
        <f t="shared" si="5"/>
        <v/>
      </c>
      <c r="I64" s="49"/>
    </row>
    <row r="65" spans="2:9" ht="20.100000000000001" customHeight="1" x14ac:dyDescent="0.3">
      <c r="B65" s="198">
        <v>57</v>
      </c>
      <c r="C65" s="501" t="str">
        <f t="shared" si="1"/>
        <v/>
      </c>
      <c r="D65" s="502" t="str">
        <f t="shared" si="2"/>
        <v/>
      </c>
      <c r="E65" s="190" t="str">
        <f t="shared" si="3"/>
        <v/>
      </c>
      <c r="F65" s="196" t="str">
        <f t="shared" si="0"/>
        <v/>
      </c>
      <c r="G65" s="190" t="str">
        <f t="shared" si="4"/>
        <v/>
      </c>
      <c r="H65" s="503" t="str">
        <f t="shared" si="5"/>
        <v/>
      </c>
      <c r="I65" s="49"/>
    </row>
    <row r="66" spans="2:9" ht="20.100000000000001" customHeight="1" x14ac:dyDescent="0.3">
      <c r="B66" s="198">
        <v>58</v>
      </c>
      <c r="C66" s="501" t="str">
        <f t="shared" si="1"/>
        <v/>
      </c>
      <c r="D66" s="502" t="str">
        <f t="shared" si="2"/>
        <v/>
      </c>
      <c r="E66" s="190" t="str">
        <f t="shared" si="3"/>
        <v/>
      </c>
      <c r="F66" s="196" t="str">
        <f t="shared" si="0"/>
        <v/>
      </c>
      <c r="G66" s="190" t="str">
        <f t="shared" si="4"/>
        <v/>
      </c>
      <c r="H66" s="503" t="str">
        <f t="shared" si="5"/>
        <v/>
      </c>
      <c r="I66" s="49"/>
    </row>
    <row r="67" spans="2:9" ht="20.100000000000001" customHeight="1" x14ac:dyDescent="0.3">
      <c r="B67" s="198">
        <v>59</v>
      </c>
      <c r="C67" s="501" t="str">
        <f t="shared" si="1"/>
        <v/>
      </c>
      <c r="D67" s="502" t="str">
        <f t="shared" si="2"/>
        <v/>
      </c>
      <c r="E67" s="190" t="str">
        <f t="shared" si="3"/>
        <v/>
      </c>
      <c r="F67" s="196" t="str">
        <f t="shared" si="0"/>
        <v/>
      </c>
      <c r="G67" s="190" t="str">
        <f t="shared" si="4"/>
        <v/>
      </c>
      <c r="H67" s="503" t="str">
        <f t="shared" si="5"/>
        <v/>
      </c>
      <c r="I67" s="49"/>
    </row>
    <row r="68" spans="2:9" ht="20.100000000000001" customHeight="1" x14ac:dyDescent="0.3">
      <c r="B68" s="198">
        <v>60</v>
      </c>
      <c r="C68" s="501" t="str">
        <f t="shared" si="1"/>
        <v/>
      </c>
      <c r="D68" s="502" t="str">
        <f t="shared" si="2"/>
        <v/>
      </c>
      <c r="E68" s="190" t="str">
        <f t="shared" si="3"/>
        <v/>
      </c>
      <c r="F68" s="196" t="str">
        <f t="shared" si="0"/>
        <v/>
      </c>
      <c r="G68" s="190" t="str">
        <f t="shared" si="4"/>
        <v/>
      </c>
      <c r="H68" s="503" t="str">
        <f t="shared" si="5"/>
        <v/>
      </c>
      <c r="I68" s="49"/>
    </row>
    <row r="69" spans="2:9" ht="20.100000000000001" customHeight="1" x14ac:dyDescent="0.3">
      <c r="B69" s="198">
        <v>61</v>
      </c>
      <c r="C69" s="501" t="str">
        <f t="shared" si="1"/>
        <v/>
      </c>
      <c r="D69" s="502" t="str">
        <f t="shared" si="2"/>
        <v/>
      </c>
      <c r="E69" s="190" t="str">
        <f t="shared" si="3"/>
        <v/>
      </c>
      <c r="F69" s="196" t="str">
        <f t="shared" si="0"/>
        <v/>
      </c>
      <c r="G69" s="190" t="str">
        <f t="shared" si="4"/>
        <v/>
      </c>
      <c r="H69" s="503" t="str">
        <f t="shared" si="5"/>
        <v/>
      </c>
      <c r="I69" s="49"/>
    </row>
    <row r="70" spans="2:9" ht="20.100000000000001" customHeight="1" x14ac:dyDescent="0.3">
      <c r="B70" s="198">
        <v>62</v>
      </c>
      <c r="C70" s="501" t="str">
        <f t="shared" si="1"/>
        <v/>
      </c>
      <c r="D70" s="502" t="str">
        <f t="shared" si="2"/>
        <v/>
      </c>
      <c r="E70" s="190" t="str">
        <f t="shared" si="3"/>
        <v/>
      </c>
      <c r="F70" s="196" t="str">
        <f t="shared" si="0"/>
        <v/>
      </c>
      <c r="G70" s="190" t="str">
        <f t="shared" si="4"/>
        <v/>
      </c>
      <c r="H70" s="503" t="str">
        <f t="shared" si="5"/>
        <v/>
      </c>
      <c r="I70" s="49"/>
    </row>
    <row r="71" spans="2:9" ht="20.100000000000001" customHeight="1" x14ac:dyDescent="0.3">
      <c r="B71" s="198">
        <v>63</v>
      </c>
      <c r="C71" s="501" t="str">
        <f t="shared" si="1"/>
        <v/>
      </c>
      <c r="D71" s="502" t="str">
        <f t="shared" si="2"/>
        <v/>
      </c>
      <c r="E71" s="190" t="str">
        <f t="shared" si="3"/>
        <v/>
      </c>
      <c r="F71" s="196" t="str">
        <f t="shared" si="0"/>
        <v/>
      </c>
      <c r="G71" s="190" t="str">
        <f t="shared" si="4"/>
        <v/>
      </c>
      <c r="H71" s="503" t="str">
        <f t="shared" si="5"/>
        <v/>
      </c>
      <c r="I71" s="49"/>
    </row>
    <row r="72" spans="2:9" ht="20.100000000000001" customHeight="1" x14ac:dyDescent="0.3">
      <c r="B72" s="198">
        <v>64</v>
      </c>
      <c r="C72" s="501" t="str">
        <f t="shared" si="1"/>
        <v/>
      </c>
      <c r="D72" s="502" t="str">
        <f t="shared" si="2"/>
        <v/>
      </c>
      <c r="E72" s="190" t="str">
        <f t="shared" si="3"/>
        <v/>
      </c>
      <c r="F72" s="196" t="str">
        <f t="shared" si="0"/>
        <v/>
      </c>
      <c r="G72" s="190" t="str">
        <f t="shared" si="4"/>
        <v/>
      </c>
      <c r="H72" s="503" t="str">
        <f t="shared" si="5"/>
        <v/>
      </c>
      <c r="I72" s="49"/>
    </row>
    <row r="73" spans="2:9" ht="20.100000000000001" customHeight="1" x14ac:dyDescent="0.3">
      <c r="B73" s="198">
        <v>65</v>
      </c>
      <c r="C73" s="501" t="str">
        <f t="shared" si="1"/>
        <v/>
      </c>
      <c r="D73" s="502" t="str">
        <f t="shared" si="2"/>
        <v/>
      </c>
      <c r="E73" s="190" t="str">
        <f t="shared" si="3"/>
        <v/>
      </c>
      <c r="F73" s="196" t="str">
        <f t="shared" si="0"/>
        <v/>
      </c>
      <c r="G73" s="190" t="str">
        <f t="shared" si="4"/>
        <v/>
      </c>
      <c r="H73" s="503" t="str">
        <f t="shared" si="5"/>
        <v/>
      </c>
      <c r="I73" s="49"/>
    </row>
    <row r="74" spans="2:9" ht="20.100000000000001" customHeight="1" x14ac:dyDescent="0.3">
      <c r="B74" s="198">
        <v>66</v>
      </c>
      <c r="C74" s="501" t="str">
        <f t="shared" si="1"/>
        <v/>
      </c>
      <c r="D74" s="502" t="str">
        <f t="shared" si="2"/>
        <v/>
      </c>
      <c r="E74" s="190" t="str">
        <f t="shared" si="3"/>
        <v/>
      </c>
      <c r="F74" s="196" t="str">
        <f t="shared" ref="F74:F137" si="6">IF($H$4="","",IF($F$4="원리금균등상환",IFERROR(D74+E74,""),IF($F$4="원금균등상환",D74+E74,"")))</f>
        <v/>
      </c>
      <c r="G74" s="190" t="str">
        <f t="shared" si="4"/>
        <v/>
      </c>
      <c r="H74" s="503" t="str">
        <f t="shared" si="5"/>
        <v/>
      </c>
      <c r="I74" s="49"/>
    </row>
    <row r="75" spans="2:9" ht="20.100000000000001" customHeight="1" x14ac:dyDescent="0.3">
      <c r="B75" s="198">
        <v>67</v>
      </c>
      <c r="C75" s="501" t="str">
        <f t="shared" ref="C75:C138" si="7">IF($H$4="","",IF(B75&gt;($B$6),"",IF(B75&lt;=($B$6),DATE(YEAR($G$4),MONTH($G$4)+B74,DAY($G$4)),"")))</f>
        <v/>
      </c>
      <c r="D75" s="502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190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196" t="str">
        <f t="shared" si="6"/>
        <v/>
      </c>
      <c r="G75" s="190" t="str">
        <f t="shared" ref="G75:G138" si="10">IFERROR(IF(B75&gt;(($D$6+$B$6)*12),"",IF(B75=1,D75,D75+G74)),"")</f>
        <v/>
      </c>
      <c r="H75" s="503" t="str">
        <f t="shared" ref="H75:H138" si="11">IFERROR(IF($H$4="","",H74-D75),"")</f>
        <v/>
      </c>
      <c r="I75" s="49"/>
    </row>
    <row r="76" spans="2:9" ht="20.100000000000001" customHeight="1" x14ac:dyDescent="0.3">
      <c r="B76" s="198">
        <v>68</v>
      </c>
      <c r="C76" s="501" t="str">
        <f t="shared" si="7"/>
        <v/>
      </c>
      <c r="D76" s="502" t="str">
        <f t="shared" si="8"/>
        <v/>
      </c>
      <c r="E76" s="190" t="str">
        <f t="shared" si="9"/>
        <v/>
      </c>
      <c r="F76" s="196" t="str">
        <f t="shared" si="6"/>
        <v/>
      </c>
      <c r="G76" s="190" t="str">
        <f t="shared" si="10"/>
        <v/>
      </c>
      <c r="H76" s="503" t="str">
        <f t="shared" si="11"/>
        <v/>
      </c>
      <c r="I76" s="49"/>
    </row>
    <row r="77" spans="2:9" ht="20.100000000000001" customHeight="1" x14ac:dyDescent="0.3">
      <c r="B77" s="198">
        <v>69</v>
      </c>
      <c r="C77" s="501" t="str">
        <f t="shared" si="7"/>
        <v/>
      </c>
      <c r="D77" s="502" t="str">
        <f t="shared" si="8"/>
        <v/>
      </c>
      <c r="E77" s="190" t="str">
        <f t="shared" si="9"/>
        <v/>
      </c>
      <c r="F77" s="196" t="str">
        <f t="shared" si="6"/>
        <v/>
      </c>
      <c r="G77" s="190" t="str">
        <f t="shared" si="10"/>
        <v/>
      </c>
      <c r="H77" s="503" t="str">
        <f t="shared" si="11"/>
        <v/>
      </c>
      <c r="I77" s="49"/>
    </row>
    <row r="78" spans="2:9" ht="20.100000000000001" customHeight="1" x14ac:dyDescent="0.3">
      <c r="B78" s="198">
        <v>70</v>
      </c>
      <c r="C78" s="501" t="str">
        <f t="shared" si="7"/>
        <v/>
      </c>
      <c r="D78" s="502" t="str">
        <f t="shared" si="8"/>
        <v/>
      </c>
      <c r="E78" s="190" t="str">
        <f t="shared" si="9"/>
        <v/>
      </c>
      <c r="F78" s="196" t="str">
        <f t="shared" si="6"/>
        <v/>
      </c>
      <c r="G78" s="190" t="str">
        <f t="shared" si="10"/>
        <v/>
      </c>
      <c r="H78" s="503" t="str">
        <f t="shared" si="11"/>
        <v/>
      </c>
      <c r="I78" s="49"/>
    </row>
    <row r="79" spans="2:9" ht="20.100000000000001" customHeight="1" x14ac:dyDescent="0.3">
      <c r="B79" s="198">
        <v>71</v>
      </c>
      <c r="C79" s="501" t="str">
        <f t="shared" si="7"/>
        <v/>
      </c>
      <c r="D79" s="502" t="str">
        <f t="shared" si="8"/>
        <v/>
      </c>
      <c r="E79" s="190" t="str">
        <f t="shared" si="9"/>
        <v/>
      </c>
      <c r="F79" s="196" t="str">
        <f t="shared" si="6"/>
        <v/>
      </c>
      <c r="G79" s="190" t="str">
        <f t="shared" si="10"/>
        <v/>
      </c>
      <c r="H79" s="503" t="str">
        <f t="shared" si="11"/>
        <v/>
      </c>
      <c r="I79" s="49"/>
    </row>
    <row r="80" spans="2:9" ht="20.100000000000001" customHeight="1" x14ac:dyDescent="0.3">
      <c r="B80" s="198">
        <v>72</v>
      </c>
      <c r="C80" s="501" t="str">
        <f t="shared" si="7"/>
        <v/>
      </c>
      <c r="D80" s="502" t="str">
        <f t="shared" si="8"/>
        <v/>
      </c>
      <c r="E80" s="190" t="str">
        <f t="shared" si="9"/>
        <v/>
      </c>
      <c r="F80" s="196" t="str">
        <f t="shared" si="6"/>
        <v/>
      </c>
      <c r="G80" s="190" t="str">
        <f t="shared" si="10"/>
        <v/>
      </c>
      <c r="H80" s="503" t="str">
        <f t="shared" si="11"/>
        <v/>
      </c>
      <c r="I80" s="49"/>
    </row>
    <row r="81" spans="2:9" ht="20.100000000000001" customHeight="1" x14ac:dyDescent="0.3">
      <c r="B81" s="198">
        <v>73</v>
      </c>
      <c r="C81" s="501" t="str">
        <f t="shared" si="7"/>
        <v/>
      </c>
      <c r="D81" s="502" t="str">
        <f t="shared" si="8"/>
        <v/>
      </c>
      <c r="E81" s="190" t="str">
        <f t="shared" si="9"/>
        <v/>
      </c>
      <c r="F81" s="196" t="str">
        <f t="shared" si="6"/>
        <v/>
      </c>
      <c r="G81" s="190" t="str">
        <f t="shared" si="10"/>
        <v/>
      </c>
      <c r="H81" s="503" t="str">
        <f t="shared" si="11"/>
        <v/>
      </c>
      <c r="I81" s="49"/>
    </row>
    <row r="82" spans="2:9" ht="20.100000000000001" customHeight="1" x14ac:dyDescent="0.3">
      <c r="B82" s="198">
        <v>74</v>
      </c>
      <c r="C82" s="501" t="str">
        <f t="shared" si="7"/>
        <v/>
      </c>
      <c r="D82" s="502" t="str">
        <f t="shared" si="8"/>
        <v/>
      </c>
      <c r="E82" s="190" t="str">
        <f t="shared" si="9"/>
        <v/>
      </c>
      <c r="F82" s="196" t="str">
        <f t="shared" si="6"/>
        <v/>
      </c>
      <c r="G82" s="190" t="str">
        <f t="shared" si="10"/>
        <v/>
      </c>
      <c r="H82" s="503" t="str">
        <f t="shared" si="11"/>
        <v/>
      </c>
      <c r="I82" s="49"/>
    </row>
    <row r="83" spans="2:9" ht="20.100000000000001" customHeight="1" x14ac:dyDescent="0.3">
      <c r="B83" s="198">
        <v>75</v>
      </c>
      <c r="C83" s="501" t="str">
        <f t="shared" si="7"/>
        <v/>
      </c>
      <c r="D83" s="502" t="str">
        <f t="shared" si="8"/>
        <v/>
      </c>
      <c r="E83" s="190" t="str">
        <f t="shared" si="9"/>
        <v/>
      </c>
      <c r="F83" s="196" t="str">
        <f t="shared" si="6"/>
        <v/>
      </c>
      <c r="G83" s="190" t="str">
        <f t="shared" si="10"/>
        <v/>
      </c>
      <c r="H83" s="503" t="str">
        <f t="shared" si="11"/>
        <v/>
      </c>
      <c r="I83" s="49"/>
    </row>
    <row r="84" spans="2:9" ht="20.100000000000001" customHeight="1" x14ac:dyDescent="0.3">
      <c r="B84" s="198">
        <v>76</v>
      </c>
      <c r="C84" s="501" t="str">
        <f t="shared" si="7"/>
        <v/>
      </c>
      <c r="D84" s="502" t="str">
        <f t="shared" si="8"/>
        <v/>
      </c>
      <c r="E84" s="190" t="str">
        <f t="shared" si="9"/>
        <v/>
      </c>
      <c r="F84" s="196" t="str">
        <f t="shared" si="6"/>
        <v/>
      </c>
      <c r="G84" s="190" t="str">
        <f t="shared" si="10"/>
        <v/>
      </c>
      <c r="H84" s="503" t="str">
        <f t="shared" si="11"/>
        <v/>
      </c>
      <c r="I84" s="49"/>
    </row>
    <row r="85" spans="2:9" ht="20.100000000000001" customHeight="1" x14ac:dyDescent="0.3">
      <c r="B85" s="198">
        <v>77</v>
      </c>
      <c r="C85" s="501" t="str">
        <f t="shared" si="7"/>
        <v/>
      </c>
      <c r="D85" s="502" t="str">
        <f t="shared" si="8"/>
        <v/>
      </c>
      <c r="E85" s="190" t="str">
        <f t="shared" si="9"/>
        <v/>
      </c>
      <c r="F85" s="196" t="str">
        <f t="shared" si="6"/>
        <v/>
      </c>
      <c r="G85" s="190" t="str">
        <f t="shared" si="10"/>
        <v/>
      </c>
      <c r="H85" s="503" t="str">
        <f t="shared" si="11"/>
        <v/>
      </c>
      <c r="I85" s="49"/>
    </row>
    <row r="86" spans="2:9" ht="20.100000000000001" customHeight="1" x14ac:dyDescent="0.3">
      <c r="B86" s="198">
        <v>78</v>
      </c>
      <c r="C86" s="501" t="str">
        <f t="shared" si="7"/>
        <v/>
      </c>
      <c r="D86" s="502" t="str">
        <f t="shared" si="8"/>
        <v/>
      </c>
      <c r="E86" s="190" t="str">
        <f t="shared" si="9"/>
        <v/>
      </c>
      <c r="F86" s="196" t="str">
        <f t="shared" si="6"/>
        <v/>
      </c>
      <c r="G86" s="190" t="str">
        <f t="shared" si="10"/>
        <v/>
      </c>
      <c r="H86" s="503" t="str">
        <f t="shared" si="11"/>
        <v/>
      </c>
      <c r="I86" s="49"/>
    </row>
    <row r="87" spans="2:9" ht="20.100000000000001" customHeight="1" x14ac:dyDescent="0.3">
      <c r="B87" s="198">
        <v>79</v>
      </c>
      <c r="C87" s="501" t="str">
        <f t="shared" si="7"/>
        <v/>
      </c>
      <c r="D87" s="502" t="str">
        <f t="shared" si="8"/>
        <v/>
      </c>
      <c r="E87" s="190" t="str">
        <f t="shared" si="9"/>
        <v/>
      </c>
      <c r="F87" s="196" t="str">
        <f t="shared" si="6"/>
        <v/>
      </c>
      <c r="G87" s="190" t="str">
        <f t="shared" si="10"/>
        <v/>
      </c>
      <c r="H87" s="503" t="str">
        <f t="shared" si="11"/>
        <v/>
      </c>
      <c r="I87" s="49"/>
    </row>
    <row r="88" spans="2:9" ht="20.100000000000001" customHeight="1" x14ac:dyDescent="0.3">
      <c r="B88" s="198">
        <v>80</v>
      </c>
      <c r="C88" s="501" t="str">
        <f t="shared" si="7"/>
        <v/>
      </c>
      <c r="D88" s="502" t="str">
        <f t="shared" si="8"/>
        <v/>
      </c>
      <c r="E88" s="190" t="str">
        <f t="shared" si="9"/>
        <v/>
      </c>
      <c r="F88" s="196" t="str">
        <f t="shared" si="6"/>
        <v/>
      </c>
      <c r="G88" s="190" t="str">
        <f t="shared" si="10"/>
        <v/>
      </c>
      <c r="H88" s="503" t="str">
        <f t="shared" si="11"/>
        <v/>
      </c>
      <c r="I88" s="49"/>
    </row>
    <row r="89" spans="2:9" ht="20.100000000000001" customHeight="1" x14ac:dyDescent="0.3">
      <c r="B89" s="198">
        <v>81</v>
      </c>
      <c r="C89" s="501" t="str">
        <f t="shared" si="7"/>
        <v/>
      </c>
      <c r="D89" s="502" t="str">
        <f t="shared" si="8"/>
        <v/>
      </c>
      <c r="E89" s="190" t="str">
        <f t="shared" si="9"/>
        <v/>
      </c>
      <c r="F89" s="196" t="str">
        <f t="shared" si="6"/>
        <v/>
      </c>
      <c r="G89" s="190" t="str">
        <f t="shared" si="10"/>
        <v/>
      </c>
      <c r="H89" s="503" t="str">
        <f t="shared" si="11"/>
        <v/>
      </c>
      <c r="I89" s="49"/>
    </row>
    <row r="90" spans="2:9" ht="20.100000000000001" customHeight="1" x14ac:dyDescent="0.3">
      <c r="B90" s="198">
        <v>82</v>
      </c>
      <c r="C90" s="501" t="str">
        <f t="shared" si="7"/>
        <v/>
      </c>
      <c r="D90" s="502" t="str">
        <f t="shared" si="8"/>
        <v/>
      </c>
      <c r="E90" s="190" t="str">
        <f t="shared" si="9"/>
        <v/>
      </c>
      <c r="F90" s="196" t="str">
        <f t="shared" si="6"/>
        <v/>
      </c>
      <c r="G90" s="190" t="str">
        <f t="shared" si="10"/>
        <v/>
      </c>
      <c r="H90" s="503" t="str">
        <f t="shared" si="11"/>
        <v/>
      </c>
      <c r="I90" s="49"/>
    </row>
    <row r="91" spans="2:9" ht="20.100000000000001" customHeight="1" x14ac:dyDescent="0.3">
      <c r="B91" s="198">
        <v>83</v>
      </c>
      <c r="C91" s="501" t="str">
        <f t="shared" si="7"/>
        <v/>
      </c>
      <c r="D91" s="502" t="str">
        <f t="shared" si="8"/>
        <v/>
      </c>
      <c r="E91" s="190" t="str">
        <f t="shared" si="9"/>
        <v/>
      </c>
      <c r="F91" s="196" t="str">
        <f t="shared" si="6"/>
        <v/>
      </c>
      <c r="G91" s="190" t="str">
        <f t="shared" si="10"/>
        <v/>
      </c>
      <c r="H91" s="503" t="str">
        <f t="shared" si="11"/>
        <v/>
      </c>
      <c r="I91" s="49"/>
    </row>
    <row r="92" spans="2:9" ht="20.100000000000001" customHeight="1" x14ac:dyDescent="0.3">
      <c r="B92" s="198">
        <v>84</v>
      </c>
      <c r="C92" s="501" t="str">
        <f t="shared" si="7"/>
        <v/>
      </c>
      <c r="D92" s="502" t="str">
        <f t="shared" si="8"/>
        <v/>
      </c>
      <c r="E92" s="190" t="str">
        <f t="shared" si="9"/>
        <v/>
      </c>
      <c r="F92" s="196" t="str">
        <f t="shared" si="6"/>
        <v/>
      </c>
      <c r="G92" s="190" t="str">
        <f t="shared" si="10"/>
        <v/>
      </c>
      <c r="H92" s="503" t="str">
        <f t="shared" si="11"/>
        <v/>
      </c>
      <c r="I92" s="49"/>
    </row>
    <row r="93" spans="2:9" ht="20.100000000000001" customHeight="1" x14ac:dyDescent="0.3">
      <c r="B93" s="198">
        <v>85</v>
      </c>
      <c r="C93" s="501" t="str">
        <f t="shared" si="7"/>
        <v/>
      </c>
      <c r="D93" s="502" t="str">
        <f t="shared" si="8"/>
        <v/>
      </c>
      <c r="E93" s="190" t="str">
        <f t="shared" si="9"/>
        <v/>
      </c>
      <c r="F93" s="196" t="str">
        <f t="shared" si="6"/>
        <v/>
      </c>
      <c r="G93" s="190" t="str">
        <f t="shared" si="10"/>
        <v/>
      </c>
      <c r="H93" s="503" t="str">
        <f t="shared" si="11"/>
        <v/>
      </c>
      <c r="I93" s="49"/>
    </row>
    <row r="94" spans="2:9" ht="20.100000000000001" customHeight="1" x14ac:dyDescent="0.3">
      <c r="B94" s="198">
        <v>86</v>
      </c>
      <c r="C94" s="501" t="str">
        <f t="shared" si="7"/>
        <v/>
      </c>
      <c r="D94" s="502" t="str">
        <f t="shared" si="8"/>
        <v/>
      </c>
      <c r="E94" s="190" t="str">
        <f t="shared" si="9"/>
        <v/>
      </c>
      <c r="F94" s="196" t="str">
        <f t="shared" si="6"/>
        <v/>
      </c>
      <c r="G94" s="190" t="str">
        <f t="shared" si="10"/>
        <v/>
      </c>
      <c r="H94" s="503" t="str">
        <f t="shared" si="11"/>
        <v/>
      </c>
      <c r="I94" s="49"/>
    </row>
    <row r="95" spans="2:9" ht="20.100000000000001" customHeight="1" x14ac:dyDescent="0.3">
      <c r="B95" s="198">
        <v>87</v>
      </c>
      <c r="C95" s="501" t="str">
        <f t="shared" si="7"/>
        <v/>
      </c>
      <c r="D95" s="502" t="str">
        <f t="shared" si="8"/>
        <v/>
      </c>
      <c r="E95" s="190" t="str">
        <f t="shared" si="9"/>
        <v/>
      </c>
      <c r="F95" s="196" t="str">
        <f t="shared" si="6"/>
        <v/>
      </c>
      <c r="G95" s="190" t="str">
        <f t="shared" si="10"/>
        <v/>
      </c>
      <c r="H95" s="503" t="str">
        <f t="shared" si="11"/>
        <v/>
      </c>
      <c r="I95" s="49"/>
    </row>
    <row r="96" spans="2:9" ht="20.100000000000001" customHeight="1" x14ac:dyDescent="0.3">
      <c r="B96" s="198">
        <v>88</v>
      </c>
      <c r="C96" s="501" t="str">
        <f t="shared" si="7"/>
        <v/>
      </c>
      <c r="D96" s="502" t="str">
        <f t="shared" si="8"/>
        <v/>
      </c>
      <c r="E96" s="190" t="str">
        <f t="shared" si="9"/>
        <v/>
      </c>
      <c r="F96" s="196" t="str">
        <f t="shared" si="6"/>
        <v/>
      </c>
      <c r="G96" s="190" t="str">
        <f t="shared" si="10"/>
        <v/>
      </c>
      <c r="H96" s="503" t="str">
        <f t="shared" si="11"/>
        <v/>
      </c>
      <c r="I96" s="49"/>
    </row>
    <row r="97" spans="2:9" ht="20.100000000000001" customHeight="1" x14ac:dyDescent="0.3">
      <c r="B97" s="198">
        <v>89</v>
      </c>
      <c r="C97" s="501" t="str">
        <f t="shared" si="7"/>
        <v/>
      </c>
      <c r="D97" s="502" t="str">
        <f t="shared" si="8"/>
        <v/>
      </c>
      <c r="E97" s="190" t="str">
        <f t="shared" si="9"/>
        <v/>
      </c>
      <c r="F97" s="196" t="str">
        <f t="shared" si="6"/>
        <v/>
      </c>
      <c r="G97" s="190" t="str">
        <f t="shared" si="10"/>
        <v/>
      </c>
      <c r="H97" s="503" t="str">
        <f t="shared" si="11"/>
        <v/>
      </c>
      <c r="I97" s="49"/>
    </row>
    <row r="98" spans="2:9" ht="20.100000000000001" customHeight="1" x14ac:dyDescent="0.3">
      <c r="B98" s="198">
        <v>90</v>
      </c>
      <c r="C98" s="501" t="str">
        <f t="shared" si="7"/>
        <v/>
      </c>
      <c r="D98" s="502" t="str">
        <f t="shared" si="8"/>
        <v/>
      </c>
      <c r="E98" s="190" t="str">
        <f t="shared" si="9"/>
        <v/>
      </c>
      <c r="F98" s="196" t="str">
        <f t="shared" si="6"/>
        <v/>
      </c>
      <c r="G98" s="190" t="str">
        <f t="shared" si="10"/>
        <v/>
      </c>
      <c r="H98" s="503" t="str">
        <f t="shared" si="11"/>
        <v/>
      </c>
      <c r="I98" s="49"/>
    </row>
    <row r="99" spans="2:9" ht="20.100000000000001" customHeight="1" x14ac:dyDescent="0.3">
      <c r="B99" s="198">
        <v>91</v>
      </c>
      <c r="C99" s="501" t="str">
        <f t="shared" si="7"/>
        <v/>
      </c>
      <c r="D99" s="502" t="str">
        <f t="shared" si="8"/>
        <v/>
      </c>
      <c r="E99" s="190" t="str">
        <f t="shared" si="9"/>
        <v/>
      </c>
      <c r="F99" s="196" t="str">
        <f t="shared" si="6"/>
        <v/>
      </c>
      <c r="G99" s="190" t="str">
        <f t="shared" si="10"/>
        <v/>
      </c>
      <c r="H99" s="503" t="str">
        <f t="shared" si="11"/>
        <v/>
      </c>
      <c r="I99" s="49"/>
    </row>
    <row r="100" spans="2:9" ht="20.100000000000001" customHeight="1" x14ac:dyDescent="0.3">
      <c r="B100" s="198">
        <v>92</v>
      </c>
      <c r="C100" s="501" t="str">
        <f t="shared" si="7"/>
        <v/>
      </c>
      <c r="D100" s="502" t="str">
        <f t="shared" si="8"/>
        <v/>
      </c>
      <c r="E100" s="190" t="str">
        <f t="shared" si="9"/>
        <v/>
      </c>
      <c r="F100" s="196" t="str">
        <f t="shared" si="6"/>
        <v/>
      </c>
      <c r="G100" s="190" t="str">
        <f t="shared" si="10"/>
        <v/>
      </c>
      <c r="H100" s="503" t="str">
        <f t="shared" si="11"/>
        <v/>
      </c>
      <c r="I100" s="49"/>
    </row>
    <row r="101" spans="2:9" ht="20.100000000000001" customHeight="1" x14ac:dyDescent="0.3">
      <c r="B101" s="198">
        <v>93</v>
      </c>
      <c r="C101" s="501" t="str">
        <f t="shared" si="7"/>
        <v/>
      </c>
      <c r="D101" s="502" t="str">
        <f t="shared" si="8"/>
        <v/>
      </c>
      <c r="E101" s="190" t="str">
        <f t="shared" si="9"/>
        <v/>
      </c>
      <c r="F101" s="196" t="str">
        <f t="shared" si="6"/>
        <v/>
      </c>
      <c r="G101" s="190" t="str">
        <f t="shared" si="10"/>
        <v/>
      </c>
      <c r="H101" s="503" t="str">
        <f t="shared" si="11"/>
        <v/>
      </c>
      <c r="I101" s="49"/>
    </row>
    <row r="102" spans="2:9" ht="20.100000000000001" customHeight="1" x14ac:dyDescent="0.3">
      <c r="B102" s="198">
        <v>94</v>
      </c>
      <c r="C102" s="501" t="str">
        <f t="shared" si="7"/>
        <v/>
      </c>
      <c r="D102" s="502" t="str">
        <f t="shared" si="8"/>
        <v/>
      </c>
      <c r="E102" s="190" t="str">
        <f t="shared" si="9"/>
        <v/>
      </c>
      <c r="F102" s="196" t="str">
        <f t="shared" si="6"/>
        <v/>
      </c>
      <c r="G102" s="190" t="str">
        <f t="shared" si="10"/>
        <v/>
      </c>
      <c r="H102" s="503" t="str">
        <f t="shared" si="11"/>
        <v/>
      </c>
      <c r="I102" s="49"/>
    </row>
    <row r="103" spans="2:9" ht="20.100000000000001" customHeight="1" x14ac:dyDescent="0.3">
      <c r="B103" s="198">
        <v>95</v>
      </c>
      <c r="C103" s="501" t="str">
        <f t="shared" si="7"/>
        <v/>
      </c>
      <c r="D103" s="502" t="str">
        <f t="shared" si="8"/>
        <v/>
      </c>
      <c r="E103" s="190" t="str">
        <f t="shared" si="9"/>
        <v/>
      </c>
      <c r="F103" s="196" t="str">
        <f t="shared" si="6"/>
        <v/>
      </c>
      <c r="G103" s="190" t="str">
        <f t="shared" si="10"/>
        <v/>
      </c>
      <c r="H103" s="503" t="str">
        <f t="shared" si="11"/>
        <v/>
      </c>
      <c r="I103" s="49"/>
    </row>
    <row r="104" spans="2:9" ht="20.100000000000001" customHeight="1" x14ac:dyDescent="0.3">
      <c r="B104" s="198">
        <v>96</v>
      </c>
      <c r="C104" s="501" t="str">
        <f t="shared" si="7"/>
        <v/>
      </c>
      <c r="D104" s="502" t="str">
        <f t="shared" si="8"/>
        <v/>
      </c>
      <c r="E104" s="190" t="str">
        <f t="shared" si="9"/>
        <v/>
      </c>
      <c r="F104" s="196" t="str">
        <f t="shared" si="6"/>
        <v/>
      </c>
      <c r="G104" s="190" t="str">
        <f t="shared" si="10"/>
        <v/>
      </c>
      <c r="H104" s="503" t="str">
        <f t="shared" si="11"/>
        <v/>
      </c>
      <c r="I104" s="49"/>
    </row>
    <row r="105" spans="2:9" ht="20.100000000000001" customHeight="1" x14ac:dyDescent="0.3">
      <c r="B105" s="198">
        <v>97</v>
      </c>
      <c r="C105" s="501" t="str">
        <f t="shared" si="7"/>
        <v/>
      </c>
      <c r="D105" s="502" t="str">
        <f t="shared" si="8"/>
        <v/>
      </c>
      <c r="E105" s="190" t="str">
        <f t="shared" si="9"/>
        <v/>
      </c>
      <c r="F105" s="196" t="str">
        <f t="shared" si="6"/>
        <v/>
      </c>
      <c r="G105" s="190" t="str">
        <f t="shared" si="10"/>
        <v/>
      </c>
      <c r="H105" s="503" t="str">
        <f t="shared" si="11"/>
        <v/>
      </c>
      <c r="I105" s="49"/>
    </row>
    <row r="106" spans="2:9" ht="20.100000000000001" customHeight="1" x14ac:dyDescent="0.3">
      <c r="B106" s="198">
        <v>98</v>
      </c>
      <c r="C106" s="501" t="str">
        <f t="shared" si="7"/>
        <v/>
      </c>
      <c r="D106" s="502" t="str">
        <f t="shared" si="8"/>
        <v/>
      </c>
      <c r="E106" s="190" t="str">
        <f t="shared" si="9"/>
        <v/>
      </c>
      <c r="F106" s="196" t="str">
        <f t="shared" si="6"/>
        <v/>
      </c>
      <c r="G106" s="190" t="str">
        <f t="shared" si="10"/>
        <v/>
      </c>
      <c r="H106" s="503" t="str">
        <f t="shared" si="11"/>
        <v/>
      </c>
      <c r="I106" s="49"/>
    </row>
    <row r="107" spans="2:9" ht="20.100000000000001" customHeight="1" x14ac:dyDescent="0.3">
      <c r="B107" s="198">
        <v>99</v>
      </c>
      <c r="C107" s="501" t="str">
        <f t="shared" si="7"/>
        <v/>
      </c>
      <c r="D107" s="502" t="str">
        <f t="shared" si="8"/>
        <v/>
      </c>
      <c r="E107" s="190" t="str">
        <f t="shared" si="9"/>
        <v/>
      </c>
      <c r="F107" s="196" t="str">
        <f t="shared" si="6"/>
        <v/>
      </c>
      <c r="G107" s="190" t="str">
        <f t="shared" si="10"/>
        <v/>
      </c>
      <c r="H107" s="503" t="str">
        <f t="shared" si="11"/>
        <v/>
      </c>
      <c r="I107" s="49"/>
    </row>
    <row r="108" spans="2:9" ht="20.100000000000001" customHeight="1" x14ac:dyDescent="0.3">
      <c r="B108" s="198">
        <v>100</v>
      </c>
      <c r="C108" s="501" t="str">
        <f t="shared" si="7"/>
        <v/>
      </c>
      <c r="D108" s="502" t="str">
        <f t="shared" si="8"/>
        <v/>
      </c>
      <c r="E108" s="190" t="str">
        <f t="shared" si="9"/>
        <v/>
      </c>
      <c r="F108" s="196" t="str">
        <f t="shared" si="6"/>
        <v/>
      </c>
      <c r="G108" s="190" t="str">
        <f t="shared" si="10"/>
        <v/>
      </c>
      <c r="H108" s="503" t="str">
        <f t="shared" si="11"/>
        <v/>
      </c>
      <c r="I108" s="49"/>
    </row>
    <row r="109" spans="2:9" ht="20.100000000000001" customHeight="1" x14ac:dyDescent="0.3">
      <c r="B109" s="198">
        <v>101</v>
      </c>
      <c r="C109" s="501" t="str">
        <f t="shared" si="7"/>
        <v/>
      </c>
      <c r="D109" s="502" t="str">
        <f t="shared" si="8"/>
        <v/>
      </c>
      <c r="E109" s="190" t="str">
        <f t="shared" si="9"/>
        <v/>
      </c>
      <c r="F109" s="196" t="str">
        <f t="shared" si="6"/>
        <v/>
      </c>
      <c r="G109" s="190" t="str">
        <f t="shared" si="10"/>
        <v/>
      </c>
      <c r="H109" s="503" t="str">
        <f t="shared" si="11"/>
        <v/>
      </c>
      <c r="I109" s="49"/>
    </row>
    <row r="110" spans="2:9" ht="20.100000000000001" customHeight="1" x14ac:dyDescent="0.3">
      <c r="B110" s="198">
        <v>102</v>
      </c>
      <c r="C110" s="501" t="str">
        <f t="shared" si="7"/>
        <v/>
      </c>
      <c r="D110" s="502" t="str">
        <f t="shared" si="8"/>
        <v/>
      </c>
      <c r="E110" s="190" t="str">
        <f t="shared" si="9"/>
        <v/>
      </c>
      <c r="F110" s="196" t="str">
        <f t="shared" si="6"/>
        <v/>
      </c>
      <c r="G110" s="190" t="str">
        <f t="shared" si="10"/>
        <v/>
      </c>
      <c r="H110" s="503" t="str">
        <f t="shared" si="11"/>
        <v/>
      </c>
      <c r="I110" s="49"/>
    </row>
    <row r="111" spans="2:9" ht="20.100000000000001" customHeight="1" x14ac:dyDescent="0.3">
      <c r="B111" s="198">
        <v>103</v>
      </c>
      <c r="C111" s="501" t="str">
        <f t="shared" si="7"/>
        <v/>
      </c>
      <c r="D111" s="502" t="str">
        <f t="shared" si="8"/>
        <v/>
      </c>
      <c r="E111" s="190" t="str">
        <f t="shared" si="9"/>
        <v/>
      </c>
      <c r="F111" s="196" t="str">
        <f t="shared" si="6"/>
        <v/>
      </c>
      <c r="G111" s="190" t="str">
        <f t="shared" si="10"/>
        <v/>
      </c>
      <c r="H111" s="503" t="str">
        <f t="shared" si="11"/>
        <v/>
      </c>
      <c r="I111" s="49"/>
    </row>
    <row r="112" spans="2:9" ht="20.100000000000001" customHeight="1" x14ac:dyDescent="0.3">
      <c r="B112" s="198">
        <v>104</v>
      </c>
      <c r="C112" s="501" t="str">
        <f t="shared" si="7"/>
        <v/>
      </c>
      <c r="D112" s="502" t="str">
        <f t="shared" si="8"/>
        <v/>
      </c>
      <c r="E112" s="190" t="str">
        <f t="shared" si="9"/>
        <v/>
      </c>
      <c r="F112" s="196" t="str">
        <f t="shared" si="6"/>
        <v/>
      </c>
      <c r="G112" s="190" t="str">
        <f t="shared" si="10"/>
        <v/>
      </c>
      <c r="H112" s="503" t="str">
        <f t="shared" si="11"/>
        <v/>
      </c>
      <c r="I112" s="49"/>
    </row>
    <row r="113" spans="2:9" ht="20.100000000000001" customHeight="1" x14ac:dyDescent="0.3">
      <c r="B113" s="198">
        <v>105</v>
      </c>
      <c r="C113" s="501" t="str">
        <f t="shared" si="7"/>
        <v/>
      </c>
      <c r="D113" s="502" t="str">
        <f t="shared" si="8"/>
        <v/>
      </c>
      <c r="E113" s="190" t="str">
        <f t="shared" si="9"/>
        <v/>
      </c>
      <c r="F113" s="196" t="str">
        <f t="shared" si="6"/>
        <v/>
      </c>
      <c r="G113" s="190" t="str">
        <f t="shared" si="10"/>
        <v/>
      </c>
      <c r="H113" s="503" t="str">
        <f t="shared" si="11"/>
        <v/>
      </c>
      <c r="I113" s="49"/>
    </row>
    <row r="114" spans="2:9" ht="20.100000000000001" customHeight="1" x14ac:dyDescent="0.3">
      <c r="B114" s="198">
        <v>106</v>
      </c>
      <c r="C114" s="501" t="str">
        <f t="shared" si="7"/>
        <v/>
      </c>
      <c r="D114" s="502" t="str">
        <f t="shared" si="8"/>
        <v/>
      </c>
      <c r="E114" s="190" t="str">
        <f t="shared" si="9"/>
        <v/>
      </c>
      <c r="F114" s="196" t="str">
        <f t="shared" si="6"/>
        <v/>
      </c>
      <c r="G114" s="190" t="str">
        <f t="shared" si="10"/>
        <v/>
      </c>
      <c r="H114" s="503" t="str">
        <f t="shared" si="11"/>
        <v/>
      </c>
      <c r="I114" s="49"/>
    </row>
    <row r="115" spans="2:9" ht="20.100000000000001" customHeight="1" x14ac:dyDescent="0.3">
      <c r="B115" s="198">
        <v>107</v>
      </c>
      <c r="C115" s="501" t="str">
        <f t="shared" si="7"/>
        <v/>
      </c>
      <c r="D115" s="502" t="str">
        <f t="shared" si="8"/>
        <v/>
      </c>
      <c r="E115" s="190" t="str">
        <f t="shared" si="9"/>
        <v/>
      </c>
      <c r="F115" s="196" t="str">
        <f t="shared" si="6"/>
        <v/>
      </c>
      <c r="G115" s="190" t="str">
        <f t="shared" si="10"/>
        <v/>
      </c>
      <c r="H115" s="503" t="str">
        <f t="shared" si="11"/>
        <v/>
      </c>
      <c r="I115" s="49"/>
    </row>
    <row r="116" spans="2:9" ht="20.100000000000001" customHeight="1" x14ac:dyDescent="0.3">
      <c r="B116" s="198">
        <v>108</v>
      </c>
      <c r="C116" s="501" t="str">
        <f t="shared" si="7"/>
        <v/>
      </c>
      <c r="D116" s="502" t="str">
        <f t="shared" si="8"/>
        <v/>
      </c>
      <c r="E116" s="190" t="str">
        <f t="shared" si="9"/>
        <v/>
      </c>
      <c r="F116" s="196" t="str">
        <f t="shared" si="6"/>
        <v/>
      </c>
      <c r="G116" s="190" t="str">
        <f t="shared" si="10"/>
        <v/>
      </c>
      <c r="H116" s="503" t="str">
        <f t="shared" si="11"/>
        <v/>
      </c>
      <c r="I116" s="49"/>
    </row>
    <row r="117" spans="2:9" ht="20.100000000000001" customHeight="1" x14ac:dyDescent="0.3">
      <c r="B117" s="198">
        <v>109</v>
      </c>
      <c r="C117" s="501" t="str">
        <f t="shared" si="7"/>
        <v/>
      </c>
      <c r="D117" s="502" t="str">
        <f t="shared" si="8"/>
        <v/>
      </c>
      <c r="E117" s="190" t="str">
        <f t="shared" si="9"/>
        <v/>
      </c>
      <c r="F117" s="196" t="str">
        <f t="shared" si="6"/>
        <v/>
      </c>
      <c r="G117" s="190" t="str">
        <f t="shared" si="10"/>
        <v/>
      </c>
      <c r="H117" s="503" t="str">
        <f t="shared" si="11"/>
        <v/>
      </c>
      <c r="I117" s="49"/>
    </row>
    <row r="118" spans="2:9" ht="20.100000000000001" customHeight="1" x14ac:dyDescent="0.3">
      <c r="B118" s="198">
        <v>110</v>
      </c>
      <c r="C118" s="501" t="str">
        <f t="shared" si="7"/>
        <v/>
      </c>
      <c r="D118" s="502" t="str">
        <f t="shared" si="8"/>
        <v/>
      </c>
      <c r="E118" s="190" t="str">
        <f t="shared" si="9"/>
        <v/>
      </c>
      <c r="F118" s="196" t="str">
        <f t="shared" si="6"/>
        <v/>
      </c>
      <c r="G118" s="190" t="str">
        <f t="shared" si="10"/>
        <v/>
      </c>
      <c r="H118" s="503" t="str">
        <f t="shared" si="11"/>
        <v/>
      </c>
      <c r="I118" s="49"/>
    </row>
    <row r="119" spans="2:9" ht="20.100000000000001" customHeight="1" x14ac:dyDescent="0.3">
      <c r="B119" s="198">
        <v>111</v>
      </c>
      <c r="C119" s="501" t="str">
        <f t="shared" si="7"/>
        <v/>
      </c>
      <c r="D119" s="502" t="str">
        <f t="shared" si="8"/>
        <v/>
      </c>
      <c r="E119" s="190" t="str">
        <f t="shared" si="9"/>
        <v/>
      </c>
      <c r="F119" s="196" t="str">
        <f t="shared" si="6"/>
        <v/>
      </c>
      <c r="G119" s="190" t="str">
        <f t="shared" si="10"/>
        <v/>
      </c>
      <c r="H119" s="503" t="str">
        <f t="shared" si="11"/>
        <v/>
      </c>
      <c r="I119" s="49"/>
    </row>
    <row r="120" spans="2:9" ht="20.100000000000001" customHeight="1" x14ac:dyDescent="0.3">
      <c r="B120" s="198">
        <v>112</v>
      </c>
      <c r="C120" s="501" t="str">
        <f t="shared" si="7"/>
        <v/>
      </c>
      <c r="D120" s="502" t="str">
        <f t="shared" si="8"/>
        <v/>
      </c>
      <c r="E120" s="190" t="str">
        <f t="shared" si="9"/>
        <v/>
      </c>
      <c r="F120" s="196" t="str">
        <f t="shared" si="6"/>
        <v/>
      </c>
      <c r="G120" s="190" t="str">
        <f t="shared" si="10"/>
        <v/>
      </c>
      <c r="H120" s="503" t="str">
        <f t="shared" si="11"/>
        <v/>
      </c>
      <c r="I120" s="49"/>
    </row>
    <row r="121" spans="2:9" ht="20.100000000000001" customHeight="1" x14ac:dyDescent="0.3">
      <c r="B121" s="198">
        <v>113</v>
      </c>
      <c r="C121" s="501" t="str">
        <f t="shared" si="7"/>
        <v/>
      </c>
      <c r="D121" s="502" t="str">
        <f t="shared" si="8"/>
        <v/>
      </c>
      <c r="E121" s="190" t="str">
        <f t="shared" si="9"/>
        <v/>
      </c>
      <c r="F121" s="196" t="str">
        <f t="shared" si="6"/>
        <v/>
      </c>
      <c r="G121" s="190" t="str">
        <f t="shared" si="10"/>
        <v/>
      </c>
      <c r="H121" s="503" t="str">
        <f t="shared" si="11"/>
        <v/>
      </c>
      <c r="I121" s="49"/>
    </row>
    <row r="122" spans="2:9" ht="20.100000000000001" customHeight="1" x14ac:dyDescent="0.3">
      <c r="B122" s="198">
        <v>114</v>
      </c>
      <c r="C122" s="501" t="str">
        <f t="shared" si="7"/>
        <v/>
      </c>
      <c r="D122" s="502" t="str">
        <f t="shared" si="8"/>
        <v/>
      </c>
      <c r="E122" s="190" t="str">
        <f t="shared" si="9"/>
        <v/>
      </c>
      <c r="F122" s="196" t="str">
        <f t="shared" si="6"/>
        <v/>
      </c>
      <c r="G122" s="190" t="str">
        <f t="shared" si="10"/>
        <v/>
      </c>
      <c r="H122" s="503" t="str">
        <f t="shared" si="11"/>
        <v/>
      </c>
      <c r="I122" s="49"/>
    </row>
    <row r="123" spans="2:9" ht="20.100000000000001" customHeight="1" x14ac:dyDescent="0.3">
      <c r="B123" s="198">
        <v>115</v>
      </c>
      <c r="C123" s="501" t="str">
        <f t="shared" si="7"/>
        <v/>
      </c>
      <c r="D123" s="502" t="str">
        <f t="shared" si="8"/>
        <v/>
      </c>
      <c r="E123" s="190" t="str">
        <f t="shared" si="9"/>
        <v/>
      </c>
      <c r="F123" s="196" t="str">
        <f t="shared" si="6"/>
        <v/>
      </c>
      <c r="G123" s="190" t="str">
        <f t="shared" si="10"/>
        <v/>
      </c>
      <c r="H123" s="503" t="str">
        <f t="shared" si="11"/>
        <v/>
      </c>
      <c r="I123" s="49"/>
    </row>
    <row r="124" spans="2:9" ht="20.100000000000001" customHeight="1" x14ac:dyDescent="0.3">
      <c r="B124" s="198">
        <v>116</v>
      </c>
      <c r="C124" s="501" t="str">
        <f t="shared" si="7"/>
        <v/>
      </c>
      <c r="D124" s="502" t="str">
        <f t="shared" si="8"/>
        <v/>
      </c>
      <c r="E124" s="190" t="str">
        <f t="shared" si="9"/>
        <v/>
      </c>
      <c r="F124" s="196" t="str">
        <f t="shared" si="6"/>
        <v/>
      </c>
      <c r="G124" s="190" t="str">
        <f t="shared" si="10"/>
        <v/>
      </c>
      <c r="H124" s="503" t="str">
        <f t="shared" si="11"/>
        <v/>
      </c>
      <c r="I124" s="49"/>
    </row>
    <row r="125" spans="2:9" ht="20.100000000000001" customHeight="1" x14ac:dyDescent="0.3">
      <c r="B125" s="198">
        <v>117</v>
      </c>
      <c r="C125" s="501" t="str">
        <f t="shared" si="7"/>
        <v/>
      </c>
      <c r="D125" s="502" t="str">
        <f t="shared" si="8"/>
        <v/>
      </c>
      <c r="E125" s="190" t="str">
        <f t="shared" si="9"/>
        <v/>
      </c>
      <c r="F125" s="196" t="str">
        <f t="shared" si="6"/>
        <v/>
      </c>
      <c r="G125" s="190" t="str">
        <f t="shared" si="10"/>
        <v/>
      </c>
      <c r="H125" s="503" t="str">
        <f t="shared" si="11"/>
        <v/>
      </c>
      <c r="I125" s="49"/>
    </row>
    <row r="126" spans="2:9" ht="20.100000000000001" customHeight="1" x14ac:dyDescent="0.3">
      <c r="B126" s="198">
        <v>118</v>
      </c>
      <c r="C126" s="501" t="str">
        <f t="shared" si="7"/>
        <v/>
      </c>
      <c r="D126" s="502" t="str">
        <f t="shared" si="8"/>
        <v/>
      </c>
      <c r="E126" s="190" t="str">
        <f t="shared" si="9"/>
        <v/>
      </c>
      <c r="F126" s="196" t="str">
        <f t="shared" si="6"/>
        <v/>
      </c>
      <c r="G126" s="190" t="str">
        <f t="shared" si="10"/>
        <v/>
      </c>
      <c r="H126" s="503" t="str">
        <f t="shared" si="11"/>
        <v/>
      </c>
      <c r="I126" s="49"/>
    </row>
    <row r="127" spans="2:9" ht="20.100000000000001" customHeight="1" x14ac:dyDescent="0.3">
      <c r="B127" s="198">
        <v>119</v>
      </c>
      <c r="C127" s="501" t="str">
        <f t="shared" si="7"/>
        <v/>
      </c>
      <c r="D127" s="502" t="str">
        <f t="shared" si="8"/>
        <v/>
      </c>
      <c r="E127" s="190" t="str">
        <f t="shared" si="9"/>
        <v/>
      </c>
      <c r="F127" s="196" t="str">
        <f t="shared" si="6"/>
        <v/>
      </c>
      <c r="G127" s="190" t="str">
        <f t="shared" si="10"/>
        <v/>
      </c>
      <c r="H127" s="503" t="str">
        <f t="shared" si="11"/>
        <v/>
      </c>
      <c r="I127" s="49"/>
    </row>
    <row r="128" spans="2:9" ht="20.100000000000001" customHeight="1" x14ac:dyDescent="0.3">
      <c r="B128" s="198">
        <v>120</v>
      </c>
      <c r="C128" s="501" t="str">
        <f t="shared" si="7"/>
        <v/>
      </c>
      <c r="D128" s="502" t="str">
        <f t="shared" si="8"/>
        <v/>
      </c>
      <c r="E128" s="190" t="str">
        <f t="shared" si="9"/>
        <v/>
      </c>
      <c r="F128" s="196" t="str">
        <f t="shared" si="6"/>
        <v/>
      </c>
      <c r="G128" s="190" t="str">
        <f t="shared" si="10"/>
        <v/>
      </c>
      <c r="H128" s="503" t="str">
        <f t="shared" si="11"/>
        <v/>
      </c>
      <c r="I128" s="49"/>
    </row>
    <row r="129" spans="2:9" ht="20.100000000000001" customHeight="1" x14ac:dyDescent="0.3">
      <c r="B129" s="198">
        <v>121</v>
      </c>
      <c r="C129" s="501" t="str">
        <f t="shared" si="7"/>
        <v/>
      </c>
      <c r="D129" s="502" t="str">
        <f t="shared" si="8"/>
        <v/>
      </c>
      <c r="E129" s="190" t="str">
        <f t="shared" si="9"/>
        <v/>
      </c>
      <c r="F129" s="196" t="str">
        <f t="shared" si="6"/>
        <v/>
      </c>
      <c r="G129" s="190" t="str">
        <f t="shared" si="10"/>
        <v/>
      </c>
      <c r="H129" s="503" t="str">
        <f t="shared" si="11"/>
        <v/>
      </c>
      <c r="I129" s="49"/>
    </row>
    <row r="130" spans="2:9" ht="20.100000000000001" customHeight="1" x14ac:dyDescent="0.3">
      <c r="B130" s="198">
        <v>122</v>
      </c>
      <c r="C130" s="501" t="str">
        <f t="shared" si="7"/>
        <v/>
      </c>
      <c r="D130" s="502" t="str">
        <f t="shared" si="8"/>
        <v/>
      </c>
      <c r="E130" s="190" t="str">
        <f t="shared" si="9"/>
        <v/>
      </c>
      <c r="F130" s="196" t="str">
        <f t="shared" si="6"/>
        <v/>
      </c>
      <c r="G130" s="190" t="str">
        <f t="shared" si="10"/>
        <v/>
      </c>
      <c r="H130" s="503" t="str">
        <f t="shared" si="11"/>
        <v/>
      </c>
      <c r="I130" s="49"/>
    </row>
    <row r="131" spans="2:9" ht="20.100000000000001" customHeight="1" x14ac:dyDescent="0.3">
      <c r="B131" s="198">
        <v>123</v>
      </c>
      <c r="C131" s="501" t="str">
        <f t="shared" si="7"/>
        <v/>
      </c>
      <c r="D131" s="502" t="str">
        <f t="shared" si="8"/>
        <v/>
      </c>
      <c r="E131" s="190" t="str">
        <f t="shared" si="9"/>
        <v/>
      </c>
      <c r="F131" s="196" t="str">
        <f t="shared" si="6"/>
        <v/>
      </c>
      <c r="G131" s="190" t="str">
        <f t="shared" si="10"/>
        <v/>
      </c>
      <c r="H131" s="503" t="str">
        <f t="shared" si="11"/>
        <v/>
      </c>
      <c r="I131" s="49"/>
    </row>
    <row r="132" spans="2:9" ht="20.100000000000001" customHeight="1" x14ac:dyDescent="0.3">
      <c r="B132" s="198">
        <v>124</v>
      </c>
      <c r="C132" s="501" t="str">
        <f t="shared" si="7"/>
        <v/>
      </c>
      <c r="D132" s="502" t="str">
        <f t="shared" si="8"/>
        <v/>
      </c>
      <c r="E132" s="190" t="str">
        <f t="shared" si="9"/>
        <v/>
      </c>
      <c r="F132" s="196" t="str">
        <f t="shared" si="6"/>
        <v/>
      </c>
      <c r="G132" s="190" t="str">
        <f t="shared" si="10"/>
        <v/>
      </c>
      <c r="H132" s="503" t="str">
        <f t="shared" si="11"/>
        <v/>
      </c>
      <c r="I132" s="49"/>
    </row>
    <row r="133" spans="2:9" ht="20.100000000000001" customHeight="1" x14ac:dyDescent="0.3">
      <c r="B133" s="198">
        <v>125</v>
      </c>
      <c r="C133" s="501" t="str">
        <f t="shared" si="7"/>
        <v/>
      </c>
      <c r="D133" s="502" t="str">
        <f t="shared" si="8"/>
        <v/>
      </c>
      <c r="E133" s="190" t="str">
        <f t="shared" si="9"/>
        <v/>
      </c>
      <c r="F133" s="196" t="str">
        <f t="shared" si="6"/>
        <v/>
      </c>
      <c r="G133" s="190" t="str">
        <f t="shared" si="10"/>
        <v/>
      </c>
      <c r="H133" s="503" t="str">
        <f t="shared" si="11"/>
        <v/>
      </c>
      <c r="I133" s="49"/>
    </row>
    <row r="134" spans="2:9" ht="20.100000000000001" customHeight="1" x14ac:dyDescent="0.3">
      <c r="B134" s="198">
        <v>126</v>
      </c>
      <c r="C134" s="501" t="str">
        <f t="shared" si="7"/>
        <v/>
      </c>
      <c r="D134" s="502" t="str">
        <f t="shared" si="8"/>
        <v/>
      </c>
      <c r="E134" s="190" t="str">
        <f t="shared" si="9"/>
        <v/>
      </c>
      <c r="F134" s="196" t="str">
        <f t="shared" si="6"/>
        <v/>
      </c>
      <c r="G134" s="190" t="str">
        <f t="shared" si="10"/>
        <v/>
      </c>
      <c r="H134" s="503" t="str">
        <f t="shared" si="11"/>
        <v/>
      </c>
      <c r="I134" s="49"/>
    </row>
    <row r="135" spans="2:9" ht="20.100000000000001" customHeight="1" x14ac:dyDescent="0.3">
      <c r="B135" s="198">
        <v>127</v>
      </c>
      <c r="C135" s="501" t="str">
        <f t="shared" si="7"/>
        <v/>
      </c>
      <c r="D135" s="502" t="str">
        <f t="shared" si="8"/>
        <v/>
      </c>
      <c r="E135" s="190" t="str">
        <f t="shared" si="9"/>
        <v/>
      </c>
      <c r="F135" s="196" t="str">
        <f t="shared" si="6"/>
        <v/>
      </c>
      <c r="G135" s="190" t="str">
        <f t="shared" si="10"/>
        <v/>
      </c>
      <c r="H135" s="503" t="str">
        <f t="shared" si="11"/>
        <v/>
      </c>
      <c r="I135" s="49"/>
    </row>
    <row r="136" spans="2:9" ht="20.100000000000001" customHeight="1" x14ac:dyDescent="0.3">
      <c r="B136" s="198">
        <v>128</v>
      </c>
      <c r="C136" s="501" t="str">
        <f t="shared" si="7"/>
        <v/>
      </c>
      <c r="D136" s="502" t="str">
        <f t="shared" si="8"/>
        <v/>
      </c>
      <c r="E136" s="190" t="str">
        <f t="shared" si="9"/>
        <v/>
      </c>
      <c r="F136" s="196" t="str">
        <f t="shared" si="6"/>
        <v/>
      </c>
      <c r="G136" s="190" t="str">
        <f t="shared" si="10"/>
        <v/>
      </c>
      <c r="H136" s="503" t="str">
        <f t="shared" si="11"/>
        <v/>
      </c>
      <c r="I136" s="49"/>
    </row>
    <row r="137" spans="2:9" ht="20.100000000000001" customHeight="1" x14ac:dyDescent="0.3">
      <c r="B137" s="198">
        <v>129</v>
      </c>
      <c r="C137" s="501" t="str">
        <f t="shared" si="7"/>
        <v/>
      </c>
      <c r="D137" s="502" t="str">
        <f t="shared" si="8"/>
        <v/>
      </c>
      <c r="E137" s="190" t="str">
        <f t="shared" si="9"/>
        <v/>
      </c>
      <c r="F137" s="196" t="str">
        <f t="shared" si="6"/>
        <v/>
      </c>
      <c r="G137" s="190" t="str">
        <f t="shared" si="10"/>
        <v/>
      </c>
      <c r="H137" s="503" t="str">
        <f t="shared" si="11"/>
        <v/>
      </c>
      <c r="I137" s="49"/>
    </row>
    <row r="138" spans="2:9" ht="20.100000000000001" customHeight="1" x14ac:dyDescent="0.3">
      <c r="B138" s="198">
        <v>130</v>
      </c>
      <c r="C138" s="501" t="str">
        <f t="shared" si="7"/>
        <v/>
      </c>
      <c r="D138" s="502" t="str">
        <f t="shared" si="8"/>
        <v/>
      </c>
      <c r="E138" s="190" t="str">
        <f t="shared" si="9"/>
        <v/>
      </c>
      <c r="F138" s="196" t="str">
        <f t="shared" ref="F138:F201" si="12">IF($H$4="","",IF($F$4="원리금균등상환",IFERROR(D138+E138,""),IF($F$4="원금균등상환",D138+E138,"")))</f>
        <v/>
      </c>
      <c r="G138" s="190" t="str">
        <f t="shared" si="10"/>
        <v/>
      </c>
      <c r="H138" s="503" t="str">
        <f t="shared" si="11"/>
        <v/>
      </c>
      <c r="I138" s="49"/>
    </row>
    <row r="139" spans="2:9" ht="20.100000000000001" customHeight="1" x14ac:dyDescent="0.3">
      <c r="B139" s="198">
        <v>131</v>
      </c>
      <c r="C139" s="501" t="str">
        <f t="shared" ref="C139:C202" si="13">IF($H$4="","",IF(B139&gt;($B$6),"",IF(B139&lt;=($B$6),DATE(YEAR($G$4),MONTH($G$4)+B138,DAY($G$4)),"")))</f>
        <v/>
      </c>
      <c r="D139" s="502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190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196" t="str">
        <f t="shared" si="12"/>
        <v/>
      </c>
      <c r="G139" s="190" t="str">
        <f t="shared" ref="G139:G202" si="16">IFERROR(IF(B139&gt;(($D$6+$B$6)*12),"",IF(B139=1,D139,D139+G138)),"")</f>
        <v/>
      </c>
      <c r="H139" s="503" t="str">
        <f t="shared" ref="H139:H202" si="17">IFERROR(IF($H$4="","",H138-D139),"")</f>
        <v/>
      </c>
      <c r="I139" s="49"/>
    </row>
    <row r="140" spans="2:9" ht="20.100000000000001" customHeight="1" x14ac:dyDescent="0.3">
      <c r="B140" s="198">
        <v>132</v>
      </c>
      <c r="C140" s="501" t="str">
        <f t="shared" si="13"/>
        <v/>
      </c>
      <c r="D140" s="502" t="str">
        <f t="shared" si="14"/>
        <v/>
      </c>
      <c r="E140" s="190" t="str">
        <f t="shared" si="15"/>
        <v/>
      </c>
      <c r="F140" s="196" t="str">
        <f t="shared" si="12"/>
        <v/>
      </c>
      <c r="G140" s="190" t="str">
        <f t="shared" si="16"/>
        <v/>
      </c>
      <c r="H140" s="503" t="str">
        <f t="shared" si="17"/>
        <v/>
      </c>
      <c r="I140" s="49"/>
    </row>
    <row r="141" spans="2:9" ht="20.100000000000001" customHeight="1" x14ac:dyDescent="0.3">
      <c r="B141" s="198">
        <v>133</v>
      </c>
      <c r="C141" s="501" t="str">
        <f t="shared" si="13"/>
        <v/>
      </c>
      <c r="D141" s="502" t="str">
        <f t="shared" si="14"/>
        <v/>
      </c>
      <c r="E141" s="190" t="str">
        <f t="shared" si="15"/>
        <v/>
      </c>
      <c r="F141" s="196" t="str">
        <f t="shared" si="12"/>
        <v/>
      </c>
      <c r="G141" s="190" t="str">
        <f t="shared" si="16"/>
        <v/>
      </c>
      <c r="H141" s="503" t="str">
        <f t="shared" si="17"/>
        <v/>
      </c>
      <c r="I141" s="49"/>
    </row>
    <row r="142" spans="2:9" ht="20.100000000000001" customHeight="1" x14ac:dyDescent="0.3">
      <c r="B142" s="198">
        <v>134</v>
      </c>
      <c r="C142" s="501" t="str">
        <f t="shared" si="13"/>
        <v/>
      </c>
      <c r="D142" s="502" t="str">
        <f t="shared" si="14"/>
        <v/>
      </c>
      <c r="E142" s="190" t="str">
        <f t="shared" si="15"/>
        <v/>
      </c>
      <c r="F142" s="196" t="str">
        <f t="shared" si="12"/>
        <v/>
      </c>
      <c r="G142" s="190" t="str">
        <f t="shared" si="16"/>
        <v/>
      </c>
      <c r="H142" s="503" t="str">
        <f t="shared" si="17"/>
        <v/>
      </c>
      <c r="I142" s="49"/>
    </row>
    <row r="143" spans="2:9" ht="20.100000000000001" customHeight="1" x14ac:dyDescent="0.3">
      <c r="B143" s="198">
        <v>135</v>
      </c>
      <c r="C143" s="501" t="str">
        <f t="shared" si="13"/>
        <v/>
      </c>
      <c r="D143" s="502" t="str">
        <f t="shared" si="14"/>
        <v/>
      </c>
      <c r="E143" s="190" t="str">
        <f t="shared" si="15"/>
        <v/>
      </c>
      <c r="F143" s="196" t="str">
        <f t="shared" si="12"/>
        <v/>
      </c>
      <c r="G143" s="190" t="str">
        <f t="shared" si="16"/>
        <v/>
      </c>
      <c r="H143" s="503" t="str">
        <f t="shared" si="17"/>
        <v/>
      </c>
      <c r="I143" s="49"/>
    </row>
    <row r="144" spans="2:9" ht="20.100000000000001" customHeight="1" x14ac:dyDescent="0.3">
      <c r="B144" s="198">
        <v>136</v>
      </c>
      <c r="C144" s="501" t="str">
        <f t="shared" si="13"/>
        <v/>
      </c>
      <c r="D144" s="502" t="str">
        <f t="shared" si="14"/>
        <v/>
      </c>
      <c r="E144" s="190" t="str">
        <f t="shared" si="15"/>
        <v/>
      </c>
      <c r="F144" s="196" t="str">
        <f t="shared" si="12"/>
        <v/>
      </c>
      <c r="G144" s="190" t="str">
        <f t="shared" si="16"/>
        <v/>
      </c>
      <c r="H144" s="503" t="str">
        <f t="shared" si="17"/>
        <v/>
      </c>
      <c r="I144" s="49"/>
    </row>
    <row r="145" spans="2:9" ht="20.100000000000001" customHeight="1" x14ac:dyDescent="0.3">
      <c r="B145" s="198">
        <v>137</v>
      </c>
      <c r="C145" s="501" t="str">
        <f t="shared" si="13"/>
        <v/>
      </c>
      <c r="D145" s="502" t="str">
        <f t="shared" si="14"/>
        <v/>
      </c>
      <c r="E145" s="190" t="str">
        <f t="shared" si="15"/>
        <v/>
      </c>
      <c r="F145" s="196" t="str">
        <f t="shared" si="12"/>
        <v/>
      </c>
      <c r="G145" s="190" t="str">
        <f t="shared" si="16"/>
        <v/>
      </c>
      <c r="H145" s="503" t="str">
        <f t="shared" si="17"/>
        <v/>
      </c>
      <c r="I145" s="49"/>
    </row>
    <row r="146" spans="2:9" ht="20.100000000000001" customHeight="1" x14ac:dyDescent="0.3">
      <c r="B146" s="198">
        <v>138</v>
      </c>
      <c r="C146" s="501" t="str">
        <f t="shared" si="13"/>
        <v/>
      </c>
      <c r="D146" s="502" t="str">
        <f t="shared" si="14"/>
        <v/>
      </c>
      <c r="E146" s="190" t="str">
        <f t="shared" si="15"/>
        <v/>
      </c>
      <c r="F146" s="196" t="str">
        <f t="shared" si="12"/>
        <v/>
      </c>
      <c r="G146" s="190" t="str">
        <f t="shared" si="16"/>
        <v/>
      </c>
      <c r="H146" s="503" t="str">
        <f t="shared" si="17"/>
        <v/>
      </c>
      <c r="I146" s="49"/>
    </row>
    <row r="147" spans="2:9" ht="20.100000000000001" customHeight="1" x14ac:dyDescent="0.3">
      <c r="B147" s="198">
        <v>139</v>
      </c>
      <c r="C147" s="501" t="str">
        <f t="shared" si="13"/>
        <v/>
      </c>
      <c r="D147" s="502" t="str">
        <f t="shared" si="14"/>
        <v/>
      </c>
      <c r="E147" s="190" t="str">
        <f t="shared" si="15"/>
        <v/>
      </c>
      <c r="F147" s="196" t="str">
        <f t="shared" si="12"/>
        <v/>
      </c>
      <c r="G147" s="190" t="str">
        <f t="shared" si="16"/>
        <v/>
      </c>
      <c r="H147" s="503" t="str">
        <f t="shared" si="17"/>
        <v/>
      </c>
      <c r="I147" s="49"/>
    </row>
    <row r="148" spans="2:9" ht="20.100000000000001" customHeight="1" x14ac:dyDescent="0.3">
      <c r="B148" s="198">
        <v>140</v>
      </c>
      <c r="C148" s="501" t="str">
        <f t="shared" si="13"/>
        <v/>
      </c>
      <c r="D148" s="502" t="str">
        <f t="shared" si="14"/>
        <v/>
      </c>
      <c r="E148" s="190" t="str">
        <f t="shared" si="15"/>
        <v/>
      </c>
      <c r="F148" s="196" t="str">
        <f t="shared" si="12"/>
        <v/>
      </c>
      <c r="G148" s="190" t="str">
        <f t="shared" si="16"/>
        <v/>
      </c>
      <c r="H148" s="503" t="str">
        <f t="shared" si="17"/>
        <v/>
      </c>
      <c r="I148" s="49"/>
    </row>
    <row r="149" spans="2:9" ht="20.100000000000001" customHeight="1" x14ac:dyDescent="0.3">
      <c r="B149" s="198">
        <v>141</v>
      </c>
      <c r="C149" s="501" t="str">
        <f t="shared" si="13"/>
        <v/>
      </c>
      <c r="D149" s="502" t="str">
        <f t="shared" si="14"/>
        <v/>
      </c>
      <c r="E149" s="190" t="str">
        <f t="shared" si="15"/>
        <v/>
      </c>
      <c r="F149" s="196" t="str">
        <f t="shared" si="12"/>
        <v/>
      </c>
      <c r="G149" s="190" t="str">
        <f t="shared" si="16"/>
        <v/>
      </c>
      <c r="H149" s="503" t="str">
        <f t="shared" si="17"/>
        <v/>
      </c>
      <c r="I149" s="49"/>
    </row>
    <row r="150" spans="2:9" ht="20.100000000000001" customHeight="1" x14ac:dyDescent="0.3">
      <c r="B150" s="198">
        <v>142</v>
      </c>
      <c r="C150" s="501" t="str">
        <f t="shared" si="13"/>
        <v/>
      </c>
      <c r="D150" s="502" t="str">
        <f t="shared" si="14"/>
        <v/>
      </c>
      <c r="E150" s="190" t="str">
        <f t="shared" si="15"/>
        <v/>
      </c>
      <c r="F150" s="196" t="str">
        <f t="shared" si="12"/>
        <v/>
      </c>
      <c r="G150" s="190" t="str">
        <f t="shared" si="16"/>
        <v/>
      </c>
      <c r="H150" s="503" t="str">
        <f t="shared" si="17"/>
        <v/>
      </c>
      <c r="I150" s="49"/>
    </row>
    <row r="151" spans="2:9" ht="20.100000000000001" customHeight="1" x14ac:dyDescent="0.3">
      <c r="B151" s="198">
        <v>143</v>
      </c>
      <c r="C151" s="501" t="str">
        <f t="shared" si="13"/>
        <v/>
      </c>
      <c r="D151" s="502" t="str">
        <f t="shared" si="14"/>
        <v/>
      </c>
      <c r="E151" s="190" t="str">
        <f t="shared" si="15"/>
        <v/>
      </c>
      <c r="F151" s="196" t="str">
        <f t="shared" si="12"/>
        <v/>
      </c>
      <c r="G151" s="190" t="str">
        <f t="shared" si="16"/>
        <v/>
      </c>
      <c r="H151" s="503" t="str">
        <f t="shared" si="17"/>
        <v/>
      </c>
      <c r="I151" s="49"/>
    </row>
    <row r="152" spans="2:9" ht="20.100000000000001" customHeight="1" x14ac:dyDescent="0.3">
      <c r="B152" s="198">
        <v>144</v>
      </c>
      <c r="C152" s="501" t="str">
        <f t="shared" si="13"/>
        <v/>
      </c>
      <c r="D152" s="502" t="str">
        <f t="shared" si="14"/>
        <v/>
      </c>
      <c r="E152" s="190" t="str">
        <f t="shared" si="15"/>
        <v/>
      </c>
      <c r="F152" s="196" t="str">
        <f t="shared" si="12"/>
        <v/>
      </c>
      <c r="G152" s="190" t="str">
        <f t="shared" si="16"/>
        <v/>
      </c>
      <c r="H152" s="503" t="str">
        <f t="shared" si="17"/>
        <v/>
      </c>
      <c r="I152" s="49"/>
    </row>
    <row r="153" spans="2:9" ht="20.100000000000001" customHeight="1" x14ac:dyDescent="0.3">
      <c r="B153" s="198">
        <v>145</v>
      </c>
      <c r="C153" s="501" t="str">
        <f t="shared" si="13"/>
        <v/>
      </c>
      <c r="D153" s="502" t="str">
        <f t="shared" si="14"/>
        <v/>
      </c>
      <c r="E153" s="190" t="str">
        <f t="shared" si="15"/>
        <v/>
      </c>
      <c r="F153" s="196" t="str">
        <f t="shared" si="12"/>
        <v/>
      </c>
      <c r="G153" s="190" t="str">
        <f t="shared" si="16"/>
        <v/>
      </c>
      <c r="H153" s="503" t="str">
        <f t="shared" si="17"/>
        <v/>
      </c>
      <c r="I153" s="49"/>
    </row>
    <row r="154" spans="2:9" ht="20.100000000000001" customHeight="1" x14ac:dyDescent="0.3">
      <c r="B154" s="198">
        <v>146</v>
      </c>
      <c r="C154" s="501" t="str">
        <f t="shared" si="13"/>
        <v/>
      </c>
      <c r="D154" s="502" t="str">
        <f t="shared" si="14"/>
        <v/>
      </c>
      <c r="E154" s="190" t="str">
        <f t="shared" si="15"/>
        <v/>
      </c>
      <c r="F154" s="196" t="str">
        <f t="shared" si="12"/>
        <v/>
      </c>
      <c r="G154" s="190" t="str">
        <f t="shared" si="16"/>
        <v/>
      </c>
      <c r="H154" s="503" t="str">
        <f t="shared" si="17"/>
        <v/>
      </c>
      <c r="I154" s="49"/>
    </row>
    <row r="155" spans="2:9" ht="20.100000000000001" customHeight="1" x14ac:dyDescent="0.3">
      <c r="B155" s="198">
        <v>147</v>
      </c>
      <c r="C155" s="501" t="str">
        <f t="shared" si="13"/>
        <v/>
      </c>
      <c r="D155" s="502" t="str">
        <f t="shared" si="14"/>
        <v/>
      </c>
      <c r="E155" s="190" t="str">
        <f t="shared" si="15"/>
        <v/>
      </c>
      <c r="F155" s="196" t="str">
        <f t="shared" si="12"/>
        <v/>
      </c>
      <c r="G155" s="190" t="str">
        <f t="shared" si="16"/>
        <v/>
      </c>
      <c r="H155" s="503" t="str">
        <f t="shared" si="17"/>
        <v/>
      </c>
      <c r="I155" s="49"/>
    </row>
    <row r="156" spans="2:9" ht="20.100000000000001" customHeight="1" x14ac:dyDescent="0.3">
      <c r="B156" s="198">
        <v>148</v>
      </c>
      <c r="C156" s="501" t="str">
        <f t="shared" si="13"/>
        <v/>
      </c>
      <c r="D156" s="502" t="str">
        <f t="shared" si="14"/>
        <v/>
      </c>
      <c r="E156" s="190" t="str">
        <f t="shared" si="15"/>
        <v/>
      </c>
      <c r="F156" s="196" t="str">
        <f t="shared" si="12"/>
        <v/>
      </c>
      <c r="G156" s="190" t="str">
        <f t="shared" si="16"/>
        <v/>
      </c>
      <c r="H156" s="503" t="str">
        <f t="shared" si="17"/>
        <v/>
      </c>
      <c r="I156" s="49"/>
    </row>
    <row r="157" spans="2:9" ht="20.100000000000001" customHeight="1" x14ac:dyDescent="0.3">
      <c r="B157" s="198">
        <v>149</v>
      </c>
      <c r="C157" s="501" t="str">
        <f t="shared" si="13"/>
        <v/>
      </c>
      <c r="D157" s="502" t="str">
        <f t="shared" si="14"/>
        <v/>
      </c>
      <c r="E157" s="190" t="str">
        <f t="shared" si="15"/>
        <v/>
      </c>
      <c r="F157" s="196" t="str">
        <f t="shared" si="12"/>
        <v/>
      </c>
      <c r="G157" s="190" t="str">
        <f t="shared" si="16"/>
        <v/>
      </c>
      <c r="H157" s="503" t="str">
        <f t="shared" si="17"/>
        <v/>
      </c>
      <c r="I157" s="49"/>
    </row>
    <row r="158" spans="2:9" ht="20.100000000000001" customHeight="1" x14ac:dyDescent="0.3">
      <c r="B158" s="198">
        <v>150</v>
      </c>
      <c r="C158" s="501" t="str">
        <f t="shared" si="13"/>
        <v/>
      </c>
      <c r="D158" s="502" t="str">
        <f t="shared" si="14"/>
        <v/>
      </c>
      <c r="E158" s="190" t="str">
        <f t="shared" si="15"/>
        <v/>
      </c>
      <c r="F158" s="196" t="str">
        <f t="shared" si="12"/>
        <v/>
      </c>
      <c r="G158" s="190" t="str">
        <f t="shared" si="16"/>
        <v/>
      </c>
      <c r="H158" s="503" t="str">
        <f t="shared" si="17"/>
        <v/>
      </c>
      <c r="I158" s="49"/>
    </row>
    <row r="159" spans="2:9" ht="20.100000000000001" customHeight="1" x14ac:dyDescent="0.3">
      <c r="B159" s="198">
        <v>151</v>
      </c>
      <c r="C159" s="501" t="str">
        <f t="shared" si="13"/>
        <v/>
      </c>
      <c r="D159" s="502" t="str">
        <f t="shared" si="14"/>
        <v/>
      </c>
      <c r="E159" s="190" t="str">
        <f t="shared" si="15"/>
        <v/>
      </c>
      <c r="F159" s="196" t="str">
        <f t="shared" si="12"/>
        <v/>
      </c>
      <c r="G159" s="190" t="str">
        <f t="shared" si="16"/>
        <v/>
      </c>
      <c r="H159" s="503" t="str">
        <f t="shared" si="17"/>
        <v/>
      </c>
      <c r="I159" s="49"/>
    </row>
    <row r="160" spans="2:9" ht="20.100000000000001" customHeight="1" x14ac:dyDescent="0.3">
      <c r="B160" s="198">
        <v>152</v>
      </c>
      <c r="C160" s="501" t="str">
        <f t="shared" si="13"/>
        <v/>
      </c>
      <c r="D160" s="502" t="str">
        <f t="shared" si="14"/>
        <v/>
      </c>
      <c r="E160" s="190" t="str">
        <f t="shared" si="15"/>
        <v/>
      </c>
      <c r="F160" s="196" t="str">
        <f t="shared" si="12"/>
        <v/>
      </c>
      <c r="G160" s="190" t="str">
        <f t="shared" si="16"/>
        <v/>
      </c>
      <c r="H160" s="503" t="str">
        <f t="shared" si="17"/>
        <v/>
      </c>
      <c r="I160" s="49"/>
    </row>
    <row r="161" spans="2:9" ht="20.100000000000001" customHeight="1" x14ac:dyDescent="0.3">
      <c r="B161" s="198">
        <v>153</v>
      </c>
      <c r="C161" s="501" t="str">
        <f t="shared" si="13"/>
        <v/>
      </c>
      <c r="D161" s="502" t="str">
        <f t="shared" si="14"/>
        <v/>
      </c>
      <c r="E161" s="190" t="str">
        <f t="shared" si="15"/>
        <v/>
      </c>
      <c r="F161" s="196" t="str">
        <f t="shared" si="12"/>
        <v/>
      </c>
      <c r="G161" s="190" t="str">
        <f t="shared" si="16"/>
        <v/>
      </c>
      <c r="H161" s="503" t="str">
        <f t="shared" si="17"/>
        <v/>
      </c>
      <c r="I161" s="49"/>
    </row>
    <row r="162" spans="2:9" ht="20.100000000000001" customHeight="1" x14ac:dyDescent="0.3">
      <c r="B162" s="198">
        <v>154</v>
      </c>
      <c r="C162" s="501" t="str">
        <f t="shared" si="13"/>
        <v/>
      </c>
      <c r="D162" s="502" t="str">
        <f t="shared" si="14"/>
        <v/>
      </c>
      <c r="E162" s="190" t="str">
        <f t="shared" si="15"/>
        <v/>
      </c>
      <c r="F162" s="196" t="str">
        <f t="shared" si="12"/>
        <v/>
      </c>
      <c r="G162" s="190" t="str">
        <f t="shared" si="16"/>
        <v/>
      </c>
      <c r="H162" s="503" t="str">
        <f t="shared" si="17"/>
        <v/>
      </c>
      <c r="I162" s="49"/>
    </row>
    <row r="163" spans="2:9" ht="20.100000000000001" customHeight="1" x14ac:dyDescent="0.3">
      <c r="B163" s="198">
        <v>155</v>
      </c>
      <c r="C163" s="501" t="str">
        <f t="shared" si="13"/>
        <v/>
      </c>
      <c r="D163" s="502" t="str">
        <f t="shared" si="14"/>
        <v/>
      </c>
      <c r="E163" s="190" t="str">
        <f t="shared" si="15"/>
        <v/>
      </c>
      <c r="F163" s="196" t="str">
        <f t="shared" si="12"/>
        <v/>
      </c>
      <c r="G163" s="190" t="str">
        <f t="shared" si="16"/>
        <v/>
      </c>
      <c r="H163" s="503" t="str">
        <f t="shared" si="17"/>
        <v/>
      </c>
      <c r="I163" s="49"/>
    </row>
    <row r="164" spans="2:9" ht="20.100000000000001" customHeight="1" x14ac:dyDescent="0.3">
      <c r="B164" s="198">
        <v>156</v>
      </c>
      <c r="C164" s="501" t="str">
        <f t="shared" si="13"/>
        <v/>
      </c>
      <c r="D164" s="502" t="str">
        <f t="shared" si="14"/>
        <v/>
      </c>
      <c r="E164" s="190" t="str">
        <f t="shared" si="15"/>
        <v/>
      </c>
      <c r="F164" s="196" t="str">
        <f t="shared" si="12"/>
        <v/>
      </c>
      <c r="G164" s="190" t="str">
        <f t="shared" si="16"/>
        <v/>
      </c>
      <c r="H164" s="503" t="str">
        <f t="shared" si="17"/>
        <v/>
      </c>
      <c r="I164" s="49"/>
    </row>
    <row r="165" spans="2:9" ht="20.100000000000001" customHeight="1" x14ac:dyDescent="0.3">
      <c r="B165" s="198">
        <v>157</v>
      </c>
      <c r="C165" s="501" t="str">
        <f t="shared" si="13"/>
        <v/>
      </c>
      <c r="D165" s="502" t="str">
        <f t="shared" si="14"/>
        <v/>
      </c>
      <c r="E165" s="190" t="str">
        <f t="shared" si="15"/>
        <v/>
      </c>
      <c r="F165" s="196" t="str">
        <f t="shared" si="12"/>
        <v/>
      </c>
      <c r="G165" s="190" t="str">
        <f t="shared" si="16"/>
        <v/>
      </c>
      <c r="H165" s="503" t="str">
        <f t="shared" si="17"/>
        <v/>
      </c>
      <c r="I165" s="49"/>
    </row>
    <row r="166" spans="2:9" ht="20.100000000000001" customHeight="1" x14ac:dyDescent="0.3">
      <c r="B166" s="198">
        <v>158</v>
      </c>
      <c r="C166" s="501" t="str">
        <f t="shared" si="13"/>
        <v/>
      </c>
      <c r="D166" s="502" t="str">
        <f t="shared" si="14"/>
        <v/>
      </c>
      <c r="E166" s="190" t="str">
        <f t="shared" si="15"/>
        <v/>
      </c>
      <c r="F166" s="196" t="str">
        <f t="shared" si="12"/>
        <v/>
      </c>
      <c r="G166" s="190" t="str">
        <f t="shared" si="16"/>
        <v/>
      </c>
      <c r="H166" s="503" t="str">
        <f t="shared" si="17"/>
        <v/>
      </c>
      <c r="I166" s="49"/>
    </row>
    <row r="167" spans="2:9" ht="20.100000000000001" customHeight="1" x14ac:dyDescent="0.3">
      <c r="B167" s="198">
        <v>159</v>
      </c>
      <c r="C167" s="501" t="str">
        <f t="shared" si="13"/>
        <v/>
      </c>
      <c r="D167" s="502" t="str">
        <f t="shared" si="14"/>
        <v/>
      </c>
      <c r="E167" s="190" t="str">
        <f t="shared" si="15"/>
        <v/>
      </c>
      <c r="F167" s="196" t="str">
        <f t="shared" si="12"/>
        <v/>
      </c>
      <c r="G167" s="190" t="str">
        <f t="shared" si="16"/>
        <v/>
      </c>
      <c r="H167" s="503" t="str">
        <f t="shared" si="17"/>
        <v/>
      </c>
      <c r="I167" s="49"/>
    </row>
    <row r="168" spans="2:9" ht="20.100000000000001" customHeight="1" x14ac:dyDescent="0.3">
      <c r="B168" s="198">
        <v>160</v>
      </c>
      <c r="C168" s="501" t="str">
        <f t="shared" si="13"/>
        <v/>
      </c>
      <c r="D168" s="502" t="str">
        <f t="shared" si="14"/>
        <v/>
      </c>
      <c r="E168" s="190" t="str">
        <f t="shared" si="15"/>
        <v/>
      </c>
      <c r="F168" s="196" t="str">
        <f t="shared" si="12"/>
        <v/>
      </c>
      <c r="G168" s="190" t="str">
        <f t="shared" si="16"/>
        <v/>
      </c>
      <c r="H168" s="503" t="str">
        <f t="shared" si="17"/>
        <v/>
      </c>
      <c r="I168" s="49"/>
    </row>
    <row r="169" spans="2:9" ht="20.100000000000001" customHeight="1" x14ac:dyDescent="0.3">
      <c r="B169" s="198">
        <v>161</v>
      </c>
      <c r="C169" s="501" t="str">
        <f t="shared" si="13"/>
        <v/>
      </c>
      <c r="D169" s="502" t="str">
        <f t="shared" si="14"/>
        <v/>
      </c>
      <c r="E169" s="190" t="str">
        <f t="shared" si="15"/>
        <v/>
      </c>
      <c r="F169" s="196" t="str">
        <f t="shared" si="12"/>
        <v/>
      </c>
      <c r="G169" s="190" t="str">
        <f t="shared" si="16"/>
        <v/>
      </c>
      <c r="H169" s="503" t="str">
        <f t="shared" si="17"/>
        <v/>
      </c>
      <c r="I169" s="49"/>
    </row>
    <row r="170" spans="2:9" ht="20.100000000000001" customHeight="1" x14ac:dyDescent="0.3">
      <c r="B170" s="198">
        <v>162</v>
      </c>
      <c r="C170" s="501" t="str">
        <f t="shared" si="13"/>
        <v/>
      </c>
      <c r="D170" s="502" t="str">
        <f t="shared" si="14"/>
        <v/>
      </c>
      <c r="E170" s="190" t="str">
        <f t="shared" si="15"/>
        <v/>
      </c>
      <c r="F170" s="196" t="str">
        <f t="shared" si="12"/>
        <v/>
      </c>
      <c r="G170" s="190" t="str">
        <f t="shared" si="16"/>
        <v/>
      </c>
      <c r="H170" s="503" t="str">
        <f t="shared" si="17"/>
        <v/>
      </c>
      <c r="I170" s="49"/>
    </row>
    <row r="171" spans="2:9" ht="20.100000000000001" customHeight="1" x14ac:dyDescent="0.3">
      <c r="B171" s="198">
        <v>163</v>
      </c>
      <c r="C171" s="501" t="str">
        <f t="shared" si="13"/>
        <v/>
      </c>
      <c r="D171" s="502" t="str">
        <f t="shared" si="14"/>
        <v/>
      </c>
      <c r="E171" s="190" t="str">
        <f t="shared" si="15"/>
        <v/>
      </c>
      <c r="F171" s="196" t="str">
        <f t="shared" si="12"/>
        <v/>
      </c>
      <c r="G171" s="190" t="str">
        <f t="shared" si="16"/>
        <v/>
      </c>
      <c r="H171" s="503" t="str">
        <f t="shared" si="17"/>
        <v/>
      </c>
      <c r="I171" s="49"/>
    </row>
    <row r="172" spans="2:9" ht="20.100000000000001" customHeight="1" x14ac:dyDescent="0.3">
      <c r="B172" s="198">
        <v>164</v>
      </c>
      <c r="C172" s="501" t="str">
        <f t="shared" si="13"/>
        <v/>
      </c>
      <c r="D172" s="502" t="str">
        <f t="shared" si="14"/>
        <v/>
      </c>
      <c r="E172" s="190" t="str">
        <f t="shared" si="15"/>
        <v/>
      </c>
      <c r="F172" s="196" t="str">
        <f t="shared" si="12"/>
        <v/>
      </c>
      <c r="G172" s="190" t="str">
        <f t="shared" si="16"/>
        <v/>
      </c>
      <c r="H172" s="503" t="str">
        <f t="shared" si="17"/>
        <v/>
      </c>
      <c r="I172" s="49"/>
    </row>
    <row r="173" spans="2:9" ht="20.100000000000001" customHeight="1" x14ac:dyDescent="0.3">
      <c r="B173" s="198">
        <v>165</v>
      </c>
      <c r="C173" s="501" t="str">
        <f t="shared" si="13"/>
        <v/>
      </c>
      <c r="D173" s="502" t="str">
        <f t="shared" si="14"/>
        <v/>
      </c>
      <c r="E173" s="190" t="str">
        <f t="shared" si="15"/>
        <v/>
      </c>
      <c r="F173" s="196" t="str">
        <f t="shared" si="12"/>
        <v/>
      </c>
      <c r="G173" s="190" t="str">
        <f t="shared" si="16"/>
        <v/>
      </c>
      <c r="H173" s="503" t="str">
        <f t="shared" si="17"/>
        <v/>
      </c>
      <c r="I173" s="49"/>
    </row>
    <row r="174" spans="2:9" ht="20.100000000000001" customHeight="1" x14ac:dyDescent="0.3">
      <c r="B174" s="198">
        <v>166</v>
      </c>
      <c r="C174" s="501" t="str">
        <f t="shared" si="13"/>
        <v/>
      </c>
      <c r="D174" s="502" t="str">
        <f t="shared" si="14"/>
        <v/>
      </c>
      <c r="E174" s="190" t="str">
        <f t="shared" si="15"/>
        <v/>
      </c>
      <c r="F174" s="196" t="str">
        <f t="shared" si="12"/>
        <v/>
      </c>
      <c r="G174" s="190" t="str">
        <f t="shared" si="16"/>
        <v/>
      </c>
      <c r="H174" s="503" t="str">
        <f t="shared" si="17"/>
        <v/>
      </c>
      <c r="I174" s="49"/>
    </row>
    <row r="175" spans="2:9" ht="20.100000000000001" customHeight="1" x14ac:dyDescent="0.3">
      <c r="B175" s="198">
        <v>167</v>
      </c>
      <c r="C175" s="501" t="str">
        <f t="shared" si="13"/>
        <v/>
      </c>
      <c r="D175" s="502" t="str">
        <f t="shared" si="14"/>
        <v/>
      </c>
      <c r="E175" s="190" t="str">
        <f t="shared" si="15"/>
        <v/>
      </c>
      <c r="F175" s="196" t="str">
        <f t="shared" si="12"/>
        <v/>
      </c>
      <c r="G175" s="190" t="str">
        <f t="shared" si="16"/>
        <v/>
      </c>
      <c r="H175" s="503" t="str">
        <f t="shared" si="17"/>
        <v/>
      </c>
      <c r="I175" s="49"/>
    </row>
    <row r="176" spans="2:9" ht="20.100000000000001" customHeight="1" x14ac:dyDescent="0.3">
      <c r="B176" s="198">
        <v>168</v>
      </c>
      <c r="C176" s="501" t="str">
        <f t="shared" si="13"/>
        <v/>
      </c>
      <c r="D176" s="502" t="str">
        <f t="shared" si="14"/>
        <v/>
      </c>
      <c r="E176" s="190" t="str">
        <f t="shared" si="15"/>
        <v/>
      </c>
      <c r="F176" s="196" t="str">
        <f t="shared" si="12"/>
        <v/>
      </c>
      <c r="G176" s="190" t="str">
        <f t="shared" si="16"/>
        <v/>
      </c>
      <c r="H176" s="503" t="str">
        <f t="shared" si="17"/>
        <v/>
      </c>
      <c r="I176" s="49"/>
    </row>
    <row r="177" spans="2:9" ht="20.100000000000001" customHeight="1" x14ac:dyDescent="0.3">
      <c r="B177" s="198">
        <v>169</v>
      </c>
      <c r="C177" s="501" t="str">
        <f t="shared" si="13"/>
        <v/>
      </c>
      <c r="D177" s="502" t="str">
        <f t="shared" si="14"/>
        <v/>
      </c>
      <c r="E177" s="190" t="str">
        <f t="shared" si="15"/>
        <v/>
      </c>
      <c r="F177" s="196" t="str">
        <f t="shared" si="12"/>
        <v/>
      </c>
      <c r="G177" s="190" t="str">
        <f t="shared" si="16"/>
        <v/>
      </c>
      <c r="H177" s="503" t="str">
        <f t="shared" si="17"/>
        <v/>
      </c>
      <c r="I177" s="49"/>
    </row>
    <row r="178" spans="2:9" ht="20.100000000000001" customHeight="1" x14ac:dyDescent="0.3">
      <c r="B178" s="198">
        <v>170</v>
      </c>
      <c r="C178" s="501" t="str">
        <f t="shared" si="13"/>
        <v/>
      </c>
      <c r="D178" s="502" t="str">
        <f t="shared" si="14"/>
        <v/>
      </c>
      <c r="E178" s="190" t="str">
        <f t="shared" si="15"/>
        <v/>
      </c>
      <c r="F178" s="196" t="str">
        <f t="shared" si="12"/>
        <v/>
      </c>
      <c r="G178" s="190" t="str">
        <f t="shared" si="16"/>
        <v/>
      </c>
      <c r="H178" s="503" t="str">
        <f t="shared" si="17"/>
        <v/>
      </c>
      <c r="I178" s="49"/>
    </row>
    <row r="179" spans="2:9" ht="20.100000000000001" customHeight="1" x14ac:dyDescent="0.3">
      <c r="B179" s="198">
        <v>171</v>
      </c>
      <c r="C179" s="501" t="str">
        <f t="shared" si="13"/>
        <v/>
      </c>
      <c r="D179" s="502" t="str">
        <f t="shared" si="14"/>
        <v/>
      </c>
      <c r="E179" s="190" t="str">
        <f t="shared" si="15"/>
        <v/>
      </c>
      <c r="F179" s="196" t="str">
        <f t="shared" si="12"/>
        <v/>
      </c>
      <c r="G179" s="190" t="str">
        <f t="shared" si="16"/>
        <v/>
      </c>
      <c r="H179" s="503" t="str">
        <f t="shared" si="17"/>
        <v/>
      </c>
      <c r="I179" s="49"/>
    </row>
    <row r="180" spans="2:9" ht="20.100000000000001" customHeight="1" x14ac:dyDescent="0.3">
      <c r="B180" s="198">
        <v>172</v>
      </c>
      <c r="C180" s="501" t="str">
        <f t="shared" si="13"/>
        <v/>
      </c>
      <c r="D180" s="502" t="str">
        <f t="shared" si="14"/>
        <v/>
      </c>
      <c r="E180" s="190" t="str">
        <f t="shared" si="15"/>
        <v/>
      </c>
      <c r="F180" s="196" t="str">
        <f t="shared" si="12"/>
        <v/>
      </c>
      <c r="G180" s="190" t="str">
        <f t="shared" si="16"/>
        <v/>
      </c>
      <c r="H180" s="503" t="str">
        <f t="shared" si="17"/>
        <v/>
      </c>
      <c r="I180" s="49"/>
    </row>
    <row r="181" spans="2:9" ht="20.100000000000001" customHeight="1" x14ac:dyDescent="0.3">
      <c r="B181" s="198">
        <v>173</v>
      </c>
      <c r="C181" s="501" t="str">
        <f t="shared" si="13"/>
        <v/>
      </c>
      <c r="D181" s="502" t="str">
        <f t="shared" si="14"/>
        <v/>
      </c>
      <c r="E181" s="190" t="str">
        <f t="shared" si="15"/>
        <v/>
      </c>
      <c r="F181" s="196" t="str">
        <f t="shared" si="12"/>
        <v/>
      </c>
      <c r="G181" s="190" t="str">
        <f t="shared" si="16"/>
        <v/>
      </c>
      <c r="H181" s="503" t="str">
        <f t="shared" si="17"/>
        <v/>
      </c>
      <c r="I181" s="49"/>
    </row>
    <row r="182" spans="2:9" ht="20.100000000000001" customHeight="1" x14ac:dyDescent="0.3">
      <c r="B182" s="198">
        <v>174</v>
      </c>
      <c r="C182" s="501" t="str">
        <f t="shared" si="13"/>
        <v/>
      </c>
      <c r="D182" s="502" t="str">
        <f t="shared" si="14"/>
        <v/>
      </c>
      <c r="E182" s="190" t="str">
        <f t="shared" si="15"/>
        <v/>
      </c>
      <c r="F182" s="196" t="str">
        <f t="shared" si="12"/>
        <v/>
      </c>
      <c r="G182" s="190" t="str">
        <f t="shared" si="16"/>
        <v/>
      </c>
      <c r="H182" s="503" t="str">
        <f t="shared" si="17"/>
        <v/>
      </c>
      <c r="I182" s="49"/>
    </row>
    <row r="183" spans="2:9" ht="20.100000000000001" customHeight="1" x14ac:dyDescent="0.3">
      <c r="B183" s="198">
        <v>175</v>
      </c>
      <c r="C183" s="501" t="str">
        <f t="shared" si="13"/>
        <v/>
      </c>
      <c r="D183" s="502" t="str">
        <f t="shared" si="14"/>
        <v/>
      </c>
      <c r="E183" s="190" t="str">
        <f t="shared" si="15"/>
        <v/>
      </c>
      <c r="F183" s="196" t="str">
        <f t="shared" si="12"/>
        <v/>
      </c>
      <c r="G183" s="190" t="str">
        <f t="shared" si="16"/>
        <v/>
      </c>
      <c r="H183" s="503" t="str">
        <f t="shared" si="17"/>
        <v/>
      </c>
      <c r="I183" s="49"/>
    </row>
    <row r="184" spans="2:9" ht="20.100000000000001" customHeight="1" x14ac:dyDescent="0.3">
      <c r="B184" s="198">
        <v>176</v>
      </c>
      <c r="C184" s="501" t="str">
        <f t="shared" si="13"/>
        <v/>
      </c>
      <c r="D184" s="502" t="str">
        <f t="shared" si="14"/>
        <v/>
      </c>
      <c r="E184" s="190" t="str">
        <f t="shared" si="15"/>
        <v/>
      </c>
      <c r="F184" s="196" t="str">
        <f t="shared" si="12"/>
        <v/>
      </c>
      <c r="G184" s="190" t="str">
        <f t="shared" si="16"/>
        <v/>
      </c>
      <c r="H184" s="503" t="str">
        <f t="shared" si="17"/>
        <v/>
      </c>
      <c r="I184" s="49"/>
    </row>
    <row r="185" spans="2:9" ht="20.100000000000001" customHeight="1" x14ac:dyDescent="0.3">
      <c r="B185" s="198">
        <v>177</v>
      </c>
      <c r="C185" s="501" t="str">
        <f t="shared" si="13"/>
        <v/>
      </c>
      <c r="D185" s="502" t="str">
        <f t="shared" si="14"/>
        <v/>
      </c>
      <c r="E185" s="190" t="str">
        <f t="shared" si="15"/>
        <v/>
      </c>
      <c r="F185" s="196" t="str">
        <f t="shared" si="12"/>
        <v/>
      </c>
      <c r="G185" s="190" t="str">
        <f t="shared" si="16"/>
        <v/>
      </c>
      <c r="H185" s="503" t="str">
        <f t="shared" si="17"/>
        <v/>
      </c>
      <c r="I185" s="49"/>
    </row>
    <row r="186" spans="2:9" ht="20.100000000000001" customHeight="1" x14ac:dyDescent="0.3">
      <c r="B186" s="198">
        <v>178</v>
      </c>
      <c r="C186" s="501" t="str">
        <f t="shared" si="13"/>
        <v/>
      </c>
      <c r="D186" s="502" t="str">
        <f t="shared" si="14"/>
        <v/>
      </c>
      <c r="E186" s="190" t="str">
        <f t="shared" si="15"/>
        <v/>
      </c>
      <c r="F186" s="196" t="str">
        <f t="shared" si="12"/>
        <v/>
      </c>
      <c r="G186" s="190" t="str">
        <f t="shared" si="16"/>
        <v/>
      </c>
      <c r="H186" s="503" t="str">
        <f t="shared" si="17"/>
        <v/>
      </c>
      <c r="I186" s="49"/>
    </row>
    <row r="187" spans="2:9" ht="20.100000000000001" customHeight="1" x14ac:dyDescent="0.3">
      <c r="B187" s="198">
        <v>179</v>
      </c>
      <c r="C187" s="501" t="str">
        <f t="shared" si="13"/>
        <v/>
      </c>
      <c r="D187" s="502" t="str">
        <f t="shared" si="14"/>
        <v/>
      </c>
      <c r="E187" s="190" t="str">
        <f t="shared" si="15"/>
        <v/>
      </c>
      <c r="F187" s="196" t="str">
        <f t="shared" si="12"/>
        <v/>
      </c>
      <c r="G187" s="190" t="str">
        <f t="shared" si="16"/>
        <v/>
      </c>
      <c r="H187" s="503" t="str">
        <f t="shared" si="17"/>
        <v/>
      </c>
      <c r="I187" s="49"/>
    </row>
    <row r="188" spans="2:9" ht="20.100000000000001" customHeight="1" x14ac:dyDescent="0.3">
      <c r="B188" s="198">
        <v>180</v>
      </c>
      <c r="C188" s="501" t="str">
        <f t="shared" si="13"/>
        <v/>
      </c>
      <c r="D188" s="502" t="str">
        <f t="shared" si="14"/>
        <v/>
      </c>
      <c r="E188" s="190" t="str">
        <f t="shared" si="15"/>
        <v/>
      </c>
      <c r="F188" s="196" t="str">
        <f t="shared" si="12"/>
        <v/>
      </c>
      <c r="G188" s="190" t="str">
        <f t="shared" si="16"/>
        <v/>
      </c>
      <c r="H188" s="503" t="str">
        <f t="shared" si="17"/>
        <v/>
      </c>
      <c r="I188" s="49"/>
    </row>
    <row r="189" spans="2:9" ht="20.100000000000001" customHeight="1" x14ac:dyDescent="0.3">
      <c r="B189" s="198">
        <v>181</v>
      </c>
      <c r="C189" s="501" t="str">
        <f t="shared" si="13"/>
        <v/>
      </c>
      <c r="D189" s="502" t="str">
        <f t="shared" si="14"/>
        <v/>
      </c>
      <c r="E189" s="190" t="str">
        <f t="shared" si="15"/>
        <v/>
      </c>
      <c r="F189" s="196" t="str">
        <f t="shared" si="12"/>
        <v/>
      </c>
      <c r="G189" s="190" t="str">
        <f t="shared" si="16"/>
        <v/>
      </c>
      <c r="H189" s="503" t="str">
        <f t="shared" si="17"/>
        <v/>
      </c>
      <c r="I189" s="49"/>
    </row>
    <row r="190" spans="2:9" ht="20.100000000000001" customHeight="1" x14ac:dyDescent="0.3">
      <c r="B190" s="198">
        <v>182</v>
      </c>
      <c r="C190" s="501" t="str">
        <f t="shared" si="13"/>
        <v/>
      </c>
      <c r="D190" s="502" t="str">
        <f t="shared" si="14"/>
        <v/>
      </c>
      <c r="E190" s="190" t="str">
        <f t="shared" si="15"/>
        <v/>
      </c>
      <c r="F190" s="196" t="str">
        <f t="shared" si="12"/>
        <v/>
      </c>
      <c r="G190" s="190" t="str">
        <f t="shared" si="16"/>
        <v/>
      </c>
      <c r="H190" s="503" t="str">
        <f t="shared" si="17"/>
        <v/>
      </c>
      <c r="I190" s="49"/>
    </row>
    <row r="191" spans="2:9" ht="20.100000000000001" customHeight="1" x14ac:dyDescent="0.3">
      <c r="B191" s="198">
        <v>183</v>
      </c>
      <c r="C191" s="501" t="str">
        <f t="shared" si="13"/>
        <v/>
      </c>
      <c r="D191" s="502" t="str">
        <f t="shared" si="14"/>
        <v/>
      </c>
      <c r="E191" s="190" t="str">
        <f t="shared" si="15"/>
        <v/>
      </c>
      <c r="F191" s="196" t="str">
        <f t="shared" si="12"/>
        <v/>
      </c>
      <c r="G191" s="190" t="str">
        <f t="shared" si="16"/>
        <v/>
      </c>
      <c r="H191" s="503" t="str">
        <f t="shared" si="17"/>
        <v/>
      </c>
      <c r="I191" s="49"/>
    </row>
    <row r="192" spans="2:9" ht="20.100000000000001" customHeight="1" x14ac:dyDescent="0.3">
      <c r="B192" s="198">
        <v>184</v>
      </c>
      <c r="C192" s="501" t="str">
        <f t="shared" si="13"/>
        <v/>
      </c>
      <c r="D192" s="502" t="str">
        <f t="shared" si="14"/>
        <v/>
      </c>
      <c r="E192" s="190" t="str">
        <f t="shared" si="15"/>
        <v/>
      </c>
      <c r="F192" s="196" t="str">
        <f t="shared" si="12"/>
        <v/>
      </c>
      <c r="G192" s="190" t="str">
        <f t="shared" si="16"/>
        <v/>
      </c>
      <c r="H192" s="503" t="str">
        <f t="shared" si="17"/>
        <v/>
      </c>
      <c r="I192" s="49"/>
    </row>
    <row r="193" spans="2:9" ht="20.100000000000001" customHeight="1" x14ac:dyDescent="0.3">
      <c r="B193" s="198">
        <v>185</v>
      </c>
      <c r="C193" s="501" t="str">
        <f t="shared" si="13"/>
        <v/>
      </c>
      <c r="D193" s="502" t="str">
        <f t="shared" si="14"/>
        <v/>
      </c>
      <c r="E193" s="190" t="str">
        <f t="shared" si="15"/>
        <v/>
      </c>
      <c r="F193" s="196" t="str">
        <f t="shared" si="12"/>
        <v/>
      </c>
      <c r="G193" s="190" t="str">
        <f t="shared" si="16"/>
        <v/>
      </c>
      <c r="H193" s="503" t="str">
        <f t="shared" si="17"/>
        <v/>
      </c>
      <c r="I193" s="49"/>
    </row>
    <row r="194" spans="2:9" ht="20.100000000000001" customHeight="1" x14ac:dyDescent="0.3">
      <c r="B194" s="198">
        <v>186</v>
      </c>
      <c r="C194" s="501" t="str">
        <f t="shared" si="13"/>
        <v/>
      </c>
      <c r="D194" s="502" t="str">
        <f t="shared" si="14"/>
        <v/>
      </c>
      <c r="E194" s="190" t="str">
        <f t="shared" si="15"/>
        <v/>
      </c>
      <c r="F194" s="196" t="str">
        <f t="shared" si="12"/>
        <v/>
      </c>
      <c r="G194" s="190" t="str">
        <f t="shared" si="16"/>
        <v/>
      </c>
      <c r="H194" s="503" t="str">
        <f t="shared" si="17"/>
        <v/>
      </c>
      <c r="I194" s="49"/>
    </row>
    <row r="195" spans="2:9" ht="20.100000000000001" customHeight="1" x14ac:dyDescent="0.3">
      <c r="B195" s="198">
        <v>187</v>
      </c>
      <c r="C195" s="501" t="str">
        <f t="shared" si="13"/>
        <v/>
      </c>
      <c r="D195" s="502" t="str">
        <f t="shared" si="14"/>
        <v/>
      </c>
      <c r="E195" s="190" t="str">
        <f t="shared" si="15"/>
        <v/>
      </c>
      <c r="F195" s="196" t="str">
        <f t="shared" si="12"/>
        <v/>
      </c>
      <c r="G195" s="190" t="str">
        <f t="shared" si="16"/>
        <v/>
      </c>
      <c r="H195" s="503" t="str">
        <f t="shared" si="17"/>
        <v/>
      </c>
      <c r="I195" s="49"/>
    </row>
    <row r="196" spans="2:9" ht="20.100000000000001" customHeight="1" x14ac:dyDescent="0.3">
      <c r="B196" s="198">
        <v>188</v>
      </c>
      <c r="C196" s="501" t="str">
        <f t="shared" si="13"/>
        <v/>
      </c>
      <c r="D196" s="502" t="str">
        <f t="shared" si="14"/>
        <v/>
      </c>
      <c r="E196" s="190" t="str">
        <f t="shared" si="15"/>
        <v/>
      </c>
      <c r="F196" s="196" t="str">
        <f t="shared" si="12"/>
        <v/>
      </c>
      <c r="G196" s="190" t="str">
        <f t="shared" si="16"/>
        <v/>
      </c>
      <c r="H196" s="503" t="str">
        <f t="shared" si="17"/>
        <v/>
      </c>
      <c r="I196" s="49"/>
    </row>
    <row r="197" spans="2:9" ht="20.100000000000001" customHeight="1" x14ac:dyDescent="0.3">
      <c r="B197" s="198">
        <v>189</v>
      </c>
      <c r="C197" s="501" t="str">
        <f t="shared" si="13"/>
        <v/>
      </c>
      <c r="D197" s="502" t="str">
        <f t="shared" si="14"/>
        <v/>
      </c>
      <c r="E197" s="190" t="str">
        <f t="shared" si="15"/>
        <v/>
      </c>
      <c r="F197" s="196" t="str">
        <f t="shared" si="12"/>
        <v/>
      </c>
      <c r="G197" s="190" t="str">
        <f t="shared" si="16"/>
        <v/>
      </c>
      <c r="H197" s="503" t="str">
        <f t="shared" si="17"/>
        <v/>
      </c>
      <c r="I197" s="49"/>
    </row>
    <row r="198" spans="2:9" ht="20.100000000000001" customHeight="1" x14ac:dyDescent="0.3">
      <c r="B198" s="198">
        <v>190</v>
      </c>
      <c r="C198" s="501" t="str">
        <f t="shared" si="13"/>
        <v/>
      </c>
      <c r="D198" s="502" t="str">
        <f t="shared" si="14"/>
        <v/>
      </c>
      <c r="E198" s="190" t="str">
        <f t="shared" si="15"/>
        <v/>
      </c>
      <c r="F198" s="196" t="str">
        <f t="shared" si="12"/>
        <v/>
      </c>
      <c r="G198" s="190" t="str">
        <f t="shared" si="16"/>
        <v/>
      </c>
      <c r="H198" s="503" t="str">
        <f t="shared" si="17"/>
        <v/>
      </c>
      <c r="I198" s="49"/>
    </row>
    <row r="199" spans="2:9" ht="20.100000000000001" customHeight="1" x14ac:dyDescent="0.3">
      <c r="B199" s="198">
        <v>191</v>
      </c>
      <c r="C199" s="501" t="str">
        <f t="shared" si="13"/>
        <v/>
      </c>
      <c r="D199" s="502" t="str">
        <f t="shared" si="14"/>
        <v/>
      </c>
      <c r="E199" s="190" t="str">
        <f t="shared" si="15"/>
        <v/>
      </c>
      <c r="F199" s="196" t="str">
        <f t="shared" si="12"/>
        <v/>
      </c>
      <c r="G199" s="190" t="str">
        <f t="shared" si="16"/>
        <v/>
      </c>
      <c r="H199" s="503" t="str">
        <f t="shared" si="17"/>
        <v/>
      </c>
      <c r="I199" s="49"/>
    </row>
    <row r="200" spans="2:9" ht="20.100000000000001" customHeight="1" x14ac:dyDescent="0.3">
      <c r="B200" s="198">
        <v>192</v>
      </c>
      <c r="C200" s="501" t="str">
        <f t="shared" si="13"/>
        <v/>
      </c>
      <c r="D200" s="502" t="str">
        <f t="shared" si="14"/>
        <v/>
      </c>
      <c r="E200" s="190" t="str">
        <f t="shared" si="15"/>
        <v/>
      </c>
      <c r="F200" s="196" t="str">
        <f t="shared" si="12"/>
        <v/>
      </c>
      <c r="G200" s="190" t="str">
        <f t="shared" si="16"/>
        <v/>
      </c>
      <c r="H200" s="503" t="str">
        <f t="shared" si="17"/>
        <v/>
      </c>
      <c r="I200" s="49"/>
    </row>
    <row r="201" spans="2:9" ht="20.100000000000001" customHeight="1" x14ac:dyDescent="0.3">
      <c r="B201" s="198">
        <v>193</v>
      </c>
      <c r="C201" s="501" t="str">
        <f t="shared" si="13"/>
        <v/>
      </c>
      <c r="D201" s="502" t="str">
        <f t="shared" si="14"/>
        <v/>
      </c>
      <c r="E201" s="190" t="str">
        <f t="shared" si="15"/>
        <v/>
      </c>
      <c r="F201" s="196" t="str">
        <f t="shared" si="12"/>
        <v/>
      </c>
      <c r="G201" s="190" t="str">
        <f t="shared" si="16"/>
        <v/>
      </c>
      <c r="H201" s="503" t="str">
        <f t="shared" si="17"/>
        <v/>
      </c>
      <c r="I201" s="49"/>
    </row>
    <row r="202" spans="2:9" ht="20.100000000000001" customHeight="1" x14ac:dyDescent="0.3">
      <c r="B202" s="198">
        <v>194</v>
      </c>
      <c r="C202" s="501" t="str">
        <f t="shared" si="13"/>
        <v/>
      </c>
      <c r="D202" s="502" t="str">
        <f t="shared" si="14"/>
        <v/>
      </c>
      <c r="E202" s="190" t="str">
        <f t="shared" si="15"/>
        <v/>
      </c>
      <c r="F202" s="196" t="str">
        <f t="shared" ref="F202:F265" si="18">IF($H$4="","",IF($F$4="원리금균등상환",IFERROR(D202+E202,""),IF($F$4="원금균등상환",D202+E202,"")))</f>
        <v/>
      </c>
      <c r="G202" s="190" t="str">
        <f t="shared" si="16"/>
        <v/>
      </c>
      <c r="H202" s="503" t="str">
        <f t="shared" si="17"/>
        <v/>
      </c>
      <c r="I202" s="49"/>
    </row>
    <row r="203" spans="2:9" ht="20.100000000000001" customHeight="1" x14ac:dyDescent="0.3">
      <c r="B203" s="198">
        <v>195</v>
      </c>
      <c r="C203" s="501" t="str">
        <f t="shared" ref="C203:C266" si="19">IF($H$4="","",IF(B203&gt;($B$6),"",IF(B203&lt;=($B$6),DATE(YEAR($G$4),MONTH($G$4)+B202,DAY($G$4)),"")))</f>
        <v/>
      </c>
      <c r="D203" s="502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190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196" t="str">
        <f t="shared" si="18"/>
        <v/>
      </c>
      <c r="G203" s="190" t="str">
        <f t="shared" ref="G203:G266" si="22">IFERROR(IF(B203&gt;(($D$6+$B$6)*12),"",IF(B203=1,D203,D203+G202)),"")</f>
        <v/>
      </c>
      <c r="H203" s="503" t="str">
        <f t="shared" ref="H203:H266" si="23">IFERROR(IF($H$4="","",H202-D203),"")</f>
        <v/>
      </c>
      <c r="I203" s="49"/>
    </row>
    <row r="204" spans="2:9" ht="20.100000000000001" customHeight="1" x14ac:dyDescent="0.3">
      <c r="B204" s="198">
        <v>196</v>
      </c>
      <c r="C204" s="501" t="str">
        <f t="shared" si="19"/>
        <v/>
      </c>
      <c r="D204" s="502" t="str">
        <f t="shared" si="20"/>
        <v/>
      </c>
      <c r="E204" s="190" t="str">
        <f t="shared" si="21"/>
        <v/>
      </c>
      <c r="F204" s="196" t="str">
        <f t="shared" si="18"/>
        <v/>
      </c>
      <c r="G204" s="190" t="str">
        <f t="shared" si="22"/>
        <v/>
      </c>
      <c r="H204" s="503" t="str">
        <f t="shared" si="23"/>
        <v/>
      </c>
      <c r="I204" s="49"/>
    </row>
    <row r="205" spans="2:9" ht="20.100000000000001" customHeight="1" x14ac:dyDescent="0.3">
      <c r="B205" s="198">
        <v>197</v>
      </c>
      <c r="C205" s="501" t="str">
        <f t="shared" si="19"/>
        <v/>
      </c>
      <c r="D205" s="502" t="str">
        <f t="shared" si="20"/>
        <v/>
      </c>
      <c r="E205" s="190" t="str">
        <f t="shared" si="21"/>
        <v/>
      </c>
      <c r="F205" s="196" t="str">
        <f t="shared" si="18"/>
        <v/>
      </c>
      <c r="G205" s="190" t="str">
        <f t="shared" si="22"/>
        <v/>
      </c>
      <c r="H205" s="503" t="str">
        <f t="shared" si="23"/>
        <v/>
      </c>
      <c r="I205" s="49"/>
    </row>
    <row r="206" spans="2:9" ht="20.100000000000001" customHeight="1" x14ac:dyDescent="0.3">
      <c r="B206" s="198">
        <v>198</v>
      </c>
      <c r="C206" s="501" t="str">
        <f t="shared" si="19"/>
        <v/>
      </c>
      <c r="D206" s="502" t="str">
        <f t="shared" si="20"/>
        <v/>
      </c>
      <c r="E206" s="190" t="str">
        <f t="shared" si="21"/>
        <v/>
      </c>
      <c r="F206" s="196" t="str">
        <f t="shared" si="18"/>
        <v/>
      </c>
      <c r="G206" s="190" t="str">
        <f t="shared" si="22"/>
        <v/>
      </c>
      <c r="H206" s="503" t="str">
        <f t="shared" si="23"/>
        <v/>
      </c>
      <c r="I206" s="49"/>
    </row>
    <row r="207" spans="2:9" ht="20.100000000000001" customHeight="1" x14ac:dyDescent="0.3">
      <c r="B207" s="198">
        <v>199</v>
      </c>
      <c r="C207" s="501" t="str">
        <f t="shared" si="19"/>
        <v/>
      </c>
      <c r="D207" s="502" t="str">
        <f t="shared" si="20"/>
        <v/>
      </c>
      <c r="E207" s="190" t="str">
        <f t="shared" si="21"/>
        <v/>
      </c>
      <c r="F207" s="196" t="str">
        <f t="shared" si="18"/>
        <v/>
      </c>
      <c r="G207" s="190" t="str">
        <f t="shared" si="22"/>
        <v/>
      </c>
      <c r="H207" s="503" t="str">
        <f t="shared" si="23"/>
        <v/>
      </c>
      <c r="I207" s="49"/>
    </row>
    <row r="208" spans="2:9" ht="20.100000000000001" customHeight="1" x14ac:dyDescent="0.3">
      <c r="B208" s="198">
        <v>200</v>
      </c>
      <c r="C208" s="501" t="str">
        <f t="shared" si="19"/>
        <v/>
      </c>
      <c r="D208" s="502" t="str">
        <f t="shared" si="20"/>
        <v/>
      </c>
      <c r="E208" s="190" t="str">
        <f t="shared" si="21"/>
        <v/>
      </c>
      <c r="F208" s="196" t="str">
        <f t="shared" si="18"/>
        <v/>
      </c>
      <c r="G208" s="190" t="str">
        <f t="shared" si="22"/>
        <v/>
      </c>
      <c r="H208" s="503" t="str">
        <f t="shared" si="23"/>
        <v/>
      </c>
      <c r="I208" s="49"/>
    </row>
    <row r="209" spans="2:9" ht="20.100000000000001" customHeight="1" x14ac:dyDescent="0.3">
      <c r="B209" s="198">
        <v>201</v>
      </c>
      <c r="C209" s="501" t="str">
        <f t="shared" si="19"/>
        <v/>
      </c>
      <c r="D209" s="502" t="str">
        <f t="shared" si="20"/>
        <v/>
      </c>
      <c r="E209" s="190" t="str">
        <f t="shared" si="21"/>
        <v/>
      </c>
      <c r="F209" s="196" t="str">
        <f t="shared" si="18"/>
        <v/>
      </c>
      <c r="G209" s="190" t="str">
        <f t="shared" si="22"/>
        <v/>
      </c>
      <c r="H209" s="503" t="str">
        <f t="shared" si="23"/>
        <v/>
      </c>
      <c r="I209" s="49"/>
    </row>
    <row r="210" spans="2:9" ht="20.100000000000001" customHeight="1" x14ac:dyDescent="0.3">
      <c r="B210" s="198">
        <v>202</v>
      </c>
      <c r="C210" s="501" t="str">
        <f t="shared" si="19"/>
        <v/>
      </c>
      <c r="D210" s="502" t="str">
        <f t="shared" si="20"/>
        <v/>
      </c>
      <c r="E210" s="190" t="str">
        <f t="shared" si="21"/>
        <v/>
      </c>
      <c r="F210" s="196" t="str">
        <f t="shared" si="18"/>
        <v/>
      </c>
      <c r="G210" s="190" t="str">
        <f t="shared" si="22"/>
        <v/>
      </c>
      <c r="H210" s="503" t="str">
        <f t="shared" si="23"/>
        <v/>
      </c>
      <c r="I210" s="49"/>
    </row>
    <row r="211" spans="2:9" ht="20.100000000000001" customHeight="1" x14ac:dyDescent="0.3">
      <c r="B211" s="198">
        <v>203</v>
      </c>
      <c r="C211" s="501" t="str">
        <f t="shared" si="19"/>
        <v/>
      </c>
      <c r="D211" s="502" t="str">
        <f t="shared" si="20"/>
        <v/>
      </c>
      <c r="E211" s="190" t="str">
        <f t="shared" si="21"/>
        <v/>
      </c>
      <c r="F211" s="196" t="str">
        <f t="shared" si="18"/>
        <v/>
      </c>
      <c r="G211" s="190" t="str">
        <f t="shared" si="22"/>
        <v/>
      </c>
      <c r="H211" s="503" t="str">
        <f t="shared" si="23"/>
        <v/>
      </c>
      <c r="I211" s="49"/>
    </row>
    <row r="212" spans="2:9" ht="20.100000000000001" customHeight="1" x14ac:dyDescent="0.3">
      <c r="B212" s="198">
        <v>204</v>
      </c>
      <c r="C212" s="501" t="str">
        <f t="shared" si="19"/>
        <v/>
      </c>
      <c r="D212" s="502" t="str">
        <f t="shared" si="20"/>
        <v/>
      </c>
      <c r="E212" s="190" t="str">
        <f t="shared" si="21"/>
        <v/>
      </c>
      <c r="F212" s="196" t="str">
        <f t="shared" si="18"/>
        <v/>
      </c>
      <c r="G212" s="190" t="str">
        <f t="shared" si="22"/>
        <v/>
      </c>
      <c r="H212" s="503" t="str">
        <f t="shared" si="23"/>
        <v/>
      </c>
      <c r="I212" s="49"/>
    </row>
    <row r="213" spans="2:9" ht="20.100000000000001" customHeight="1" x14ac:dyDescent="0.3">
      <c r="B213" s="198">
        <v>205</v>
      </c>
      <c r="C213" s="501" t="str">
        <f t="shared" si="19"/>
        <v/>
      </c>
      <c r="D213" s="502" t="str">
        <f t="shared" si="20"/>
        <v/>
      </c>
      <c r="E213" s="190" t="str">
        <f t="shared" si="21"/>
        <v/>
      </c>
      <c r="F213" s="196" t="str">
        <f t="shared" si="18"/>
        <v/>
      </c>
      <c r="G213" s="190" t="str">
        <f t="shared" si="22"/>
        <v/>
      </c>
      <c r="H213" s="503" t="str">
        <f t="shared" si="23"/>
        <v/>
      </c>
      <c r="I213" s="49"/>
    </row>
    <row r="214" spans="2:9" ht="20.100000000000001" customHeight="1" x14ac:dyDescent="0.3">
      <c r="B214" s="198">
        <v>206</v>
      </c>
      <c r="C214" s="501" t="str">
        <f t="shared" si="19"/>
        <v/>
      </c>
      <c r="D214" s="502" t="str">
        <f t="shared" si="20"/>
        <v/>
      </c>
      <c r="E214" s="190" t="str">
        <f t="shared" si="21"/>
        <v/>
      </c>
      <c r="F214" s="196" t="str">
        <f t="shared" si="18"/>
        <v/>
      </c>
      <c r="G214" s="190" t="str">
        <f t="shared" si="22"/>
        <v/>
      </c>
      <c r="H214" s="503" t="str">
        <f t="shared" si="23"/>
        <v/>
      </c>
      <c r="I214" s="49"/>
    </row>
    <row r="215" spans="2:9" ht="20.100000000000001" customHeight="1" x14ac:dyDescent="0.3">
      <c r="B215" s="198">
        <v>207</v>
      </c>
      <c r="C215" s="501" t="str">
        <f t="shared" si="19"/>
        <v/>
      </c>
      <c r="D215" s="502" t="str">
        <f t="shared" si="20"/>
        <v/>
      </c>
      <c r="E215" s="190" t="str">
        <f t="shared" si="21"/>
        <v/>
      </c>
      <c r="F215" s="196" t="str">
        <f t="shared" si="18"/>
        <v/>
      </c>
      <c r="G215" s="190" t="str">
        <f t="shared" si="22"/>
        <v/>
      </c>
      <c r="H215" s="503" t="str">
        <f t="shared" si="23"/>
        <v/>
      </c>
      <c r="I215" s="49"/>
    </row>
    <row r="216" spans="2:9" ht="20.100000000000001" customHeight="1" x14ac:dyDescent="0.3">
      <c r="B216" s="198">
        <v>208</v>
      </c>
      <c r="C216" s="501" t="str">
        <f t="shared" si="19"/>
        <v/>
      </c>
      <c r="D216" s="502" t="str">
        <f t="shared" si="20"/>
        <v/>
      </c>
      <c r="E216" s="190" t="str">
        <f t="shared" si="21"/>
        <v/>
      </c>
      <c r="F216" s="196" t="str">
        <f t="shared" si="18"/>
        <v/>
      </c>
      <c r="G216" s="190" t="str">
        <f t="shared" si="22"/>
        <v/>
      </c>
      <c r="H216" s="503" t="str">
        <f t="shared" si="23"/>
        <v/>
      </c>
      <c r="I216" s="49"/>
    </row>
    <row r="217" spans="2:9" ht="20.100000000000001" customHeight="1" x14ac:dyDescent="0.3">
      <c r="B217" s="198">
        <v>209</v>
      </c>
      <c r="C217" s="501" t="str">
        <f t="shared" si="19"/>
        <v/>
      </c>
      <c r="D217" s="502" t="str">
        <f t="shared" si="20"/>
        <v/>
      </c>
      <c r="E217" s="190" t="str">
        <f t="shared" si="21"/>
        <v/>
      </c>
      <c r="F217" s="196" t="str">
        <f t="shared" si="18"/>
        <v/>
      </c>
      <c r="G217" s="190" t="str">
        <f t="shared" si="22"/>
        <v/>
      </c>
      <c r="H217" s="503" t="str">
        <f t="shared" si="23"/>
        <v/>
      </c>
      <c r="I217" s="49"/>
    </row>
    <row r="218" spans="2:9" ht="20.100000000000001" customHeight="1" x14ac:dyDescent="0.3">
      <c r="B218" s="198">
        <v>210</v>
      </c>
      <c r="C218" s="501" t="str">
        <f t="shared" si="19"/>
        <v/>
      </c>
      <c r="D218" s="502" t="str">
        <f t="shared" si="20"/>
        <v/>
      </c>
      <c r="E218" s="190" t="str">
        <f t="shared" si="21"/>
        <v/>
      </c>
      <c r="F218" s="196" t="str">
        <f t="shared" si="18"/>
        <v/>
      </c>
      <c r="G218" s="190" t="str">
        <f t="shared" si="22"/>
        <v/>
      </c>
      <c r="H218" s="503" t="str">
        <f t="shared" si="23"/>
        <v/>
      </c>
      <c r="I218" s="49"/>
    </row>
    <row r="219" spans="2:9" ht="20.100000000000001" customHeight="1" x14ac:dyDescent="0.3">
      <c r="B219" s="198">
        <v>211</v>
      </c>
      <c r="C219" s="501" t="str">
        <f t="shared" si="19"/>
        <v/>
      </c>
      <c r="D219" s="502" t="str">
        <f t="shared" si="20"/>
        <v/>
      </c>
      <c r="E219" s="190" t="str">
        <f t="shared" si="21"/>
        <v/>
      </c>
      <c r="F219" s="196" t="str">
        <f t="shared" si="18"/>
        <v/>
      </c>
      <c r="G219" s="190" t="str">
        <f t="shared" si="22"/>
        <v/>
      </c>
      <c r="H219" s="503" t="str">
        <f t="shared" si="23"/>
        <v/>
      </c>
      <c r="I219" s="49"/>
    </row>
    <row r="220" spans="2:9" ht="20.100000000000001" customHeight="1" x14ac:dyDescent="0.3">
      <c r="B220" s="198">
        <v>212</v>
      </c>
      <c r="C220" s="501" t="str">
        <f t="shared" si="19"/>
        <v/>
      </c>
      <c r="D220" s="502" t="str">
        <f t="shared" si="20"/>
        <v/>
      </c>
      <c r="E220" s="190" t="str">
        <f t="shared" si="21"/>
        <v/>
      </c>
      <c r="F220" s="196" t="str">
        <f t="shared" si="18"/>
        <v/>
      </c>
      <c r="G220" s="190" t="str">
        <f t="shared" si="22"/>
        <v/>
      </c>
      <c r="H220" s="503" t="str">
        <f t="shared" si="23"/>
        <v/>
      </c>
      <c r="I220" s="49"/>
    </row>
    <row r="221" spans="2:9" ht="20.100000000000001" customHeight="1" x14ac:dyDescent="0.3">
      <c r="B221" s="198">
        <v>213</v>
      </c>
      <c r="C221" s="501" t="str">
        <f t="shared" si="19"/>
        <v/>
      </c>
      <c r="D221" s="502" t="str">
        <f t="shared" si="20"/>
        <v/>
      </c>
      <c r="E221" s="190" t="str">
        <f t="shared" si="21"/>
        <v/>
      </c>
      <c r="F221" s="196" t="str">
        <f t="shared" si="18"/>
        <v/>
      </c>
      <c r="G221" s="190" t="str">
        <f t="shared" si="22"/>
        <v/>
      </c>
      <c r="H221" s="503" t="str">
        <f t="shared" si="23"/>
        <v/>
      </c>
      <c r="I221" s="49"/>
    </row>
    <row r="222" spans="2:9" ht="20.100000000000001" customHeight="1" x14ac:dyDescent="0.3">
      <c r="B222" s="198">
        <v>214</v>
      </c>
      <c r="C222" s="501" t="str">
        <f t="shared" si="19"/>
        <v/>
      </c>
      <c r="D222" s="502" t="str">
        <f t="shared" si="20"/>
        <v/>
      </c>
      <c r="E222" s="190" t="str">
        <f t="shared" si="21"/>
        <v/>
      </c>
      <c r="F222" s="196" t="str">
        <f t="shared" si="18"/>
        <v/>
      </c>
      <c r="G222" s="190" t="str">
        <f t="shared" si="22"/>
        <v/>
      </c>
      <c r="H222" s="503" t="str">
        <f t="shared" si="23"/>
        <v/>
      </c>
      <c r="I222" s="49"/>
    </row>
    <row r="223" spans="2:9" ht="20.100000000000001" customHeight="1" x14ac:dyDescent="0.3">
      <c r="B223" s="198">
        <v>215</v>
      </c>
      <c r="C223" s="501" t="str">
        <f t="shared" si="19"/>
        <v/>
      </c>
      <c r="D223" s="502" t="str">
        <f t="shared" si="20"/>
        <v/>
      </c>
      <c r="E223" s="190" t="str">
        <f t="shared" si="21"/>
        <v/>
      </c>
      <c r="F223" s="196" t="str">
        <f t="shared" si="18"/>
        <v/>
      </c>
      <c r="G223" s="190" t="str">
        <f t="shared" si="22"/>
        <v/>
      </c>
      <c r="H223" s="503" t="str">
        <f t="shared" si="23"/>
        <v/>
      </c>
      <c r="I223" s="49"/>
    </row>
    <row r="224" spans="2:9" ht="20.100000000000001" customHeight="1" x14ac:dyDescent="0.3">
      <c r="B224" s="198">
        <v>216</v>
      </c>
      <c r="C224" s="501" t="str">
        <f t="shared" si="19"/>
        <v/>
      </c>
      <c r="D224" s="502" t="str">
        <f t="shared" si="20"/>
        <v/>
      </c>
      <c r="E224" s="190" t="str">
        <f t="shared" si="21"/>
        <v/>
      </c>
      <c r="F224" s="196" t="str">
        <f t="shared" si="18"/>
        <v/>
      </c>
      <c r="G224" s="190" t="str">
        <f t="shared" si="22"/>
        <v/>
      </c>
      <c r="H224" s="503" t="str">
        <f t="shared" si="23"/>
        <v/>
      </c>
      <c r="I224" s="49"/>
    </row>
    <row r="225" spans="2:9" ht="20.100000000000001" customHeight="1" x14ac:dyDescent="0.3">
      <c r="B225" s="198">
        <v>217</v>
      </c>
      <c r="C225" s="501" t="str">
        <f t="shared" si="19"/>
        <v/>
      </c>
      <c r="D225" s="502" t="str">
        <f t="shared" si="20"/>
        <v/>
      </c>
      <c r="E225" s="190" t="str">
        <f t="shared" si="21"/>
        <v/>
      </c>
      <c r="F225" s="196" t="str">
        <f t="shared" si="18"/>
        <v/>
      </c>
      <c r="G225" s="190" t="str">
        <f t="shared" si="22"/>
        <v/>
      </c>
      <c r="H225" s="503" t="str">
        <f t="shared" si="23"/>
        <v/>
      </c>
      <c r="I225" s="49"/>
    </row>
    <row r="226" spans="2:9" ht="20.100000000000001" customHeight="1" x14ac:dyDescent="0.3">
      <c r="B226" s="198">
        <v>218</v>
      </c>
      <c r="C226" s="501" t="str">
        <f t="shared" si="19"/>
        <v/>
      </c>
      <c r="D226" s="502" t="str">
        <f t="shared" si="20"/>
        <v/>
      </c>
      <c r="E226" s="190" t="str">
        <f t="shared" si="21"/>
        <v/>
      </c>
      <c r="F226" s="196" t="str">
        <f t="shared" si="18"/>
        <v/>
      </c>
      <c r="G226" s="190" t="str">
        <f t="shared" si="22"/>
        <v/>
      </c>
      <c r="H226" s="503" t="str">
        <f t="shared" si="23"/>
        <v/>
      </c>
      <c r="I226" s="49"/>
    </row>
    <row r="227" spans="2:9" ht="20.100000000000001" customHeight="1" x14ac:dyDescent="0.3">
      <c r="B227" s="198">
        <v>219</v>
      </c>
      <c r="C227" s="501" t="str">
        <f t="shared" si="19"/>
        <v/>
      </c>
      <c r="D227" s="502" t="str">
        <f t="shared" si="20"/>
        <v/>
      </c>
      <c r="E227" s="190" t="str">
        <f t="shared" si="21"/>
        <v/>
      </c>
      <c r="F227" s="196" t="str">
        <f t="shared" si="18"/>
        <v/>
      </c>
      <c r="G227" s="190" t="str">
        <f t="shared" si="22"/>
        <v/>
      </c>
      <c r="H227" s="503" t="str">
        <f t="shared" si="23"/>
        <v/>
      </c>
      <c r="I227" s="49"/>
    </row>
    <row r="228" spans="2:9" ht="20.100000000000001" customHeight="1" x14ac:dyDescent="0.3">
      <c r="B228" s="198">
        <v>220</v>
      </c>
      <c r="C228" s="501" t="str">
        <f t="shared" si="19"/>
        <v/>
      </c>
      <c r="D228" s="502" t="str">
        <f t="shared" si="20"/>
        <v/>
      </c>
      <c r="E228" s="190" t="str">
        <f t="shared" si="21"/>
        <v/>
      </c>
      <c r="F228" s="196" t="str">
        <f t="shared" si="18"/>
        <v/>
      </c>
      <c r="G228" s="190" t="str">
        <f t="shared" si="22"/>
        <v/>
      </c>
      <c r="H228" s="503" t="str">
        <f t="shared" si="23"/>
        <v/>
      </c>
      <c r="I228" s="49"/>
    </row>
    <row r="229" spans="2:9" ht="20.100000000000001" customHeight="1" x14ac:dyDescent="0.3">
      <c r="B229" s="198">
        <v>221</v>
      </c>
      <c r="C229" s="501" t="str">
        <f t="shared" si="19"/>
        <v/>
      </c>
      <c r="D229" s="502" t="str">
        <f t="shared" si="20"/>
        <v/>
      </c>
      <c r="E229" s="190" t="str">
        <f t="shared" si="21"/>
        <v/>
      </c>
      <c r="F229" s="196" t="str">
        <f t="shared" si="18"/>
        <v/>
      </c>
      <c r="G229" s="190" t="str">
        <f t="shared" si="22"/>
        <v/>
      </c>
      <c r="H229" s="503" t="str">
        <f t="shared" si="23"/>
        <v/>
      </c>
      <c r="I229" s="49"/>
    </row>
    <row r="230" spans="2:9" ht="20.100000000000001" customHeight="1" x14ac:dyDescent="0.3">
      <c r="B230" s="198">
        <v>222</v>
      </c>
      <c r="C230" s="501" t="str">
        <f t="shared" si="19"/>
        <v/>
      </c>
      <c r="D230" s="502" t="str">
        <f t="shared" si="20"/>
        <v/>
      </c>
      <c r="E230" s="190" t="str">
        <f t="shared" si="21"/>
        <v/>
      </c>
      <c r="F230" s="196" t="str">
        <f t="shared" si="18"/>
        <v/>
      </c>
      <c r="G230" s="190" t="str">
        <f t="shared" si="22"/>
        <v/>
      </c>
      <c r="H230" s="503" t="str">
        <f t="shared" si="23"/>
        <v/>
      </c>
      <c r="I230" s="49"/>
    </row>
    <row r="231" spans="2:9" ht="20.100000000000001" customHeight="1" x14ac:dyDescent="0.3">
      <c r="B231" s="198">
        <v>223</v>
      </c>
      <c r="C231" s="501" t="str">
        <f t="shared" si="19"/>
        <v/>
      </c>
      <c r="D231" s="502" t="str">
        <f t="shared" si="20"/>
        <v/>
      </c>
      <c r="E231" s="190" t="str">
        <f t="shared" si="21"/>
        <v/>
      </c>
      <c r="F231" s="196" t="str">
        <f t="shared" si="18"/>
        <v/>
      </c>
      <c r="G231" s="190" t="str">
        <f t="shared" si="22"/>
        <v/>
      </c>
      <c r="H231" s="503" t="str">
        <f t="shared" si="23"/>
        <v/>
      </c>
      <c r="I231" s="49"/>
    </row>
    <row r="232" spans="2:9" ht="20.100000000000001" customHeight="1" x14ac:dyDescent="0.3">
      <c r="B232" s="198">
        <v>224</v>
      </c>
      <c r="C232" s="501" t="str">
        <f t="shared" si="19"/>
        <v/>
      </c>
      <c r="D232" s="502" t="str">
        <f t="shared" si="20"/>
        <v/>
      </c>
      <c r="E232" s="190" t="str">
        <f t="shared" si="21"/>
        <v/>
      </c>
      <c r="F232" s="196" t="str">
        <f t="shared" si="18"/>
        <v/>
      </c>
      <c r="G232" s="190" t="str">
        <f t="shared" si="22"/>
        <v/>
      </c>
      <c r="H232" s="503" t="str">
        <f t="shared" si="23"/>
        <v/>
      </c>
      <c r="I232" s="49"/>
    </row>
    <row r="233" spans="2:9" ht="20.100000000000001" customHeight="1" x14ac:dyDescent="0.3">
      <c r="B233" s="198">
        <v>225</v>
      </c>
      <c r="C233" s="501" t="str">
        <f t="shared" si="19"/>
        <v/>
      </c>
      <c r="D233" s="502" t="str">
        <f t="shared" si="20"/>
        <v/>
      </c>
      <c r="E233" s="190" t="str">
        <f t="shared" si="21"/>
        <v/>
      </c>
      <c r="F233" s="196" t="str">
        <f t="shared" si="18"/>
        <v/>
      </c>
      <c r="G233" s="190" t="str">
        <f t="shared" si="22"/>
        <v/>
      </c>
      <c r="H233" s="503" t="str">
        <f t="shared" si="23"/>
        <v/>
      </c>
      <c r="I233" s="49"/>
    </row>
    <row r="234" spans="2:9" ht="20.100000000000001" customHeight="1" x14ac:dyDescent="0.3">
      <c r="B234" s="198">
        <v>226</v>
      </c>
      <c r="C234" s="501" t="str">
        <f t="shared" si="19"/>
        <v/>
      </c>
      <c r="D234" s="502" t="str">
        <f t="shared" si="20"/>
        <v/>
      </c>
      <c r="E234" s="190" t="str">
        <f t="shared" si="21"/>
        <v/>
      </c>
      <c r="F234" s="196" t="str">
        <f t="shared" si="18"/>
        <v/>
      </c>
      <c r="G234" s="190" t="str">
        <f t="shared" si="22"/>
        <v/>
      </c>
      <c r="H234" s="503" t="str">
        <f t="shared" si="23"/>
        <v/>
      </c>
      <c r="I234" s="49"/>
    </row>
    <row r="235" spans="2:9" ht="20.100000000000001" customHeight="1" x14ac:dyDescent="0.3">
      <c r="B235" s="198">
        <v>227</v>
      </c>
      <c r="C235" s="501" t="str">
        <f t="shared" si="19"/>
        <v/>
      </c>
      <c r="D235" s="502" t="str">
        <f t="shared" si="20"/>
        <v/>
      </c>
      <c r="E235" s="190" t="str">
        <f t="shared" si="21"/>
        <v/>
      </c>
      <c r="F235" s="196" t="str">
        <f t="shared" si="18"/>
        <v/>
      </c>
      <c r="G235" s="190" t="str">
        <f t="shared" si="22"/>
        <v/>
      </c>
      <c r="H235" s="503" t="str">
        <f t="shared" si="23"/>
        <v/>
      </c>
      <c r="I235" s="49"/>
    </row>
    <row r="236" spans="2:9" ht="20.100000000000001" customHeight="1" x14ac:dyDescent="0.3">
      <c r="B236" s="198">
        <v>228</v>
      </c>
      <c r="C236" s="501" t="str">
        <f t="shared" si="19"/>
        <v/>
      </c>
      <c r="D236" s="502" t="str">
        <f t="shared" si="20"/>
        <v/>
      </c>
      <c r="E236" s="190" t="str">
        <f t="shared" si="21"/>
        <v/>
      </c>
      <c r="F236" s="196" t="str">
        <f t="shared" si="18"/>
        <v/>
      </c>
      <c r="G236" s="190" t="str">
        <f t="shared" si="22"/>
        <v/>
      </c>
      <c r="H236" s="503" t="str">
        <f t="shared" si="23"/>
        <v/>
      </c>
      <c r="I236" s="49"/>
    </row>
    <row r="237" spans="2:9" ht="20.100000000000001" customHeight="1" x14ac:dyDescent="0.3">
      <c r="B237" s="198">
        <v>229</v>
      </c>
      <c r="C237" s="501" t="str">
        <f t="shared" si="19"/>
        <v/>
      </c>
      <c r="D237" s="502" t="str">
        <f t="shared" si="20"/>
        <v/>
      </c>
      <c r="E237" s="190" t="str">
        <f t="shared" si="21"/>
        <v/>
      </c>
      <c r="F237" s="196" t="str">
        <f t="shared" si="18"/>
        <v/>
      </c>
      <c r="G237" s="190" t="str">
        <f t="shared" si="22"/>
        <v/>
      </c>
      <c r="H237" s="503" t="str">
        <f t="shared" si="23"/>
        <v/>
      </c>
      <c r="I237" s="49"/>
    </row>
    <row r="238" spans="2:9" ht="20.100000000000001" customHeight="1" x14ac:dyDescent="0.3">
      <c r="B238" s="198">
        <v>230</v>
      </c>
      <c r="C238" s="501" t="str">
        <f t="shared" si="19"/>
        <v/>
      </c>
      <c r="D238" s="502" t="str">
        <f t="shared" si="20"/>
        <v/>
      </c>
      <c r="E238" s="190" t="str">
        <f t="shared" si="21"/>
        <v/>
      </c>
      <c r="F238" s="196" t="str">
        <f t="shared" si="18"/>
        <v/>
      </c>
      <c r="G238" s="190" t="str">
        <f t="shared" si="22"/>
        <v/>
      </c>
      <c r="H238" s="503" t="str">
        <f t="shared" si="23"/>
        <v/>
      </c>
      <c r="I238" s="49"/>
    </row>
    <row r="239" spans="2:9" ht="20.100000000000001" customHeight="1" x14ac:dyDescent="0.3">
      <c r="B239" s="198">
        <v>231</v>
      </c>
      <c r="C239" s="501" t="str">
        <f t="shared" si="19"/>
        <v/>
      </c>
      <c r="D239" s="502" t="str">
        <f t="shared" si="20"/>
        <v/>
      </c>
      <c r="E239" s="190" t="str">
        <f t="shared" si="21"/>
        <v/>
      </c>
      <c r="F239" s="196" t="str">
        <f t="shared" si="18"/>
        <v/>
      </c>
      <c r="G239" s="190" t="str">
        <f t="shared" si="22"/>
        <v/>
      </c>
      <c r="H239" s="503" t="str">
        <f t="shared" si="23"/>
        <v/>
      </c>
      <c r="I239" s="49"/>
    </row>
    <row r="240" spans="2:9" ht="20.100000000000001" customHeight="1" x14ac:dyDescent="0.3">
      <c r="B240" s="198">
        <v>232</v>
      </c>
      <c r="C240" s="501" t="str">
        <f t="shared" si="19"/>
        <v/>
      </c>
      <c r="D240" s="502" t="str">
        <f t="shared" si="20"/>
        <v/>
      </c>
      <c r="E240" s="190" t="str">
        <f t="shared" si="21"/>
        <v/>
      </c>
      <c r="F240" s="196" t="str">
        <f t="shared" si="18"/>
        <v/>
      </c>
      <c r="G240" s="190" t="str">
        <f t="shared" si="22"/>
        <v/>
      </c>
      <c r="H240" s="503" t="str">
        <f t="shared" si="23"/>
        <v/>
      </c>
      <c r="I240" s="49"/>
    </row>
    <row r="241" spans="2:9" ht="20.100000000000001" customHeight="1" x14ac:dyDescent="0.3">
      <c r="B241" s="198">
        <v>233</v>
      </c>
      <c r="C241" s="501" t="str">
        <f t="shared" si="19"/>
        <v/>
      </c>
      <c r="D241" s="502" t="str">
        <f t="shared" si="20"/>
        <v/>
      </c>
      <c r="E241" s="190" t="str">
        <f t="shared" si="21"/>
        <v/>
      </c>
      <c r="F241" s="196" t="str">
        <f t="shared" si="18"/>
        <v/>
      </c>
      <c r="G241" s="190" t="str">
        <f t="shared" si="22"/>
        <v/>
      </c>
      <c r="H241" s="503" t="str">
        <f t="shared" si="23"/>
        <v/>
      </c>
      <c r="I241" s="49"/>
    </row>
    <row r="242" spans="2:9" ht="20.100000000000001" customHeight="1" x14ac:dyDescent="0.3">
      <c r="B242" s="198">
        <v>234</v>
      </c>
      <c r="C242" s="501" t="str">
        <f t="shared" si="19"/>
        <v/>
      </c>
      <c r="D242" s="502" t="str">
        <f t="shared" si="20"/>
        <v/>
      </c>
      <c r="E242" s="190" t="str">
        <f t="shared" si="21"/>
        <v/>
      </c>
      <c r="F242" s="196" t="str">
        <f t="shared" si="18"/>
        <v/>
      </c>
      <c r="G242" s="190" t="str">
        <f t="shared" si="22"/>
        <v/>
      </c>
      <c r="H242" s="503" t="str">
        <f t="shared" si="23"/>
        <v/>
      </c>
      <c r="I242" s="49"/>
    </row>
    <row r="243" spans="2:9" ht="20.100000000000001" customHeight="1" x14ac:dyDescent="0.3">
      <c r="B243" s="198">
        <v>235</v>
      </c>
      <c r="C243" s="501" t="str">
        <f t="shared" si="19"/>
        <v/>
      </c>
      <c r="D243" s="502" t="str">
        <f t="shared" si="20"/>
        <v/>
      </c>
      <c r="E243" s="190" t="str">
        <f t="shared" si="21"/>
        <v/>
      </c>
      <c r="F243" s="196" t="str">
        <f t="shared" si="18"/>
        <v/>
      </c>
      <c r="G243" s="190" t="str">
        <f t="shared" si="22"/>
        <v/>
      </c>
      <c r="H243" s="503" t="str">
        <f t="shared" si="23"/>
        <v/>
      </c>
      <c r="I243" s="49"/>
    </row>
    <row r="244" spans="2:9" ht="20.100000000000001" customHeight="1" x14ac:dyDescent="0.3">
      <c r="B244" s="198">
        <v>236</v>
      </c>
      <c r="C244" s="501" t="str">
        <f t="shared" si="19"/>
        <v/>
      </c>
      <c r="D244" s="502" t="str">
        <f t="shared" si="20"/>
        <v/>
      </c>
      <c r="E244" s="190" t="str">
        <f t="shared" si="21"/>
        <v/>
      </c>
      <c r="F244" s="196" t="str">
        <f t="shared" si="18"/>
        <v/>
      </c>
      <c r="G244" s="190" t="str">
        <f t="shared" si="22"/>
        <v/>
      </c>
      <c r="H244" s="503" t="str">
        <f t="shared" si="23"/>
        <v/>
      </c>
      <c r="I244" s="49"/>
    </row>
    <row r="245" spans="2:9" ht="20.100000000000001" customHeight="1" x14ac:dyDescent="0.3">
      <c r="B245" s="198">
        <v>237</v>
      </c>
      <c r="C245" s="501" t="str">
        <f t="shared" si="19"/>
        <v/>
      </c>
      <c r="D245" s="502" t="str">
        <f t="shared" si="20"/>
        <v/>
      </c>
      <c r="E245" s="190" t="str">
        <f t="shared" si="21"/>
        <v/>
      </c>
      <c r="F245" s="196" t="str">
        <f t="shared" si="18"/>
        <v/>
      </c>
      <c r="G245" s="190" t="str">
        <f t="shared" si="22"/>
        <v/>
      </c>
      <c r="H245" s="503" t="str">
        <f t="shared" si="23"/>
        <v/>
      </c>
      <c r="I245" s="49"/>
    </row>
    <row r="246" spans="2:9" ht="20.100000000000001" customHeight="1" x14ac:dyDescent="0.3">
      <c r="B246" s="198">
        <v>238</v>
      </c>
      <c r="C246" s="501" t="str">
        <f t="shared" si="19"/>
        <v/>
      </c>
      <c r="D246" s="502" t="str">
        <f t="shared" si="20"/>
        <v/>
      </c>
      <c r="E246" s="190" t="str">
        <f t="shared" si="21"/>
        <v/>
      </c>
      <c r="F246" s="196" t="str">
        <f t="shared" si="18"/>
        <v/>
      </c>
      <c r="G246" s="190" t="str">
        <f t="shared" si="22"/>
        <v/>
      </c>
      <c r="H246" s="503" t="str">
        <f t="shared" si="23"/>
        <v/>
      </c>
      <c r="I246" s="49"/>
    </row>
    <row r="247" spans="2:9" ht="20.100000000000001" customHeight="1" x14ac:dyDescent="0.3">
      <c r="B247" s="198">
        <v>239</v>
      </c>
      <c r="C247" s="501" t="str">
        <f t="shared" si="19"/>
        <v/>
      </c>
      <c r="D247" s="502" t="str">
        <f t="shared" si="20"/>
        <v/>
      </c>
      <c r="E247" s="190" t="str">
        <f t="shared" si="21"/>
        <v/>
      </c>
      <c r="F247" s="196" t="str">
        <f t="shared" si="18"/>
        <v/>
      </c>
      <c r="G247" s="190" t="str">
        <f t="shared" si="22"/>
        <v/>
      </c>
      <c r="H247" s="503" t="str">
        <f t="shared" si="23"/>
        <v/>
      </c>
      <c r="I247" s="49"/>
    </row>
    <row r="248" spans="2:9" ht="20.100000000000001" customHeight="1" x14ac:dyDescent="0.3">
      <c r="B248" s="198">
        <v>240</v>
      </c>
      <c r="C248" s="501" t="str">
        <f t="shared" si="19"/>
        <v/>
      </c>
      <c r="D248" s="502" t="str">
        <f t="shared" si="20"/>
        <v/>
      </c>
      <c r="E248" s="190" t="str">
        <f t="shared" si="21"/>
        <v/>
      </c>
      <c r="F248" s="196" t="str">
        <f t="shared" si="18"/>
        <v/>
      </c>
      <c r="G248" s="190" t="str">
        <f t="shared" si="22"/>
        <v/>
      </c>
      <c r="H248" s="503" t="str">
        <f t="shared" si="23"/>
        <v/>
      </c>
      <c r="I248" s="49"/>
    </row>
    <row r="249" spans="2:9" ht="20.100000000000001" customHeight="1" x14ac:dyDescent="0.3">
      <c r="B249" s="198">
        <v>241</v>
      </c>
      <c r="C249" s="501" t="str">
        <f t="shared" si="19"/>
        <v/>
      </c>
      <c r="D249" s="502" t="str">
        <f t="shared" si="20"/>
        <v/>
      </c>
      <c r="E249" s="190" t="str">
        <f t="shared" si="21"/>
        <v/>
      </c>
      <c r="F249" s="196" t="str">
        <f t="shared" si="18"/>
        <v/>
      </c>
      <c r="G249" s="190" t="str">
        <f t="shared" si="22"/>
        <v/>
      </c>
      <c r="H249" s="503" t="str">
        <f t="shared" si="23"/>
        <v/>
      </c>
      <c r="I249" s="49"/>
    </row>
    <row r="250" spans="2:9" ht="20.100000000000001" customHeight="1" x14ac:dyDescent="0.3">
      <c r="B250" s="198">
        <v>242</v>
      </c>
      <c r="C250" s="501" t="str">
        <f t="shared" si="19"/>
        <v/>
      </c>
      <c r="D250" s="502" t="str">
        <f t="shared" si="20"/>
        <v/>
      </c>
      <c r="E250" s="190" t="str">
        <f t="shared" si="21"/>
        <v/>
      </c>
      <c r="F250" s="196" t="str">
        <f t="shared" si="18"/>
        <v/>
      </c>
      <c r="G250" s="190" t="str">
        <f t="shared" si="22"/>
        <v/>
      </c>
      <c r="H250" s="503" t="str">
        <f t="shared" si="23"/>
        <v/>
      </c>
      <c r="I250" s="49"/>
    </row>
    <row r="251" spans="2:9" ht="20.100000000000001" customHeight="1" x14ac:dyDescent="0.3">
      <c r="B251" s="198">
        <v>243</v>
      </c>
      <c r="C251" s="501" t="str">
        <f t="shared" si="19"/>
        <v/>
      </c>
      <c r="D251" s="502" t="str">
        <f t="shared" si="20"/>
        <v/>
      </c>
      <c r="E251" s="190" t="str">
        <f t="shared" si="21"/>
        <v/>
      </c>
      <c r="F251" s="196" t="str">
        <f t="shared" si="18"/>
        <v/>
      </c>
      <c r="G251" s="190" t="str">
        <f t="shared" si="22"/>
        <v/>
      </c>
      <c r="H251" s="503" t="str">
        <f t="shared" si="23"/>
        <v/>
      </c>
      <c r="I251" s="49"/>
    </row>
    <row r="252" spans="2:9" ht="20.100000000000001" customHeight="1" x14ac:dyDescent="0.3">
      <c r="B252" s="198">
        <v>244</v>
      </c>
      <c r="C252" s="501" t="str">
        <f t="shared" si="19"/>
        <v/>
      </c>
      <c r="D252" s="502" t="str">
        <f t="shared" si="20"/>
        <v/>
      </c>
      <c r="E252" s="190" t="str">
        <f t="shared" si="21"/>
        <v/>
      </c>
      <c r="F252" s="196" t="str">
        <f t="shared" si="18"/>
        <v/>
      </c>
      <c r="G252" s="190" t="str">
        <f t="shared" si="22"/>
        <v/>
      </c>
      <c r="H252" s="503" t="str">
        <f t="shared" si="23"/>
        <v/>
      </c>
      <c r="I252" s="49"/>
    </row>
    <row r="253" spans="2:9" ht="20.100000000000001" customHeight="1" x14ac:dyDescent="0.3">
      <c r="B253" s="198">
        <v>245</v>
      </c>
      <c r="C253" s="501" t="str">
        <f t="shared" si="19"/>
        <v/>
      </c>
      <c r="D253" s="502" t="str">
        <f t="shared" si="20"/>
        <v/>
      </c>
      <c r="E253" s="190" t="str">
        <f t="shared" si="21"/>
        <v/>
      </c>
      <c r="F253" s="196" t="str">
        <f t="shared" si="18"/>
        <v/>
      </c>
      <c r="G253" s="190" t="str">
        <f t="shared" si="22"/>
        <v/>
      </c>
      <c r="H253" s="503" t="str">
        <f t="shared" si="23"/>
        <v/>
      </c>
      <c r="I253" s="49"/>
    </row>
    <row r="254" spans="2:9" ht="20.100000000000001" customHeight="1" x14ac:dyDescent="0.3">
      <c r="B254" s="198">
        <v>246</v>
      </c>
      <c r="C254" s="501" t="str">
        <f t="shared" si="19"/>
        <v/>
      </c>
      <c r="D254" s="502" t="str">
        <f t="shared" si="20"/>
        <v/>
      </c>
      <c r="E254" s="190" t="str">
        <f t="shared" si="21"/>
        <v/>
      </c>
      <c r="F254" s="196" t="str">
        <f t="shared" si="18"/>
        <v/>
      </c>
      <c r="G254" s="190" t="str">
        <f t="shared" si="22"/>
        <v/>
      </c>
      <c r="H254" s="503" t="str">
        <f t="shared" si="23"/>
        <v/>
      </c>
      <c r="I254" s="49"/>
    </row>
    <row r="255" spans="2:9" ht="20.100000000000001" customHeight="1" x14ac:dyDescent="0.3">
      <c r="B255" s="198">
        <v>247</v>
      </c>
      <c r="C255" s="501" t="str">
        <f t="shared" si="19"/>
        <v/>
      </c>
      <c r="D255" s="502" t="str">
        <f t="shared" si="20"/>
        <v/>
      </c>
      <c r="E255" s="190" t="str">
        <f t="shared" si="21"/>
        <v/>
      </c>
      <c r="F255" s="196" t="str">
        <f t="shared" si="18"/>
        <v/>
      </c>
      <c r="G255" s="190" t="str">
        <f t="shared" si="22"/>
        <v/>
      </c>
      <c r="H255" s="503" t="str">
        <f t="shared" si="23"/>
        <v/>
      </c>
      <c r="I255" s="49"/>
    </row>
    <row r="256" spans="2:9" ht="20.100000000000001" customHeight="1" x14ac:dyDescent="0.3">
      <c r="B256" s="198">
        <v>248</v>
      </c>
      <c r="C256" s="501" t="str">
        <f t="shared" si="19"/>
        <v/>
      </c>
      <c r="D256" s="502" t="str">
        <f t="shared" si="20"/>
        <v/>
      </c>
      <c r="E256" s="190" t="str">
        <f t="shared" si="21"/>
        <v/>
      </c>
      <c r="F256" s="196" t="str">
        <f t="shared" si="18"/>
        <v/>
      </c>
      <c r="G256" s="190" t="str">
        <f t="shared" si="22"/>
        <v/>
      </c>
      <c r="H256" s="503" t="str">
        <f t="shared" si="23"/>
        <v/>
      </c>
      <c r="I256" s="49"/>
    </row>
    <row r="257" spans="2:9" ht="20.100000000000001" customHeight="1" x14ac:dyDescent="0.3">
      <c r="B257" s="198">
        <v>249</v>
      </c>
      <c r="C257" s="501" t="str">
        <f t="shared" si="19"/>
        <v/>
      </c>
      <c r="D257" s="502" t="str">
        <f t="shared" si="20"/>
        <v/>
      </c>
      <c r="E257" s="190" t="str">
        <f t="shared" si="21"/>
        <v/>
      </c>
      <c r="F257" s="196" t="str">
        <f t="shared" si="18"/>
        <v/>
      </c>
      <c r="G257" s="190" t="str">
        <f t="shared" si="22"/>
        <v/>
      </c>
      <c r="H257" s="503" t="str">
        <f t="shared" si="23"/>
        <v/>
      </c>
      <c r="I257" s="49"/>
    </row>
    <row r="258" spans="2:9" ht="20.100000000000001" customHeight="1" x14ac:dyDescent="0.3">
      <c r="B258" s="198">
        <v>250</v>
      </c>
      <c r="C258" s="501" t="str">
        <f t="shared" si="19"/>
        <v/>
      </c>
      <c r="D258" s="502" t="str">
        <f t="shared" si="20"/>
        <v/>
      </c>
      <c r="E258" s="190" t="str">
        <f t="shared" si="21"/>
        <v/>
      </c>
      <c r="F258" s="196" t="str">
        <f t="shared" si="18"/>
        <v/>
      </c>
      <c r="G258" s="190" t="str">
        <f t="shared" si="22"/>
        <v/>
      </c>
      <c r="H258" s="503" t="str">
        <f t="shared" si="23"/>
        <v/>
      </c>
      <c r="I258" s="49"/>
    </row>
    <row r="259" spans="2:9" ht="20.100000000000001" customHeight="1" x14ac:dyDescent="0.3">
      <c r="B259" s="198">
        <v>251</v>
      </c>
      <c r="C259" s="501" t="str">
        <f t="shared" si="19"/>
        <v/>
      </c>
      <c r="D259" s="502" t="str">
        <f t="shared" si="20"/>
        <v/>
      </c>
      <c r="E259" s="190" t="str">
        <f t="shared" si="21"/>
        <v/>
      </c>
      <c r="F259" s="196" t="str">
        <f t="shared" si="18"/>
        <v/>
      </c>
      <c r="G259" s="190" t="str">
        <f t="shared" si="22"/>
        <v/>
      </c>
      <c r="H259" s="503" t="str">
        <f t="shared" si="23"/>
        <v/>
      </c>
      <c r="I259" s="49"/>
    </row>
    <row r="260" spans="2:9" ht="20.100000000000001" customHeight="1" x14ac:dyDescent="0.3">
      <c r="B260" s="198">
        <v>252</v>
      </c>
      <c r="C260" s="501" t="str">
        <f t="shared" si="19"/>
        <v/>
      </c>
      <c r="D260" s="502" t="str">
        <f t="shared" si="20"/>
        <v/>
      </c>
      <c r="E260" s="190" t="str">
        <f t="shared" si="21"/>
        <v/>
      </c>
      <c r="F260" s="196" t="str">
        <f t="shared" si="18"/>
        <v/>
      </c>
      <c r="G260" s="190" t="str">
        <f t="shared" si="22"/>
        <v/>
      </c>
      <c r="H260" s="503" t="str">
        <f t="shared" si="23"/>
        <v/>
      </c>
      <c r="I260" s="49"/>
    </row>
    <row r="261" spans="2:9" ht="20.100000000000001" customHeight="1" x14ac:dyDescent="0.3">
      <c r="B261" s="198">
        <v>253</v>
      </c>
      <c r="C261" s="501" t="str">
        <f t="shared" si="19"/>
        <v/>
      </c>
      <c r="D261" s="502" t="str">
        <f t="shared" si="20"/>
        <v/>
      </c>
      <c r="E261" s="190" t="str">
        <f t="shared" si="21"/>
        <v/>
      </c>
      <c r="F261" s="196" t="str">
        <f t="shared" si="18"/>
        <v/>
      </c>
      <c r="G261" s="190" t="str">
        <f t="shared" si="22"/>
        <v/>
      </c>
      <c r="H261" s="503" t="str">
        <f t="shared" si="23"/>
        <v/>
      </c>
      <c r="I261" s="49"/>
    </row>
    <row r="262" spans="2:9" ht="20.100000000000001" customHeight="1" x14ac:dyDescent="0.3">
      <c r="B262" s="198">
        <v>254</v>
      </c>
      <c r="C262" s="501" t="str">
        <f t="shared" si="19"/>
        <v/>
      </c>
      <c r="D262" s="502" t="str">
        <f t="shared" si="20"/>
        <v/>
      </c>
      <c r="E262" s="190" t="str">
        <f t="shared" si="21"/>
        <v/>
      </c>
      <c r="F262" s="196" t="str">
        <f t="shared" si="18"/>
        <v/>
      </c>
      <c r="G262" s="190" t="str">
        <f t="shared" si="22"/>
        <v/>
      </c>
      <c r="H262" s="503" t="str">
        <f t="shared" si="23"/>
        <v/>
      </c>
      <c r="I262" s="49"/>
    </row>
    <row r="263" spans="2:9" ht="20.100000000000001" customHeight="1" x14ac:dyDescent="0.3">
      <c r="B263" s="198">
        <v>255</v>
      </c>
      <c r="C263" s="501" t="str">
        <f t="shared" si="19"/>
        <v/>
      </c>
      <c r="D263" s="502" t="str">
        <f t="shared" si="20"/>
        <v/>
      </c>
      <c r="E263" s="190" t="str">
        <f t="shared" si="21"/>
        <v/>
      </c>
      <c r="F263" s="196" t="str">
        <f t="shared" si="18"/>
        <v/>
      </c>
      <c r="G263" s="190" t="str">
        <f t="shared" si="22"/>
        <v/>
      </c>
      <c r="H263" s="503" t="str">
        <f t="shared" si="23"/>
        <v/>
      </c>
      <c r="I263" s="49"/>
    </row>
    <row r="264" spans="2:9" ht="20.100000000000001" customHeight="1" x14ac:dyDescent="0.3">
      <c r="B264" s="198">
        <v>256</v>
      </c>
      <c r="C264" s="501" t="str">
        <f t="shared" si="19"/>
        <v/>
      </c>
      <c r="D264" s="502" t="str">
        <f t="shared" si="20"/>
        <v/>
      </c>
      <c r="E264" s="190" t="str">
        <f t="shared" si="21"/>
        <v/>
      </c>
      <c r="F264" s="196" t="str">
        <f t="shared" si="18"/>
        <v/>
      </c>
      <c r="G264" s="190" t="str">
        <f t="shared" si="22"/>
        <v/>
      </c>
      <c r="H264" s="503" t="str">
        <f t="shared" si="23"/>
        <v/>
      </c>
      <c r="I264" s="49"/>
    </row>
    <row r="265" spans="2:9" ht="20.100000000000001" customHeight="1" x14ac:dyDescent="0.3">
      <c r="B265" s="198">
        <v>257</v>
      </c>
      <c r="C265" s="501" t="str">
        <f t="shared" si="19"/>
        <v/>
      </c>
      <c r="D265" s="502" t="str">
        <f t="shared" si="20"/>
        <v/>
      </c>
      <c r="E265" s="190" t="str">
        <f t="shared" si="21"/>
        <v/>
      </c>
      <c r="F265" s="196" t="str">
        <f t="shared" si="18"/>
        <v/>
      </c>
      <c r="G265" s="190" t="str">
        <f t="shared" si="22"/>
        <v/>
      </c>
      <c r="H265" s="503" t="str">
        <f t="shared" si="23"/>
        <v/>
      </c>
      <c r="I265" s="49"/>
    </row>
    <row r="266" spans="2:9" ht="20.100000000000001" customHeight="1" x14ac:dyDescent="0.3">
      <c r="B266" s="198">
        <v>258</v>
      </c>
      <c r="C266" s="501" t="str">
        <f t="shared" si="19"/>
        <v/>
      </c>
      <c r="D266" s="502" t="str">
        <f t="shared" si="20"/>
        <v/>
      </c>
      <c r="E266" s="190" t="str">
        <f t="shared" si="21"/>
        <v/>
      </c>
      <c r="F266" s="196" t="str">
        <f t="shared" ref="F266:F329" si="24">IF($H$4="","",IF($F$4="원리금균등상환",IFERROR(D266+E266,""),IF($F$4="원금균등상환",D266+E266,"")))</f>
        <v/>
      </c>
      <c r="G266" s="190" t="str">
        <f t="shared" si="22"/>
        <v/>
      </c>
      <c r="H266" s="503" t="str">
        <f t="shared" si="23"/>
        <v/>
      </c>
      <c r="I266" s="49"/>
    </row>
    <row r="267" spans="2:9" ht="20.100000000000001" customHeight="1" x14ac:dyDescent="0.3">
      <c r="B267" s="198">
        <v>259</v>
      </c>
      <c r="C267" s="501" t="str">
        <f t="shared" ref="C267:C330" si="25">IF($H$4="","",IF(B267&gt;($B$6),"",IF(B267&lt;=($B$6),DATE(YEAR($G$4),MONTH($G$4)+B266,DAY($G$4)),"")))</f>
        <v/>
      </c>
      <c r="D267" s="502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190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196" t="str">
        <f t="shared" si="24"/>
        <v/>
      </c>
      <c r="G267" s="190" t="str">
        <f t="shared" ref="G267:G330" si="28">IFERROR(IF(B267&gt;(($D$6+$B$6)*12),"",IF(B267=1,D267,D267+G266)),"")</f>
        <v/>
      </c>
      <c r="H267" s="503" t="str">
        <f t="shared" ref="H267:H330" si="29">IFERROR(IF($H$4="","",H266-D267),"")</f>
        <v/>
      </c>
      <c r="I267" s="49"/>
    </row>
    <row r="268" spans="2:9" ht="20.100000000000001" customHeight="1" x14ac:dyDescent="0.3">
      <c r="B268" s="198">
        <v>260</v>
      </c>
      <c r="C268" s="501" t="str">
        <f t="shared" si="25"/>
        <v/>
      </c>
      <c r="D268" s="502" t="str">
        <f t="shared" si="26"/>
        <v/>
      </c>
      <c r="E268" s="190" t="str">
        <f t="shared" si="27"/>
        <v/>
      </c>
      <c r="F268" s="196" t="str">
        <f t="shared" si="24"/>
        <v/>
      </c>
      <c r="G268" s="190" t="str">
        <f t="shared" si="28"/>
        <v/>
      </c>
      <c r="H268" s="503" t="str">
        <f t="shared" si="29"/>
        <v/>
      </c>
      <c r="I268" s="49"/>
    </row>
    <row r="269" spans="2:9" ht="20.100000000000001" customHeight="1" x14ac:dyDescent="0.3">
      <c r="B269" s="198">
        <v>261</v>
      </c>
      <c r="C269" s="501" t="str">
        <f t="shared" si="25"/>
        <v/>
      </c>
      <c r="D269" s="502" t="str">
        <f t="shared" si="26"/>
        <v/>
      </c>
      <c r="E269" s="190" t="str">
        <f t="shared" si="27"/>
        <v/>
      </c>
      <c r="F269" s="196" t="str">
        <f t="shared" si="24"/>
        <v/>
      </c>
      <c r="G269" s="190" t="str">
        <f t="shared" si="28"/>
        <v/>
      </c>
      <c r="H269" s="503" t="str">
        <f t="shared" si="29"/>
        <v/>
      </c>
      <c r="I269" s="49"/>
    </row>
    <row r="270" spans="2:9" ht="20.100000000000001" customHeight="1" x14ac:dyDescent="0.3">
      <c r="B270" s="198">
        <v>262</v>
      </c>
      <c r="C270" s="501" t="str">
        <f t="shared" si="25"/>
        <v/>
      </c>
      <c r="D270" s="502" t="str">
        <f t="shared" si="26"/>
        <v/>
      </c>
      <c r="E270" s="190" t="str">
        <f t="shared" si="27"/>
        <v/>
      </c>
      <c r="F270" s="196" t="str">
        <f t="shared" si="24"/>
        <v/>
      </c>
      <c r="G270" s="190" t="str">
        <f t="shared" si="28"/>
        <v/>
      </c>
      <c r="H270" s="503" t="str">
        <f t="shared" si="29"/>
        <v/>
      </c>
      <c r="I270" s="49"/>
    </row>
    <row r="271" spans="2:9" ht="20.100000000000001" customHeight="1" x14ac:dyDescent="0.3">
      <c r="B271" s="198">
        <v>263</v>
      </c>
      <c r="C271" s="501" t="str">
        <f t="shared" si="25"/>
        <v/>
      </c>
      <c r="D271" s="502" t="str">
        <f t="shared" si="26"/>
        <v/>
      </c>
      <c r="E271" s="190" t="str">
        <f t="shared" si="27"/>
        <v/>
      </c>
      <c r="F271" s="196" t="str">
        <f t="shared" si="24"/>
        <v/>
      </c>
      <c r="G271" s="190" t="str">
        <f t="shared" si="28"/>
        <v/>
      </c>
      <c r="H271" s="503" t="str">
        <f t="shared" si="29"/>
        <v/>
      </c>
      <c r="I271" s="49"/>
    </row>
    <row r="272" spans="2:9" ht="20.100000000000001" customHeight="1" x14ac:dyDescent="0.3">
      <c r="B272" s="198">
        <v>264</v>
      </c>
      <c r="C272" s="501" t="str">
        <f t="shared" si="25"/>
        <v/>
      </c>
      <c r="D272" s="502" t="str">
        <f t="shared" si="26"/>
        <v/>
      </c>
      <c r="E272" s="190" t="str">
        <f t="shared" si="27"/>
        <v/>
      </c>
      <c r="F272" s="196" t="str">
        <f t="shared" si="24"/>
        <v/>
      </c>
      <c r="G272" s="190" t="str">
        <f t="shared" si="28"/>
        <v/>
      </c>
      <c r="H272" s="503" t="str">
        <f t="shared" si="29"/>
        <v/>
      </c>
      <c r="I272" s="49"/>
    </row>
    <row r="273" spans="2:9" ht="20.100000000000001" customHeight="1" x14ac:dyDescent="0.3">
      <c r="B273" s="198">
        <v>265</v>
      </c>
      <c r="C273" s="501" t="str">
        <f t="shared" si="25"/>
        <v/>
      </c>
      <c r="D273" s="502" t="str">
        <f t="shared" si="26"/>
        <v/>
      </c>
      <c r="E273" s="190" t="str">
        <f t="shared" si="27"/>
        <v/>
      </c>
      <c r="F273" s="196" t="str">
        <f t="shared" si="24"/>
        <v/>
      </c>
      <c r="G273" s="190" t="str">
        <f t="shared" si="28"/>
        <v/>
      </c>
      <c r="H273" s="503" t="str">
        <f t="shared" si="29"/>
        <v/>
      </c>
      <c r="I273" s="49"/>
    </row>
    <row r="274" spans="2:9" ht="20.100000000000001" customHeight="1" x14ac:dyDescent="0.3">
      <c r="B274" s="198">
        <v>266</v>
      </c>
      <c r="C274" s="501" t="str">
        <f t="shared" si="25"/>
        <v/>
      </c>
      <c r="D274" s="502" t="str">
        <f t="shared" si="26"/>
        <v/>
      </c>
      <c r="E274" s="190" t="str">
        <f t="shared" si="27"/>
        <v/>
      </c>
      <c r="F274" s="196" t="str">
        <f t="shared" si="24"/>
        <v/>
      </c>
      <c r="G274" s="190" t="str">
        <f t="shared" si="28"/>
        <v/>
      </c>
      <c r="H274" s="503" t="str">
        <f t="shared" si="29"/>
        <v/>
      </c>
      <c r="I274" s="49"/>
    </row>
    <row r="275" spans="2:9" ht="20.100000000000001" customHeight="1" x14ac:dyDescent="0.3">
      <c r="B275" s="198">
        <v>267</v>
      </c>
      <c r="C275" s="501" t="str">
        <f t="shared" si="25"/>
        <v/>
      </c>
      <c r="D275" s="502" t="str">
        <f t="shared" si="26"/>
        <v/>
      </c>
      <c r="E275" s="190" t="str">
        <f t="shared" si="27"/>
        <v/>
      </c>
      <c r="F275" s="196" t="str">
        <f t="shared" si="24"/>
        <v/>
      </c>
      <c r="G275" s="190" t="str">
        <f t="shared" si="28"/>
        <v/>
      </c>
      <c r="H275" s="503" t="str">
        <f t="shared" si="29"/>
        <v/>
      </c>
      <c r="I275" s="49"/>
    </row>
    <row r="276" spans="2:9" ht="20.100000000000001" customHeight="1" x14ac:dyDescent="0.3">
      <c r="B276" s="198">
        <v>268</v>
      </c>
      <c r="C276" s="501" t="str">
        <f t="shared" si="25"/>
        <v/>
      </c>
      <c r="D276" s="502" t="str">
        <f t="shared" si="26"/>
        <v/>
      </c>
      <c r="E276" s="190" t="str">
        <f t="shared" si="27"/>
        <v/>
      </c>
      <c r="F276" s="196" t="str">
        <f t="shared" si="24"/>
        <v/>
      </c>
      <c r="G276" s="190" t="str">
        <f t="shared" si="28"/>
        <v/>
      </c>
      <c r="H276" s="503" t="str">
        <f t="shared" si="29"/>
        <v/>
      </c>
      <c r="I276" s="49"/>
    </row>
    <row r="277" spans="2:9" ht="20.100000000000001" customHeight="1" x14ac:dyDescent="0.3">
      <c r="B277" s="198">
        <v>269</v>
      </c>
      <c r="C277" s="501" t="str">
        <f t="shared" si="25"/>
        <v/>
      </c>
      <c r="D277" s="502" t="str">
        <f t="shared" si="26"/>
        <v/>
      </c>
      <c r="E277" s="190" t="str">
        <f t="shared" si="27"/>
        <v/>
      </c>
      <c r="F277" s="196" t="str">
        <f t="shared" si="24"/>
        <v/>
      </c>
      <c r="G277" s="190" t="str">
        <f t="shared" si="28"/>
        <v/>
      </c>
      <c r="H277" s="503" t="str">
        <f t="shared" si="29"/>
        <v/>
      </c>
      <c r="I277" s="49"/>
    </row>
    <row r="278" spans="2:9" ht="20.100000000000001" customHeight="1" x14ac:dyDescent="0.3">
      <c r="B278" s="198">
        <v>270</v>
      </c>
      <c r="C278" s="501" t="str">
        <f t="shared" si="25"/>
        <v/>
      </c>
      <c r="D278" s="502" t="str">
        <f t="shared" si="26"/>
        <v/>
      </c>
      <c r="E278" s="190" t="str">
        <f t="shared" si="27"/>
        <v/>
      </c>
      <c r="F278" s="196" t="str">
        <f t="shared" si="24"/>
        <v/>
      </c>
      <c r="G278" s="190" t="str">
        <f t="shared" si="28"/>
        <v/>
      </c>
      <c r="H278" s="503" t="str">
        <f t="shared" si="29"/>
        <v/>
      </c>
      <c r="I278" s="49"/>
    </row>
    <row r="279" spans="2:9" ht="20.100000000000001" customHeight="1" x14ac:dyDescent="0.3">
      <c r="B279" s="198">
        <v>271</v>
      </c>
      <c r="C279" s="501" t="str">
        <f t="shared" si="25"/>
        <v/>
      </c>
      <c r="D279" s="502" t="str">
        <f t="shared" si="26"/>
        <v/>
      </c>
      <c r="E279" s="190" t="str">
        <f t="shared" si="27"/>
        <v/>
      </c>
      <c r="F279" s="196" t="str">
        <f t="shared" si="24"/>
        <v/>
      </c>
      <c r="G279" s="190" t="str">
        <f t="shared" si="28"/>
        <v/>
      </c>
      <c r="H279" s="503" t="str">
        <f t="shared" si="29"/>
        <v/>
      </c>
      <c r="I279" s="49"/>
    </row>
    <row r="280" spans="2:9" ht="20.100000000000001" customHeight="1" x14ac:dyDescent="0.3">
      <c r="B280" s="198">
        <v>272</v>
      </c>
      <c r="C280" s="501" t="str">
        <f t="shared" si="25"/>
        <v/>
      </c>
      <c r="D280" s="502" t="str">
        <f t="shared" si="26"/>
        <v/>
      </c>
      <c r="E280" s="190" t="str">
        <f t="shared" si="27"/>
        <v/>
      </c>
      <c r="F280" s="196" t="str">
        <f t="shared" si="24"/>
        <v/>
      </c>
      <c r="G280" s="190" t="str">
        <f t="shared" si="28"/>
        <v/>
      </c>
      <c r="H280" s="503" t="str">
        <f t="shared" si="29"/>
        <v/>
      </c>
      <c r="I280" s="49"/>
    </row>
    <row r="281" spans="2:9" ht="20.100000000000001" customHeight="1" x14ac:dyDescent="0.3">
      <c r="B281" s="198">
        <v>273</v>
      </c>
      <c r="C281" s="501" t="str">
        <f t="shared" si="25"/>
        <v/>
      </c>
      <c r="D281" s="502" t="str">
        <f t="shared" si="26"/>
        <v/>
      </c>
      <c r="E281" s="190" t="str">
        <f t="shared" si="27"/>
        <v/>
      </c>
      <c r="F281" s="196" t="str">
        <f t="shared" si="24"/>
        <v/>
      </c>
      <c r="G281" s="190" t="str">
        <f t="shared" si="28"/>
        <v/>
      </c>
      <c r="H281" s="503" t="str">
        <f t="shared" si="29"/>
        <v/>
      </c>
      <c r="I281" s="49"/>
    </row>
    <row r="282" spans="2:9" ht="20.100000000000001" customHeight="1" x14ac:dyDescent="0.3">
      <c r="B282" s="198">
        <v>274</v>
      </c>
      <c r="C282" s="501" t="str">
        <f t="shared" si="25"/>
        <v/>
      </c>
      <c r="D282" s="502" t="str">
        <f t="shared" si="26"/>
        <v/>
      </c>
      <c r="E282" s="190" t="str">
        <f t="shared" si="27"/>
        <v/>
      </c>
      <c r="F282" s="196" t="str">
        <f t="shared" si="24"/>
        <v/>
      </c>
      <c r="G282" s="190" t="str">
        <f t="shared" si="28"/>
        <v/>
      </c>
      <c r="H282" s="503" t="str">
        <f t="shared" si="29"/>
        <v/>
      </c>
      <c r="I282" s="49"/>
    </row>
    <row r="283" spans="2:9" ht="20.100000000000001" customHeight="1" x14ac:dyDescent="0.3">
      <c r="B283" s="198">
        <v>275</v>
      </c>
      <c r="C283" s="501" t="str">
        <f t="shared" si="25"/>
        <v/>
      </c>
      <c r="D283" s="502" t="str">
        <f t="shared" si="26"/>
        <v/>
      </c>
      <c r="E283" s="190" t="str">
        <f t="shared" si="27"/>
        <v/>
      </c>
      <c r="F283" s="196" t="str">
        <f t="shared" si="24"/>
        <v/>
      </c>
      <c r="G283" s="190" t="str">
        <f t="shared" si="28"/>
        <v/>
      </c>
      <c r="H283" s="503" t="str">
        <f t="shared" si="29"/>
        <v/>
      </c>
      <c r="I283" s="49"/>
    </row>
    <row r="284" spans="2:9" ht="20.100000000000001" customHeight="1" x14ac:dyDescent="0.3">
      <c r="B284" s="198">
        <v>276</v>
      </c>
      <c r="C284" s="501" t="str">
        <f t="shared" si="25"/>
        <v/>
      </c>
      <c r="D284" s="502" t="str">
        <f t="shared" si="26"/>
        <v/>
      </c>
      <c r="E284" s="190" t="str">
        <f t="shared" si="27"/>
        <v/>
      </c>
      <c r="F284" s="196" t="str">
        <f t="shared" si="24"/>
        <v/>
      </c>
      <c r="G284" s="190" t="str">
        <f t="shared" si="28"/>
        <v/>
      </c>
      <c r="H284" s="503" t="str">
        <f t="shared" si="29"/>
        <v/>
      </c>
      <c r="I284" s="49"/>
    </row>
    <row r="285" spans="2:9" ht="20.100000000000001" customHeight="1" x14ac:dyDescent="0.3">
      <c r="B285" s="198">
        <v>277</v>
      </c>
      <c r="C285" s="501" t="str">
        <f t="shared" si="25"/>
        <v/>
      </c>
      <c r="D285" s="502" t="str">
        <f t="shared" si="26"/>
        <v/>
      </c>
      <c r="E285" s="190" t="str">
        <f t="shared" si="27"/>
        <v/>
      </c>
      <c r="F285" s="196" t="str">
        <f t="shared" si="24"/>
        <v/>
      </c>
      <c r="G285" s="190" t="str">
        <f t="shared" si="28"/>
        <v/>
      </c>
      <c r="H285" s="503" t="str">
        <f t="shared" si="29"/>
        <v/>
      </c>
      <c r="I285" s="49"/>
    </row>
    <row r="286" spans="2:9" ht="20.100000000000001" customHeight="1" x14ac:dyDescent="0.3">
      <c r="B286" s="198">
        <v>278</v>
      </c>
      <c r="C286" s="501" t="str">
        <f t="shared" si="25"/>
        <v/>
      </c>
      <c r="D286" s="502" t="str">
        <f t="shared" si="26"/>
        <v/>
      </c>
      <c r="E286" s="190" t="str">
        <f t="shared" si="27"/>
        <v/>
      </c>
      <c r="F286" s="196" t="str">
        <f t="shared" si="24"/>
        <v/>
      </c>
      <c r="G286" s="190" t="str">
        <f t="shared" si="28"/>
        <v/>
      </c>
      <c r="H286" s="503" t="str">
        <f t="shared" si="29"/>
        <v/>
      </c>
      <c r="I286" s="49"/>
    </row>
    <row r="287" spans="2:9" ht="20.100000000000001" customHeight="1" x14ac:dyDescent="0.3">
      <c r="B287" s="198">
        <v>279</v>
      </c>
      <c r="C287" s="501" t="str">
        <f t="shared" si="25"/>
        <v/>
      </c>
      <c r="D287" s="502" t="str">
        <f t="shared" si="26"/>
        <v/>
      </c>
      <c r="E287" s="190" t="str">
        <f t="shared" si="27"/>
        <v/>
      </c>
      <c r="F287" s="196" t="str">
        <f t="shared" si="24"/>
        <v/>
      </c>
      <c r="G287" s="190" t="str">
        <f t="shared" si="28"/>
        <v/>
      </c>
      <c r="H287" s="503" t="str">
        <f t="shared" si="29"/>
        <v/>
      </c>
      <c r="I287" s="49"/>
    </row>
    <row r="288" spans="2:9" ht="20.100000000000001" customHeight="1" x14ac:dyDescent="0.3">
      <c r="B288" s="198">
        <v>280</v>
      </c>
      <c r="C288" s="501" t="str">
        <f t="shared" si="25"/>
        <v/>
      </c>
      <c r="D288" s="502" t="str">
        <f t="shared" si="26"/>
        <v/>
      </c>
      <c r="E288" s="190" t="str">
        <f t="shared" si="27"/>
        <v/>
      </c>
      <c r="F288" s="196" t="str">
        <f t="shared" si="24"/>
        <v/>
      </c>
      <c r="G288" s="190" t="str">
        <f t="shared" si="28"/>
        <v/>
      </c>
      <c r="H288" s="503" t="str">
        <f t="shared" si="29"/>
        <v/>
      </c>
      <c r="I288" s="49"/>
    </row>
    <row r="289" spans="2:9" ht="20.100000000000001" customHeight="1" x14ac:dyDescent="0.3">
      <c r="B289" s="198">
        <v>281</v>
      </c>
      <c r="C289" s="501" t="str">
        <f t="shared" si="25"/>
        <v/>
      </c>
      <c r="D289" s="502" t="str">
        <f t="shared" si="26"/>
        <v/>
      </c>
      <c r="E289" s="190" t="str">
        <f t="shared" si="27"/>
        <v/>
      </c>
      <c r="F289" s="196" t="str">
        <f t="shared" si="24"/>
        <v/>
      </c>
      <c r="G289" s="190" t="str">
        <f t="shared" si="28"/>
        <v/>
      </c>
      <c r="H289" s="503" t="str">
        <f t="shared" si="29"/>
        <v/>
      </c>
      <c r="I289" s="49"/>
    </row>
    <row r="290" spans="2:9" ht="20.100000000000001" customHeight="1" x14ac:dyDescent="0.3">
      <c r="B290" s="198">
        <v>282</v>
      </c>
      <c r="C290" s="501" t="str">
        <f t="shared" si="25"/>
        <v/>
      </c>
      <c r="D290" s="502" t="str">
        <f t="shared" si="26"/>
        <v/>
      </c>
      <c r="E290" s="190" t="str">
        <f t="shared" si="27"/>
        <v/>
      </c>
      <c r="F290" s="196" t="str">
        <f t="shared" si="24"/>
        <v/>
      </c>
      <c r="G290" s="190" t="str">
        <f t="shared" si="28"/>
        <v/>
      </c>
      <c r="H290" s="503" t="str">
        <f t="shared" si="29"/>
        <v/>
      </c>
      <c r="I290" s="49"/>
    </row>
    <row r="291" spans="2:9" ht="20.100000000000001" customHeight="1" x14ac:dyDescent="0.3">
      <c r="B291" s="198">
        <v>283</v>
      </c>
      <c r="C291" s="501" t="str">
        <f t="shared" si="25"/>
        <v/>
      </c>
      <c r="D291" s="502" t="str">
        <f t="shared" si="26"/>
        <v/>
      </c>
      <c r="E291" s="190" t="str">
        <f t="shared" si="27"/>
        <v/>
      </c>
      <c r="F291" s="196" t="str">
        <f t="shared" si="24"/>
        <v/>
      </c>
      <c r="G291" s="190" t="str">
        <f t="shared" si="28"/>
        <v/>
      </c>
      <c r="H291" s="503" t="str">
        <f t="shared" si="29"/>
        <v/>
      </c>
      <c r="I291" s="49"/>
    </row>
    <row r="292" spans="2:9" ht="20.100000000000001" customHeight="1" x14ac:dyDescent="0.3">
      <c r="B292" s="198">
        <v>284</v>
      </c>
      <c r="C292" s="501" t="str">
        <f t="shared" si="25"/>
        <v/>
      </c>
      <c r="D292" s="502" t="str">
        <f t="shared" si="26"/>
        <v/>
      </c>
      <c r="E292" s="190" t="str">
        <f t="shared" si="27"/>
        <v/>
      </c>
      <c r="F292" s="196" t="str">
        <f t="shared" si="24"/>
        <v/>
      </c>
      <c r="G292" s="190" t="str">
        <f t="shared" si="28"/>
        <v/>
      </c>
      <c r="H292" s="503" t="str">
        <f t="shared" si="29"/>
        <v/>
      </c>
      <c r="I292" s="49"/>
    </row>
    <row r="293" spans="2:9" ht="20.100000000000001" customHeight="1" x14ac:dyDescent="0.3">
      <c r="B293" s="198">
        <v>285</v>
      </c>
      <c r="C293" s="501" t="str">
        <f t="shared" si="25"/>
        <v/>
      </c>
      <c r="D293" s="502" t="str">
        <f t="shared" si="26"/>
        <v/>
      </c>
      <c r="E293" s="190" t="str">
        <f t="shared" si="27"/>
        <v/>
      </c>
      <c r="F293" s="196" t="str">
        <f t="shared" si="24"/>
        <v/>
      </c>
      <c r="G293" s="190" t="str">
        <f t="shared" si="28"/>
        <v/>
      </c>
      <c r="H293" s="503" t="str">
        <f t="shared" si="29"/>
        <v/>
      </c>
      <c r="I293" s="49"/>
    </row>
    <row r="294" spans="2:9" ht="20.100000000000001" customHeight="1" x14ac:dyDescent="0.3">
      <c r="B294" s="198">
        <v>286</v>
      </c>
      <c r="C294" s="501" t="str">
        <f t="shared" si="25"/>
        <v/>
      </c>
      <c r="D294" s="502" t="str">
        <f t="shared" si="26"/>
        <v/>
      </c>
      <c r="E294" s="190" t="str">
        <f t="shared" si="27"/>
        <v/>
      </c>
      <c r="F294" s="196" t="str">
        <f t="shared" si="24"/>
        <v/>
      </c>
      <c r="G294" s="190" t="str">
        <f t="shared" si="28"/>
        <v/>
      </c>
      <c r="H294" s="503" t="str">
        <f t="shared" si="29"/>
        <v/>
      </c>
      <c r="I294" s="49"/>
    </row>
    <row r="295" spans="2:9" ht="20.100000000000001" customHeight="1" x14ac:dyDescent="0.3">
      <c r="B295" s="198">
        <v>287</v>
      </c>
      <c r="C295" s="501" t="str">
        <f t="shared" si="25"/>
        <v/>
      </c>
      <c r="D295" s="502" t="str">
        <f t="shared" si="26"/>
        <v/>
      </c>
      <c r="E295" s="190" t="str">
        <f t="shared" si="27"/>
        <v/>
      </c>
      <c r="F295" s="196" t="str">
        <f t="shared" si="24"/>
        <v/>
      </c>
      <c r="G295" s="190" t="str">
        <f t="shared" si="28"/>
        <v/>
      </c>
      <c r="H295" s="503" t="str">
        <f t="shared" si="29"/>
        <v/>
      </c>
      <c r="I295" s="49"/>
    </row>
    <row r="296" spans="2:9" ht="20.100000000000001" customHeight="1" x14ac:dyDescent="0.3">
      <c r="B296" s="198">
        <v>288</v>
      </c>
      <c r="C296" s="501" t="str">
        <f t="shared" si="25"/>
        <v/>
      </c>
      <c r="D296" s="502" t="str">
        <f t="shared" si="26"/>
        <v/>
      </c>
      <c r="E296" s="190" t="str">
        <f t="shared" si="27"/>
        <v/>
      </c>
      <c r="F296" s="196" t="str">
        <f t="shared" si="24"/>
        <v/>
      </c>
      <c r="G296" s="190" t="str">
        <f t="shared" si="28"/>
        <v/>
      </c>
      <c r="H296" s="503" t="str">
        <f t="shared" si="29"/>
        <v/>
      </c>
      <c r="I296" s="49"/>
    </row>
    <row r="297" spans="2:9" ht="20.100000000000001" customHeight="1" x14ac:dyDescent="0.3">
      <c r="B297" s="198">
        <v>289</v>
      </c>
      <c r="C297" s="501" t="str">
        <f t="shared" si="25"/>
        <v/>
      </c>
      <c r="D297" s="502" t="str">
        <f t="shared" si="26"/>
        <v/>
      </c>
      <c r="E297" s="190" t="str">
        <f t="shared" si="27"/>
        <v/>
      </c>
      <c r="F297" s="196" t="str">
        <f t="shared" si="24"/>
        <v/>
      </c>
      <c r="G297" s="190" t="str">
        <f t="shared" si="28"/>
        <v/>
      </c>
      <c r="H297" s="503" t="str">
        <f t="shared" si="29"/>
        <v/>
      </c>
      <c r="I297" s="49"/>
    </row>
    <row r="298" spans="2:9" ht="20.100000000000001" customHeight="1" x14ac:dyDescent="0.3">
      <c r="B298" s="198">
        <v>290</v>
      </c>
      <c r="C298" s="501" t="str">
        <f t="shared" si="25"/>
        <v/>
      </c>
      <c r="D298" s="502" t="str">
        <f t="shared" si="26"/>
        <v/>
      </c>
      <c r="E298" s="190" t="str">
        <f t="shared" si="27"/>
        <v/>
      </c>
      <c r="F298" s="196" t="str">
        <f t="shared" si="24"/>
        <v/>
      </c>
      <c r="G298" s="190" t="str">
        <f t="shared" si="28"/>
        <v/>
      </c>
      <c r="H298" s="503" t="str">
        <f t="shared" si="29"/>
        <v/>
      </c>
      <c r="I298" s="49"/>
    </row>
    <row r="299" spans="2:9" ht="20.100000000000001" customHeight="1" x14ac:dyDescent="0.3">
      <c r="B299" s="198">
        <v>291</v>
      </c>
      <c r="C299" s="501" t="str">
        <f t="shared" si="25"/>
        <v/>
      </c>
      <c r="D299" s="502" t="str">
        <f t="shared" si="26"/>
        <v/>
      </c>
      <c r="E299" s="190" t="str">
        <f t="shared" si="27"/>
        <v/>
      </c>
      <c r="F299" s="196" t="str">
        <f t="shared" si="24"/>
        <v/>
      </c>
      <c r="G299" s="190" t="str">
        <f t="shared" si="28"/>
        <v/>
      </c>
      <c r="H299" s="503" t="str">
        <f t="shared" si="29"/>
        <v/>
      </c>
      <c r="I299" s="49"/>
    </row>
    <row r="300" spans="2:9" ht="20.100000000000001" customHeight="1" x14ac:dyDescent="0.3">
      <c r="B300" s="198">
        <v>292</v>
      </c>
      <c r="C300" s="501" t="str">
        <f t="shared" si="25"/>
        <v/>
      </c>
      <c r="D300" s="502" t="str">
        <f t="shared" si="26"/>
        <v/>
      </c>
      <c r="E300" s="190" t="str">
        <f t="shared" si="27"/>
        <v/>
      </c>
      <c r="F300" s="196" t="str">
        <f t="shared" si="24"/>
        <v/>
      </c>
      <c r="G300" s="190" t="str">
        <f t="shared" si="28"/>
        <v/>
      </c>
      <c r="H300" s="503" t="str">
        <f t="shared" si="29"/>
        <v/>
      </c>
      <c r="I300" s="49"/>
    </row>
    <row r="301" spans="2:9" ht="20.100000000000001" customHeight="1" x14ac:dyDescent="0.3">
      <c r="B301" s="198">
        <v>293</v>
      </c>
      <c r="C301" s="501" t="str">
        <f t="shared" si="25"/>
        <v/>
      </c>
      <c r="D301" s="502" t="str">
        <f t="shared" si="26"/>
        <v/>
      </c>
      <c r="E301" s="190" t="str">
        <f t="shared" si="27"/>
        <v/>
      </c>
      <c r="F301" s="196" t="str">
        <f t="shared" si="24"/>
        <v/>
      </c>
      <c r="G301" s="190" t="str">
        <f t="shared" si="28"/>
        <v/>
      </c>
      <c r="H301" s="503" t="str">
        <f t="shared" si="29"/>
        <v/>
      </c>
      <c r="I301" s="49"/>
    </row>
    <row r="302" spans="2:9" ht="20.100000000000001" customHeight="1" x14ac:dyDescent="0.3">
      <c r="B302" s="198">
        <v>294</v>
      </c>
      <c r="C302" s="501" t="str">
        <f t="shared" si="25"/>
        <v/>
      </c>
      <c r="D302" s="502" t="str">
        <f t="shared" si="26"/>
        <v/>
      </c>
      <c r="E302" s="190" t="str">
        <f t="shared" si="27"/>
        <v/>
      </c>
      <c r="F302" s="196" t="str">
        <f t="shared" si="24"/>
        <v/>
      </c>
      <c r="G302" s="190" t="str">
        <f t="shared" si="28"/>
        <v/>
      </c>
      <c r="H302" s="503" t="str">
        <f t="shared" si="29"/>
        <v/>
      </c>
      <c r="I302" s="49"/>
    </row>
    <row r="303" spans="2:9" ht="20.100000000000001" customHeight="1" x14ac:dyDescent="0.3">
      <c r="B303" s="198">
        <v>295</v>
      </c>
      <c r="C303" s="501" t="str">
        <f t="shared" si="25"/>
        <v/>
      </c>
      <c r="D303" s="502" t="str">
        <f t="shared" si="26"/>
        <v/>
      </c>
      <c r="E303" s="190" t="str">
        <f t="shared" si="27"/>
        <v/>
      </c>
      <c r="F303" s="196" t="str">
        <f t="shared" si="24"/>
        <v/>
      </c>
      <c r="G303" s="190" t="str">
        <f t="shared" si="28"/>
        <v/>
      </c>
      <c r="H303" s="503" t="str">
        <f t="shared" si="29"/>
        <v/>
      </c>
      <c r="I303" s="49"/>
    </row>
    <row r="304" spans="2:9" ht="20.100000000000001" customHeight="1" x14ac:dyDescent="0.3">
      <c r="B304" s="198">
        <v>296</v>
      </c>
      <c r="C304" s="501" t="str">
        <f t="shared" si="25"/>
        <v/>
      </c>
      <c r="D304" s="502" t="str">
        <f t="shared" si="26"/>
        <v/>
      </c>
      <c r="E304" s="190" t="str">
        <f t="shared" si="27"/>
        <v/>
      </c>
      <c r="F304" s="196" t="str">
        <f t="shared" si="24"/>
        <v/>
      </c>
      <c r="G304" s="190" t="str">
        <f t="shared" si="28"/>
        <v/>
      </c>
      <c r="H304" s="503" t="str">
        <f t="shared" si="29"/>
        <v/>
      </c>
      <c r="I304" s="49"/>
    </row>
    <row r="305" spans="2:9" ht="20.100000000000001" customHeight="1" x14ac:dyDescent="0.3">
      <c r="B305" s="198">
        <v>297</v>
      </c>
      <c r="C305" s="501" t="str">
        <f t="shared" si="25"/>
        <v/>
      </c>
      <c r="D305" s="502" t="str">
        <f t="shared" si="26"/>
        <v/>
      </c>
      <c r="E305" s="190" t="str">
        <f t="shared" si="27"/>
        <v/>
      </c>
      <c r="F305" s="196" t="str">
        <f t="shared" si="24"/>
        <v/>
      </c>
      <c r="G305" s="190" t="str">
        <f t="shared" si="28"/>
        <v/>
      </c>
      <c r="H305" s="503" t="str">
        <f t="shared" si="29"/>
        <v/>
      </c>
      <c r="I305" s="49"/>
    </row>
    <row r="306" spans="2:9" ht="20.100000000000001" customHeight="1" x14ac:dyDescent="0.3">
      <c r="B306" s="198">
        <v>298</v>
      </c>
      <c r="C306" s="501" t="str">
        <f t="shared" si="25"/>
        <v/>
      </c>
      <c r="D306" s="502" t="str">
        <f t="shared" si="26"/>
        <v/>
      </c>
      <c r="E306" s="190" t="str">
        <f t="shared" si="27"/>
        <v/>
      </c>
      <c r="F306" s="196" t="str">
        <f t="shared" si="24"/>
        <v/>
      </c>
      <c r="G306" s="190" t="str">
        <f t="shared" si="28"/>
        <v/>
      </c>
      <c r="H306" s="503" t="str">
        <f t="shared" si="29"/>
        <v/>
      </c>
      <c r="I306" s="49"/>
    </row>
    <row r="307" spans="2:9" ht="20.100000000000001" customHeight="1" x14ac:dyDescent="0.3">
      <c r="B307" s="198">
        <v>299</v>
      </c>
      <c r="C307" s="501" t="str">
        <f t="shared" si="25"/>
        <v/>
      </c>
      <c r="D307" s="502" t="str">
        <f t="shared" si="26"/>
        <v/>
      </c>
      <c r="E307" s="190" t="str">
        <f t="shared" si="27"/>
        <v/>
      </c>
      <c r="F307" s="196" t="str">
        <f t="shared" si="24"/>
        <v/>
      </c>
      <c r="G307" s="190" t="str">
        <f t="shared" si="28"/>
        <v/>
      </c>
      <c r="H307" s="503" t="str">
        <f t="shared" si="29"/>
        <v/>
      </c>
      <c r="I307" s="49"/>
    </row>
    <row r="308" spans="2:9" ht="20.100000000000001" customHeight="1" x14ac:dyDescent="0.3">
      <c r="B308" s="198">
        <v>300</v>
      </c>
      <c r="C308" s="501" t="str">
        <f t="shared" si="25"/>
        <v/>
      </c>
      <c r="D308" s="502" t="str">
        <f t="shared" si="26"/>
        <v/>
      </c>
      <c r="E308" s="190" t="str">
        <f t="shared" si="27"/>
        <v/>
      </c>
      <c r="F308" s="196" t="str">
        <f t="shared" si="24"/>
        <v/>
      </c>
      <c r="G308" s="190" t="str">
        <f t="shared" si="28"/>
        <v/>
      </c>
      <c r="H308" s="503" t="str">
        <f t="shared" si="29"/>
        <v/>
      </c>
      <c r="I308" s="49"/>
    </row>
    <row r="309" spans="2:9" ht="20.100000000000001" customHeight="1" x14ac:dyDescent="0.3">
      <c r="B309" s="198">
        <v>301</v>
      </c>
      <c r="C309" s="501" t="str">
        <f t="shared" si="25"/>
        <v/>
      </c>
      <c r="D309" s="502" t="str">
        <f t="shared" si="26"/>
        <v/>
      </c>
      <c r="E309" s="190" t="str">
        <f t="shared" si="27"/>
        <v/>
      </c>
      <c r="F309" s="196" t="str">
        <f t="shared" si="24"/>
        <v/>
      </c>
      <c r="G309" s="190" t="str">
        <f t="shared" si="28"/>
        <v/>
      </c>
      <c r="H309" s="503" t="str">
        <f t="shared" si="29"/>
        <v/>
      </c>
      <c r="I309" s="49"/>
    </row>
    <row r="310" spans="2:9" ht="20.100000000000001" customHeight="1" x14ac:dyDescent="0.3">
      <c r="B310" s="198">
        <v>302</v>
      </c>
      <c r="C310" s="501" t="str">
        <f t="shared" si="25"/>
        <v/>
      </c>
      <c r="D310" s="502" t="str">
        <f t="shared" si="26"/>
        <v/>
      </c>
      <c r="E310" s="190" t="str">
        <f t="shared" si="27"/>
        <v/>
      </c>
      <c r="F310" s="196" t="str">
        <f t="shared" si="24"/>
        <v/>
      </c>
      <c r="G310" s="190" t="str">
        <f t="shared" si="28"/>
        <v/>
      </c>
      <c r="H310" s="503" t="str">
        <f t="shared" si="29"/>
        <v/>
      </c>
      <c r="I310" s="49"/>
    </row>
    <row r="311" spans="2:9" ht="20.100000000000001" customHeight="1" x14ac:dyDescent="0.3">
      <c r="B311" s="198">
        <v>303</v>
      </c>
      <c r="C311" s="501" t="str">
        <f t="shared" si="25"/>
        <v/>
      </c>
      <c r="D311" s="502" t="str">
        <f t="shared" si="26"/>
        <v/>
      </c>
      <c r="E311" s="190" t="str">
        <f t="shared" si="27"/>
        <v/>
      </c>
      <c r="F311" s="196" t="str">
        <f t="shared" si="24"/>
        <v/>
      </c>
      <c r="G311" s="190" t="str">
        <f t="shared" si="28"/>
        <v/>
      </c>
      <c r="H311" s="503" t="str">
        <f t="shared" si="29"/>
        <v/>
      </c>
      <c r="I311" s="49"/>
    </row>
    <row r="312" spans="2:9" ht="20.100000000000001" customHeight="1" x14ac:dyDescent="0.3">
      <c r="B312" s="198">
        <v>304</v>
      </c>
      <c r="C312" s="501" t="str">
        <f t="shared" si="25"/>
        <v/>
      </c>
      <c r="D312" s="502" t="str">
        <f t="shared" si="26"/>
        <v/>
      </c>
      <c r="E312" s="190" t="str">
        <f t="shared" si="27"/>
        <v/>
      </c>
      <c r="F312" s="196" t="str">
        <f t="shared" si="24"/>
        <v/>
      </c>
      <c r="G312" s="190" t="str">
        <f t="shared" si="28"/>
        <v/>
      </c>
      <c r="H312" s="503" t="str">
        <f t="shared" si="29"/>
        <v/>
      </c>
      <c r="I312" s="49"/>
    </row>
    <row r="313" spans="2:9" ht="20.100000000000001" customHeight="1" x14ac:dyDescent="0.3">
      <c r="B313" s="198">
        <v>305</v>
      </c>
      <c r="C313" s="501" t="str">
        <f t="shared" si="25"/>
        <v/>
      </c>
      <c r="D313" s="502" t="str">
        <f t="shared" si="26"/>
        <v/>
      </c>
      <c r="E313" s="190" t="str">
        <f t="shared" si="27"/>
        <v/>
      </c>
      <c r="F313" s="196" t="str">
        <f t="shared" si="24"/>
        <v/>
      </c>
      <c r="G313" s="190" t="str">
        <f t="shared" si="28"/>
        <v/>
      </c>
      <c r="H313" s="503" t="str">
        <f t="shared" si="29"/>
        <v/>
      </c>
      <c r="I313" s="49"/>
    </row>
    <row r="314" spans="2:9" ht="20.100000000000001" customHeight="1" x14ac:dyDescent="0.3">
      <c r="B314" s="198">
        <v>306</v>
      </c>
      <c r="C314" s="501" t="str">
        <f t="shared" si="25"/>
        <v/>
      </c>
      <c r="D314" s="502" t="str">
        <f t="shared" si="26"/>
        <v/>
      </c>
      <c r="E314" s="190" t="str">
        <f t="shared" si="27"/>
        <v/>
      </c>
      <c r="F314" s="196" t="str">
        <f t="shared" si="24"/>
        <v/>
      </c>
      <c r="G314" s="190" t="str">
        <f t="shared" si="28"/>
        <v/>
      </c>
      <c r="H314" s="503" t="str">
        <f t="shared" si="29"/>
        <v/>
      </c>
      <c r="I314" s="49"/>
    </row>
    <row r="315" spans="2:9" ht="20.100000000000001" customHeight="1" x14ac:dyDescent="0.3">
      <c r="B315" s="198">
        <v>307</v>
      </c>
      <c r="C315" s="501" t="str">
        <f t="shared" si="25"/>
        <v/>
      </c>
      <c r="D315" s="502" t="str">
        <f t="shared" si="26"/>
        <v/>
      </c>
      <c r="E315" s="190" t="str">
        <f t="shared" si="27"/>
        <v/>
      </c>
      <c r="F315" s="196" t="str">
        <f t="shared" si="24"/>
        <v/>
      </c>
      <c r="G315" s="190" t="str">
        <f t="shared" si="28"/>
        <v/>
      </c>
      <c r="H315" s="503" t="str">
        <f t="shared" si="29"/>
        <v/>
      </c>
      <c r="I315" s="49"/>
    </row>
    <row r="316" spans="2:9" ht="20.100000000000001" customHeight="1" x14ac:dyDescent="0.3">
      <c r="B316" s="198">
        <v>308</v>
      </c>
      <c r="C316" s="501" t="str">
        <f t="shared" si="25"/>
        <v/>
      </c>
      <c r="D316" s="502" t="str">
        <f t="shared" si="26"/>
        <v/>
      </c>
      <c r="E316" s="190" t="str">
        <f t="shared" si="27"/>
        <v/>
      </c>
      <c r="F316" s="196" t="str">
        <f t="shared" si="24"/>
        <v/>
      </c>
      <c r="G316" s="190" t="str">
        <f t="shared" si="28"/>
        <v/>
      </c>
      <c r="H316" s="503" t="str">
        <f t="shared" si="29"/>
        <v/>
      </c>
      <c r="I316" s="49"/>
    </row>
    <row r="317" spans="2:9" ht="20.100000000000001" customHeight="1" x14ac:dyDescent="0.3">
      <c r="B317" s="198">
        <v>309</v>
      </c>
      <c r="C317" s="501" t="str">
        <f t="shared" si="25"/>
        <v/>
      </c>
      <c r="D317" s="502" t="str">
        <f t="shared" si="26"/>
        <v/>
      </c>
      <c r="E317" s="190" t="str">
        <f t="shared" si="27"/>
        <v/>
      </c>
      <c r="F317" s="196" t="str">
        <f t="shared" si="24"/>
        <v/>
      </c>
      <c r="G317" s="190" t="str">
        <f t="shared" si="28"/>
        <v/>
      </c>
      <c r="H317" s="503" t="str">
        <f t="shared" si="29"/>
        <v/>
      </c>
      <c r="I317" s="49"/>
    </row>
    <row r="318" spans="2:9" ht="20.100000000000001" customHeight="1" x14ac:dyDescent="0.3">
      <c r="B318" s="198">
        <v>310</v>
      </c>
      <c r="C318" s="501" t="str">
        <f t="shared" si="25"/>
        <v/>
      </c>
      <c r="D318" s="502" t="str">
        <f t="shared" si="26"/>
        <v/>
      </c>
      <c r="E318" s="190" t="str">
        <f t="shared" si="27"/>
        <v/>
      </c>
      <c r="F318" s="196" t="str">
        <f t="shared" si="24"/>
        <v/>
      </c>
      <c r="G318" s="190" t="str">
        <f t="shared" si="28"/>
        <v/>
      </c>
      <c r="H318" s="503" t="str">
        <f t="shared" si="29"/>
        <v/>
      </c>
      <c r="I318" s="49"/>
    </row>
    <row r="319" spans="2:9" ht="20.100000000000001" customHeight="1" x14ac:dyDescent="0.3">
      <c r="B319" s="198">
        <v>311</v>
      </c>
      <c r="C319" s="501" t="str">
        <f t="shared" si="25"/>
        <v/>
      </c>
      <c r="D319" s="502" t="str">
        <f t="shared" si="26"/>
        <v/>
      </c>
      <c r="E319" s="190" t="str">
        <f t="shared" si="27"/>
        <v/>
      </c>
      <c r="F319" s="196" t="str">
        <f t="shared" si="24"/>
        <v/>
      </c>
      <c r="G319" s="190" t="str">
        <f t="shared" si="28"/>
        <v/>
      </c>
      <c r="H319" s="503" t="str">
        <f t="shared" si="29"/>
        <v/>
      </c>
      <c r="I319" s="49"/>
    </row>
    <row r="320" spans="2:9" ht="20.100000000000001" customHeight="1" x14ac:dyDescent="0.3">
      <c r="B320" s="198">
        <v>312</v>
      </c>
      <c r="C320" s="501" t="str">
        <f t="shared" si="25"/>
        <v/>
      </c>
      <c r="D320" s="502" t="str">
        <f t="shared" si="26"/>
        <v/>
      </c>
      <c r="E320" s="190" t="str">
        <f t="shared" si="27"/>
        <v/>
      </c>
      <c r="F320" s="196" t="str">
        <f t="shared" si="24"/>
        <v/>
      </c>
      <c r="G320" s="190" t="str">
        <f t="shared" si="28"/>
        <v/>
      </c>
      <c r="H320" s="503" t="str">
        <f t="shared" si="29"/>
        <v/>
      </c>
      <c r="I320" s="49"/>
    </row>
    <row r="321" spans="2:9" ht="20.100000000000001" customHeight="1" x14ac:dyDescent="0.3">
      <c r="B321" s="198">
        <v>313</v>
      </c>
      <c r="C321" s="501" t="str">
        <f t="shared" si="25"/>
        <v/>
      </c>
      <c r="D321" s="502" t="str">
        <f t="shared" si="26"/>
        <v/>
      </c>
      <c r="E321" s="190" t="str">
        <f t="shared" si="27"/>
        <v/>
      </c>
      <c r="F321" s="196" t="str">
        <f t="shared" si="24"/>
        <v/>
      </c>
      <c r="G321" s="190" t="str">
        <f t="shared" si="28"/>
        <v/>
      </c>
      <c r="H321" s="503" t="str">
        <f t="shared" si="29"/>
        <v/>
      </c>
      <c r="I321" s="49"/>
    </row>
    <row r="322" spans="2:9" ht="20.100000000000001" customHeight="1" x14ac:dyDescent="0.3">
      <c r="B322" s="198">
        <v>314</v>
      </c>
      <c r="C322" s="501" t="str">
        <f t="shared" si="25"/>
        <v/>
      </c>
      <c r="D322" s="502" t="str">
        <f t="shared" si="26"/>
        <v/>
      </c>
      <c r="E322" s="190" t="str">
        <f t="shared" si="27"/>
        <v/>
      </c>
      <c r="F322" s="196" t="str">
        <f t="shared" si="24"/>
        <v/>
      </c>
      <c r="G322" s="190" t="str">
        <f t="shared" si="28"/>
        <v/>
      </c>
      <c r="H322" s="503" t="str">
        <f t="shared" si="29"/>
        <v/>
      </c>
      <c r="I322" s="49"/>
    </row>
    <row r="323" spans="2:9" ht="20.100000000000001" customHeight="1" x14ac:dyDescent="0.3">
      <c r="B323" s="198">
        <v>315</v>
      </c>
      <c r="C323" s="501" t="str">
        <f t="shared" si="25"/>
        <v/>
      </c>
      <c r="D323" s="502" t="str">
        <f t="shared" si="26"/>
        <v/>
      </c>
      <c r="E323" s="190" t="str">
        <f t="shared" si="27"/>
        <v/>
      </c>
      <c r="F323" s="196" t="str">
        <f t="shared" si="24"/>
        <v/>
      </c>
      <c r="G323" s="190" t="str">
        <f t="shared" si="28"/>
        <v/>
      </c>
      <c r="H323" s="503" t="str">
        <f t="shared" si="29"/>
        <v/>
      </c>
      <c r="I323" s="49"/>
    </row>
    <row r="324" spans="2:9" ht="20.100000000000001" customHeight="1" x14ac:dyDescent="0.3">
      <c r="B324" s="198">
        <v>316</v>
      </c>
      <c r="C324" s="501" t="str">
        <f t="shared" si="25"/>
        <v/>
      </c>
      <c r="D324" s="502" t="str">
        <f t="shared" si="26"/>
        <v/>
      </c>
      <c r="E324" s="190" t="str">
        <f t="shared" si="27"/>
        <v/>
      </c>
      <c r="F324" s="196" t="str">
        <f t="shared" si="24"/>
        <v/>
      </c>
      <c r="G324" s="190" t="str">
        <f t="shared" si="28"/>
        <v/>
      </c>
      <c r="H324" s="503" t="str">
        <f t="shared" si="29"/>
        <v/>
      </c>
      <c r="I324" s="49"/>
    </row>
    <row r="325" spans="2:9" ht="20.100000000000001" customHeight="1" x14ac:dyDescent="0.3">
      <c r="B325" s="198">
        <v>317</v>
      </c>
      <c r="C325" s="501" t="str">
        <f t="shared" si="25"/>
        <v/>
      </c>
      <c r="D325" s="502" t="str">
        <f t="shared" si="26"/>
        <v/>
      </c>
      <c r="E325" s="190" t="str">
        <f t="shared" si="27"/>
        <v/>
      </c>
      <c r="F325" s="196" t="str">
        <f t="shared" si="24"/>
        <v/>
      </c>
      <c r="G325" s="190" t="str">
        <f t="shared" si="28"/>
        <v/>
      </c>
      <c r="H325" s="503" t="str">
        <f t="shared" si="29"/>
        <v/>
      </c>
      <c r="I325" s="49"/>
    </row>
    <row r="326" spans="2:9" ht="20.100000000000001" customHeight="1" x14ac:dyDescent="0.3">
      <c r="B326" s="198">
        <v>318</v>
      </c>
      <c r="C326" s="501" t="str">
        <f t="shared" si="25"/>
        <v/>
      </c>
      <c r="D326" s="502" t="str">
        <f t="shared" si="26"/>
        <v/>
      </c>
      <c r="E326" s="190" t="str">
        <f t="shared" si="27"/>
        <v/>
      </c>
      <c r="F326" s="196" t="str">
        <f t="shared" si="24"/>
        <v/>
      </c>
      <c r="G326" s="190" t="str">
        <f t="shared" si="28"/>
        <v/>
      </c>
      <c r="H326" s="503" t="str">
        <f t="shared" si="29"/>
        <v/>
      </c>
      <c r="I326" s="49"/>
    </row>
    <row r="327" spans="2:9" ht="20.100000000000001" customHeight="1" x14ac:dyDescent="0.3">
      <c r="B327" s="198">
        <v>319</v>
      </c>
      <c r="C327" s="501" t="str">
        <f t="shared" si="25"/>
        <v/>
      </c>
      <c r="D327" s="502" t="str">
        <f t="shared" si="26"/>
        <v/>
      </c>
      <c r="E327" s="190" t="str">
        <f t="shared" si="27"/>
        <v/>
      </c>
      <c r="F327" s="196" t="str">
        <f t="shared" si="24"/>
        <v/>
      </c>
      <c r="G327" s="190" t="str">
        <f t="shared" si="28"/>
        <v/>
      </c>
      <c r="H327" s="503" t="str">
        <f t="shared" si="29"/>
        <v/>
      </c>
      <c r="I327" s="49"/>
    </row>
    <row r="328" spans="2:9" ht="20.100000000000001" customHeight="1" x14ac:dyDescent="0.3">
      <c r="B328" s="198">
        <v>320</v>
      </c>
      <c r="C328" s="501" t="str">
        <f t="shared" si="25"/>
        <v/>
      </c>
      <c r="D328" s="502" t="str">
        <f t="shared" si="26"/>
        <v/>
      </c>
      <c r="E328" s="190" t="str">
        <f t="shared" si="27"/>
        <v/>
      </c>
      <c r="F328" s="196" t="str">
        <f t="shared" si="24"/>
        <v/>
      </c>
      <c r="G328" s="190" t="str">
        <f t="shared" si="28"/>
        <v/>
      </c>
      <c r="H328" s="503" t="str">
        <f t="shared" si="29"/>
        <v/>
      </c>
      <c r="I328" s="49"/>
    </row>
    <row r="329" spans="2:9" ht="20.100000000000001" customHeight="1" x14ac:dyDescent="0.3">
      <c r="B329" s="198">
        <v>321</v>
      </c>
      <c r="C329" s="501" t="str">
        <f t="shared" si="25"/>
        <v/>
      </c>
      <c r="D329" s="502" t="str">
        <f t="shared" si="26"/>
        <v/>
      </c>
      <c r="E329" s="190" t="str">
        <f t="shared" si="27"/>
        <v/>
      </c>
      <c r="F329" s="196" t="str">
        <f t="shared" si="24"/>
        <v/>
      </c>
      <c r="G329" s="190" t="str">
        <f t="shared" si="28"/>
        <v/>
      </c>
      <c r="H329" s="503" t="str">
        <f t="shared" si="29"/>
        <v/>
      </c>
      <c r="I329" s="49"/>
    </row>
    <row r="330" spans="2:9" ht="20.100000000000001" customHeight="1" x14ac:dyDescent="0.3">
      <c r="B330" s="198">
        <v>322</v>
      </c>
      <c r="C330" s="501" t="str">
        <f t="shared" si="25"/>
        <v/>
      </c>
      <c r="D330" s="502" t="str">
        <f t="shared" si="26"/>
        <v/>
      </c>
      <c r="E330" s="190" t="str">
        <f t="shared" si="27"/>
        <v/>
      </c>
      <c r="F330" s="196" t="str">
        <f t="shared" ref="F330:F393" si="30">IF($H$4="","",IF($F$4="원리금균등상환",IFERROR(D330+E330,""),IF($F$4="원금균등상환",D330+E330,"")))</f>
        <v/>
      </c>
      <c r="G330" s="190" t="str">
        <f t="shared" si="28"/>
        <v/>
      </c>
      <c r="H330" s="503" t="str">
        <f t="shared" si="29"/>
        <v/>
      </c>
      <c r="I330" s="49"/>
    </row>
    <row r="331" spans="2:9" ht="20.100000000000001" customHeight="1" x14ac:dyDescent="0.3">
      <c r="B331" s="198">
        <v>323</v>
      </c>
      <c r="C331" s="501" t="str">
        <f t="shared" ref="C331:C394" si="31">IF($H$4="","",IF(B331&gt;($B$6),"",IF(B331&lt;=($B$6),DATE(YEAR($G$4),MONTH($G$4)+B330,DAY($G$4)),"")))</f>
        <v/>
      </c>
      <c r="D331" s="502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190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196" t="str">
        <f t="shared" si="30"/>
        <v/>
      </c>
      <c r="G331" s="190" t="str">
        <f t="shared" ref="G331:G394" si="34">IFERROR(IF(B331&gt;(($D$6+$B$6)*12),"",IF(B331=1,D331,D331+G330)),"")</f>
        <v/>
      </c>
      <c r="H331" s="503" t="str">
        <f t="shared" ref="H331:H394" si="35">IFERROR(IF($H$4="","",H330-D331),"")</f>
        <v/>
      </c>
      <c r="I331" s="49"/>
    </row>
    <row r="332" spans="2:9" ht="20.100000000000001" customHeight="1" x14ac:dyDescent="0.3">
      <c r="B332" s="198">
        <v>324</v>
      </c>
      <c r="C332" s="501" t="str">
        <f t="shared" si="31"/>
        <v/>
      </c>
      <c r="D332" s="502" t="str">
        <f t="shared" si="32"/>
        <v/>
      </c>
      <c r="E332" s="190" t="str">
        <f t="shared" si="33"/>
        <v/>
      </c>
      <c r="F332" s="196" t="str">
        <f t="shared" si="30"/>
        <v/>
      </c>
      <c r="G332" s="190" t="str">
        <f t="shared" si="34"/>
        <v/>
      </c>
      <c r="H332" s="503" t="str">
        <f t="shared" si="35"/>
        <v/>
      </c>
      <c r="I332" s="49"/>
    </row>
    <row r="333" spans="2:9" ht="20.100000000000001" customHeight="1" x14ac:dyDescent="0.3">
      <c r="B333" s="198">
        <v>325</v>
      </c>
      <c r="C333" s="501" t="str">
        <f t="shared" si="31"/>
        <v/>
      </c>
      <c r="D333" s="502" t="str">
        <f t="shared" si="32"/>
        <v/>
      </c>
      <c r="E333" s="190" t="str">
        <f t="shared" si="33"/>
        <v/>
      </c>
      <c r="F333" s="196" t="str">
        <f t="shared" si="30"/>
        <v/>
      </c>
      <c r="G333" s="190" t="str">
        <f t="shared" si="34"/>
        <v/>
      </c>
      <c r="H333" s="503" t="str">
        <f t="shared" si="35"/>
        <v/>
      </c>
      <c r="I333" s="49"/>
    </row>
    <row r="334" spans="2:9" ht="20.100000000000001" customHeight="1" x14ac:dyDescent="0.3">
      <c r="B334" s="198">
        <v>326</v>
      </c>
      <c r="C334" s="501" t="str">
        <f t="shared" si="31"/>
        <v/>
      </c>
      <c r="D334" s="502" t="str">
        <f t="shared" si="32"/>
        <v/>
      </c>
      <c r="E334" s="190" t="str">
        <f t="shared" si="33"/>
        <v/>
      </c>
      <c r="F334" s="196" t="str">
        <f t="shared" si="30"/>
        <v/>
      </c>
      <c r="G334" s="190" t="str">
        <f t="shared" si="34"/>
        <v/>
      </c>
      <c r="H334" s="503" t="str">
        <f t="shared" si="35"/>
        <v/>
      </c>
      <c r="I334" s="49"/>
    </row>
    <row r="335" spans="2:9" ht="20.100000000000001" customHeight="1" x14ac:dyDescent="0.3">
      <c r="B335" s="198">
        <v>327</v>
      </c>
      <c r="C335" s="501" t="str">
        <f t="shared" si="31"/>
        <v/>
      </c>
      <c r="D335" s="502" t="str">
        <f t="shared" si="32"/>
        <v/>
      </c>
      <c r="E335" s="190" t="str">
        <f t="shared" si="33"/>
        <v/>
      </c>
      <c r="F335" s="196" t="str">
        <f t="shared" si="30"/>
        <v/>
      </c>
      <c r="G335" s="190" t="str">
        <f t="shared" si="34"/>
        <v/>
      </c>
      <c r="H335" s="503" t="str">
        <f t="shared" si="35"/>
        <v/>
      </c>
      <c r="I335" s="49"/>
    </row>
    <row r="336" spans="2:9" ht="20.100000000000001" customHeight="1" x14ac:dyDescent="0.3">
      <c r="B336" s="198">
        <v>328</v>
      </c>
      <c r="C336" s="501" t="str">
        <f t="shared" si="31"/>
        <v/>
      </c>
      <c r="D336" s="502" t="str">
        <f t="shared" si="32"/>
        <v/>
      </c>
      <c r="E336" s="190" t="str">
        <f t="shared" si="33"/>
        <v/>
      </c>
      <c r="F336" s="196" t="str">
        <f t="shared" si="30"/>
        <v/>
      </c>
      <c r="G336" s="190" t="str">
        <f t="shared" si="34"/>
        <v/>
      </c>
      <c r="H336" s="503" t="str">
        <f t="shared" si="35"/>
        <v/>
      </c>
      <c r="I336" s="49"/>
    </row>
    <row r="337" spans="2:9" ht="20.100000000000001" customHeight="1" x14ac:dyDescent="0.3">
      <c r="B337" s="198">
        <v>329</v>
      </c>
      <c r="C337" s="501" t="str">
        <f t="shared" si="31"/>
        <v/>
      </c>
      <c r="D337" s="502" t="str">
        <f t="shared" si="32"/>
        <v/>
      </c>
      <c r="E337" s="190" t="str">
        <f t="shared" si="33"/>
        <v/>
      </c>
      <c r="F337" s="196" t="str">
        <f t="shared" si="30"/>
        <v/>
      </c>
      <c r="G337" s="190" t="str">
        <f t="shared" si="34"/>
        <v/>
      </c>
      <c r="H337" s="503" t="str">
        <f t="shared" si="35"/>
        <v/>
      </c>
      <c r="I337" s="49"/>
    </row>
    <row r="338" spans="2:9" ht="20.100000000000001" customHeight="1" x14ac:dyDescent="0.3">
      <c r="B338" s="198">
        <v>330</v>
      </c>
      <c r="C338" s="501" t="str">
        <f t="shared" si="31"/>
        <v/>
      </c>
      <c r="D338" s="502" t="str">
        <f t="shared" si="32"/>
        <v/>
      </c>
      <c r="E338" s="190" t="str">
        <f t="shared" si="33"/>
        <v/>
      </c>
      <c r="F338" s="196" t="str">
        <f t="shared" si="30"/>
        <v/>
      </c>
      <c r="G338" s="190" t="str">
        <f t="shared" si="34"/>
        <v/>
      </c>
      <c r="H338" s="503" t="str">
        <f t="shared" si="35"/>
        <v/>
      </c>
      <c r="I338" s="49"/>
    </row>
    <row r="339" spans="2:9" ht="20.100000000000001" customHeight="1" x14ac:dyDescent="0.3">
      <c r="B339" s="198">
        <v>331</v>
      </c>
      <c r="C339" s="501" t="str">
        <f t="shared" si="31"/>
        <v/>
      </c>
      <c r="D339" s="502" t="str">
        <f t="shared" si="32"/>
        <v/>
      </c>
      <c r="E339" s="190" t="str">
        <f t="shared" si="33"/>
        <v/>
      </c>
      <c r="F339" s="196" t="str">
        <f t="shared" si="30"/>
        <v/>
      </c>
      <c r="G339" s="190" t="str">
        <f t="shared" si="34"/>
        <v/>
      </c>
      <c r="H339" s="503" t="str">
        <f t="shared" si="35"/>
        <v/>
      </c>
      <c r="I339" s="49"/>
    </row>
    <row r="340" spans="2:9" ht="20.100000000000001" customHeight="1" x14ac:dyDescent="0.3">
      <c r="B340" s="198">
        <v>332</v>
      </c>
      <c r="C340" s="501" t="str">
        <f t="shared" si="31"/>
        <v/>
      </c>
      <c r="D340" s="502" t="str">
        <f t="shared" si="32"/>
        <v/>
      </c>
      <c r="E340" s="190" t="str">
        <f t="shared" si="33"/>
        <v/>
      </c>
      <c r="F340" s="196" t="str">
        <f t="shared" si="30"/>
        <v/>
      </c>
      <c r="G340" s="190" t="str">
        <f t="shared" si="34"/>
        <v/>
      </c>
      <c r="H340" s="503" t="str">
        <f t="shared" si="35"/>
        <v/>
      </c>
      <c r="I340" s="49"/>
    </row>
    <row r="341" spans="2:9" ht="20.100000000000001" customHeight="1" x14ac:dyDescent="0.3">
      <c r="B341" s="198">
        <v>333</v>
      </c>
      <c r="C341" s="501" t="str">
        <f t="shared" si="31"/>
        <v/>
      </c>
      <c r="D341" s="502" t="str">
        <f t="shared" si="32"/>
        <v/>
      </c>
      <c r="E341" s="190" t="str">
        <f t="shared" si="33"/>
        <v/>
      </c>
      <c r="F341" s="196" t="str">
        <f t="shared" si="30"/>
        <v/>
      </c>
      <c r="G341" s="190" t="str">
        <f t="shared" si="34"/>
        <v/>
      </c>
      <c r="H341" s="503" t="str">
        <f t="shared" si="35"/>
        <v/>
      </c>
      <c r="I341" s="49"/>
    </row>
    <row r="342" spans="2:9" ht="20.100000000000001" customHeight="1" x14ac:dyDescent="0.3">
      <c r="B342" s="198">
        <v>334</v>
      </c>
      <c r="C342" s="501" t="str">
        <f t="shared" si="31"/>
        <v/>
      </c>
      <c r="D342" s="502" t="str">
        <f t="shared" si="32"/>
        <v/>
      </c>
      <c r="E342" s="190" t="str">
        <f t="shared" si="33"/>
        <v/>
      </c>
      <c r="F342" s="196" t="str">
        <f t="shared" si="30"/>
        <v/>
      </c>
      <c r="G342" s="190" t="str">
        <f t="shared" si="34"/>
        <v/>
      </c>
      <c r="H342" s="503" t="str">
        <f t="shared" si="35"/>
        <v/>
      </c>
      <c r="I342" s="49"/>
    </row>
    <row r="343" spans="2:9" ht="20.100000000000001" customHeight="1" x14ac:dyDescent="0.3">
      <c r="B343" s="198">
        <v>335</v>
      </c>
      <c r="C343" s="501" t="str">
        <f t="shared" si="31"/>
        <v/>
      </c>
      <c r="D343" s="502" t="str">
        <f t="shared" si="32"/>
        <v/>
      </c>
      <c r="E343" s="190" t="str">
        <f t="shared" si="33"/>
        <v/>
      </c>
      <c r="F343" s="196" t="str">
        <f t="shared" si="30"/>
        <v/>
      </c>
      <c r="G343" s="190" t="str">
        <f t="shared" si="34"/>
        <v/>
      </c>
      <c r="H343" s="503" t="str">
        <f t="shared" si="35"/>
        <v/>
      </c>
      <c r="I343" s="49"/>
    </row>
    <row r="344" spans="2:9" ht="20.100000000000001" customHeight="1" x14ac:dyDescent="0.3">
      <c r="B344" s="198">
        <v>336</v>
      </c>
      <c r="C344" s="501" t="str">
        <f t="shared" si="31"/>
        <v/>
      </c>
      <c r="D344" s="502" t="str">
        <f t="shared" si="32"/>
        <v/>
      </c>
      <c r="E344" s="190" t="str">
        <f t="shared" si="33"/>
        <v/>
      </c>
      <c r="F344" s="196" t="str">
        <f t="shared" si="30"/>
        <v/>
      </c>
      <c r="G344" s="190" t="str">
        <f t="shared" si="34"/>
        <v/>
      </c>
      <c r="H344" s="503" t="str">
        <f t="shared" si="35"/>
        <v/>
      </c>
      <c r="I344" s="49"/>
    </row>
    <row r="345" spans="2:9" ht="20.100000000000001" customHeight="1" x14ac:dyDescent="0.3">
      <c r="B345" s="198">
        <v>337</v>
      </c>
      <c r="C345" s="501" t="str">
        <f t="shared" si="31"/>
        <v/>
      </c>
      <c r="D345" s="502" t="str">
        <f t="shared" si="32"/>
        <v/>
      </c>
      <c r="E345" s="190" t="str">
        <f t="shared" si="33"/>
        <v/>
      </c>
      <c r="F345" s="196" t="str">
        <f t="shared" si="30"/>
        <v/>
      </c>
      <c r="G345" s="190" t="str">
        <f t="shared" si="34"/>
        <v/>
      </c>
      <c r="H345" s="503" t="str">
        <f t="shared" si="35"/>
        <v/>
      </c>
      <c r="I345" s="49"/>
    </row>
    <row r="346" spans="2:9" ht="20.100000000000001" customHeight="1" x14ac:dyDescent="0.3">
      <c r="B346" s="198">
        <v>338</v>
      </c>
      <c r="C346" s="501" t="str">
        <f t="shared" si="31"/>
        <v/>
      </c>
      <c r="D346" s="502" t="str">
        <f t="shared" si="32"/>
        <v/>
      </c>
      <c r="E346" s="190" t="str">
        <f t="shared" si="33"/>
        <v/>
      </c>
      <c r="F346" s="196" t="str">
        <f t="shared" si="30"/>
        <v/>
      </c>
      <c r="G346" s="190" t="str">
        <f t="shared" si="34"/>
        <v/>
      </c>
      <c r="H346" s="503" t="str">
        <f t="shared" si="35"/>
        <v/>
      </c>
      <c r="I346" s="49"/>
    </row>
    <row r="347" spans="2:9" ht="20.100000000000001" customHeight="1" x14ac:dyDescent="0.3">
      <c r="B347" s="198">
        <v>339</v>
      </c>
      <c r="C347" s="501" t="str">
        <f t="shared" si="31"/>
        <v/>
      </c>
      <c r="D347" s="502" t="str">
        <f t="shared" si="32"/>
        <v/>
      </c>
      <c r="E347" s="190" t="str">
        <f t="shared" si="33"/>
        <v/>
      </c>
      <c r="F347" s="196" t="str">
        <f t="shared" si="30"/>
        <v/>
      </c>
      <c r="G347" s="190" t="str">
        <f t="shared" si="34"/>
        <v/>
      </c>
      <c r="H347" s="503" t="str">
        <f t="shared" si="35"/>
        <v/>
      </c>
      <c r="I347" s="49"/>
    </row>
    <row r="348" spans="2:9" ht="20.100000000000001" customHeight="1" x14ac:dyDescent="0.3">
      <c r="B348" s="198">
        <v>340</v>
      </c>
      <c r="C348" s="501" t="str">
        <f t="shared" si="31"/>
        <v/>
      </c>
      <c r="D348" s="502" t="str">
        <f t="shared" si="32"/>
        <v/>
      </c>
      <c r="E348" s="190" t="str">
        <f t="shared" si="33"/>
        <v/>
      </c>
      <c r="F348" s="196" t="str">
        <f t="shared" si="30"/>
        <v/>
      </c>
      <c r="G348" s="190" t="str">
        <f t="shared" si="34"/>
        <v/>
      </c>
      <c r="H348" s="503" t="str">
        <f t="shared" si="35"/>
        <v/>
      </c>
      <c r="I348" s="49"/>
    </row>
    <row r="349" spans="2:9" ht="20.100000000000001" customHeight="1" x14ac:dyDescent="0.3">
      <c r="B349" s="198">
        <v>341</v>
      </c>
      <c r="C349" s="501" t="str">
        <f t="shared" si="31"/>
        <v/>
      </c>
      <c r="D349" s="502" t="str">
        <f t="shared" si="32"/>
        <v/>
      </c>
      <c r="E349" s="190" t="str">
        <f t="shared" si="33"/>
        <v/>
      </c>
      <c r="F349" s="196" t="str">
        <f t="shared" si="30"/>
        <v/>
      </c>
      <c r="G349" s="190" t="str">
        <f t="shared" si="34"/>
        <v/>
      </c>
      <c r="H349" s="503" t="str">
        <f t="shared" si="35"/>
        <v/>
      </c>
      <c r="I349" s="49"/>
    </row>
    <row r="350" spans="2:9" ht="20.100000000000001" customHeight="1" x14ac:dyDescent="0.3">
      <c r="B350" s="198">
        <v>342</v>
      </c>
      <c r="C350" s="501" t="str">
        <f t="shared" si="31"/>
        <v/>
      </c>
      <c r="D350" s="502" t="str">
        <f t="shared" si="32"/>
        <v/>
      </c>
      <c r="E350" s="190" t="str">
        <f t="shared" si="33"/>
        <v/>
      </c>
      <c r="F350" s="196" t="str">
        <f t="shared" si="30"/>
        <v/>
      </c>
      <c r="G350" s="190" t="str">
        <f t="shared" si="34"/>
        <v/>
      </c>
      <c r="H350" s="503" t="str">
        <f t="shared" si="35"/>
        <v/>
      </c>
      <c r="I350" s="49"/>
    </row>
    <row r="351" spans="2:9" ht="20.100000000000001" customHeight="1" x14ac:dyDescent="0.3">
      <c r="B351" s="198">
        <v>343</v>
      </c>
      <c r="C351" s="501" t="str">
        <f t="shared" si="31"/>
        <v/>
      </c>
      <c r="D351" s="502" t="str">
        <f t="shared" si="32"/>
        <v/>
      </c>
      <c r="E351" s="190" t="str">
        <f t="shared" si="33"/>
        <v/>
      </c>
      <c r="F351" s="196" t="str">
        <f t="shared" si="30"/>
        <v/>
      </c>
      <c r="G351" s="190" t="str">
        <f t="shared" si="34"/>
        <v/>
      </c>
      <c r="H351" s="503" t="str">
        <f t="shared" si="35"/>
        <v/>
      </c>
      <c r="I351" s="49"/>
    </row>
    <row r="352" spans="2:9" ht="20.100000000000001" customHeight="1" x14ac:dyDescent="0.3">
      <c r="B352" s="198">
        <v>344</v>
      </c>
      <c r="C352" s="501" t="str">
        <f t="shared" si="31"/>
        <v/>
      </c>
      <c r="D352" s="502" t="str">
        <f t="shared" si="32"/>
        <v/>
      </c>
      <c r="E352" s="190" t="str">
        <f t="shared" si="33"/>
        <v/>
      </c>
      <c r="F352" s="196" t="str">
        <f t="shared" si="30"/>
        <v/>
      </c>
      <c r="G352" s="190" t="str">
        <f t="shared" si="34"/>
        <v/>
      </c>
      <c r="H352" s="503" t="str">
        <f t="shared" si="35"/>
        <v/>
      </c>
      <c r="I352" s="49"/>
    </row>
    <row r="353" spans="2:9" ht="20.100000000000001" customHeight="1" x14ac:dyDescent="0.3">
      <c r="B353" s="198">
        <v>345</v>
      </c>
      <c r="C353" s="501" t="str">
        <f t="shared" si="31"/>
        <v/>
      </c>
      <c r="D353" s="502" t="str">
        <f t="shared" si="32"/>
        <v/>
      </c>
      <c r="E353" s="190" t="str">
        <f t="shared" si="33"/>
        <v/>
      </c>
      <c r="F353" s="196" t="str">
        <f t="shared" si="30"/>
        <v/>
      </c>
      <c r="G353" s="190" t="str">
        <f t="shared" si="34"/>
        <v/>
      </c>
      <c r="H353" s="503" t="str">
        <f t="shared" si="35"/>
        <v/>
      </c>
      <c r="I353" s="49"/>
    </row>
    <row r="354" spans="2:9" ht="20.100000000000001" customHeight="1" x14ac:dyDescent="0.3">
      <c r="B354" s="198">
        <v>346</v>
      </c>
      <c r="C354" s="501" t="str">
        <f t="shared" si="31"/>
        <v/>
      </c>
      <c r="D354" s="502" t="str">
        <f t="shared" si="32"/>
        <v/>
      </c>
      <c r="E354" s="190" t="str">
        <f t="shared" si="33"/>
        <v/>
      </c>
      <c r="F354" s="196" t="str">
        <f t="shared" si="30"/>
        <v/>
      </c>
      <c r="G354" s="190" t="str">
        <f t="shared" si="34"/>
        <v/>
      </c>
      <c r="H354" s="503" t="str">
        <f t="shared" si="35"/>
        <v/>
      </c>
      <c r="I354" s="49"/>
    </row>
    <row r="355" spans="2:9" ht="20.100000000000001" customHeight="1" x14ac:dyDescent="0.3">
      <c r="B355" s="198">
        <v>347</v>
      </c>
      <c r="C355" s="501" t="str">
        <f t="shared" si="31"/>
        <v/>
      </c>
      <c r="D355" s="502" t="str">
        <f t="shared" si="32"/>
        <v/>
      </c>
      <c r="E355" s="190" t="str">
        <f t="shared" si="33"/>
        <v/>
      </c>
      <c r="F355" s="196" t="str">
        <f t="shared" si="30"/>
        <v/>
      </c>
      <c r="G355" s="190" t="str">
        <f t="shared" si="34"/>
        <v/>
      </c>
      <c r="H355" s="503" t="str">
        <f t="shared" si="35"/>
        <v/>
      </c>
      <c r="I355" s="49"/>
    </row>
    <row r="356" spans="2:9" ht="20.100000000000001" customHeight="1" x14ac:dyDescent="0.3">
      <c r="B356" s="198">
        <v>348</v>
      </c>
      <c r="C356" s="501" t="str">
        <f t="shared" si="31"/>
        <v/>
      </c>
      <c r="D356" s="502" t="str">
        <f t="shared" si="32"/>
        <v/>
      </c>
      <c r="E356" s="190" t="str">
        <f t="shared" si="33"/>
        <v/>
      </c>
      <c r="F356" s="196" t="str">
        <f t="shared" si="30"/>
        <v/>
      </c>
      <c r="G356" s="190" t="str">
        <f t="shared" si="34"/>
        <v/>
      </c>
      <c r="H356" s="503" t="str">
        <f t="shared" si="35"/>
        <v/>
      </c>
      <c r="I356" s="49"/>
    </row>
    <row r="357" spans="2:9" ht="20.100000000000001" customHeight="1" x14ac:dyDescent="0.3">
      <c r="B357" s="198">
        <v>349</v>
      </c>
      <c r="C357" s="501" t="str">
        <f t="shared" si="31"/>
        <v/>
      </c>
      <c r="D357" s="502" t="str">
        <f t="shared" si="32"/>
        <v/>
      </c>
      <c r="E357" s="190" t="str">
        <f t="shared" si="33"/>
        <v/>
      </c>
      <c r="F357" s="196" t="str">
        <f t="shared" si="30"/>
        <v/>
      </c>
      <c r="G357" s="190" t="str">
        <f t="shared" si="34"/>
        <v/>
      </c>
      <c r="H357" s="503" t="str">
        <f t="shared" si="35"/>
        <v/>
      </c>
      <c r="I357" s="49"/>
    </row>
    <row r="358" spans="2:9" ht="20.100000000000001" customHeight="1" x14ac:dyDescent="0.3">
      <c r="B358" s="198">
        <v>350</v>
      </c>
      <c r="C358" s="501" t="str">
        <f t="shared" si="31"/>
        <v/>
      </c>
      <c r="D358" s="502" t="str">
        <f t="shared" si="32"/>
        <v/>
      </c>
      <c r="E358" s="190" t="str">
        <f t="shared" si="33"/>
        <v/>
      </c>
      <c r="F358" s="196" t="str">
        <f t="shared" si="30"/>
        <v/>
      </c>
      <c r="G358" s="190" t="str">
        <f t="shared" si="34"/>
        <v/>
      </c>
      <c r="H358" s="503" t="str">
        <f t="shared" si="35"/>
        <v/>
      </c>
      <c r="I358" s="49"/>
    </row>
    <row r="359" spans="2:9" ht="20.100000000000001" customHeight="1" x14ac:dyDescent="0.3">
      <c r="B359" s="198">
        <v>351</v>
      </c>
      <c r="C359" s="501" t="str">
        <f t="shared" si="31"/>
        <v/>
      </c>
      <c r="D359" s="502" t="str">
        <f t="shared" si="32"/>
        <v/>
      </c>
      <c r="E359" s="190" t="str">
        <f t="shared" si="33"/>
        <v/>
      </c>
      <c r="F359" s="196" t="str">
        <f t="shared" si="30"/>
        <v/>
      </c>
      <c r="G359" s="190" t="str">
        <f t="shared" si="34"/>
        <v/>
      </c>
      <c r="H359" s="503" t="str">
        <f t="shared" si="35"/>
        <v/>
      </c>
      <c r="I359" s="49"/>
    </row>
    <row r="360" spans="2:9" ht="20.100000000000001" customHeight="1" x14ac:dyDescent="0.3">
      <c r="B360" s="198">
        <v>352</v>
      </c>
      <c r="C360" s="501" t="str">
        <f t="shared" si="31"/>
        <v/>
      </c>
      <c r="D360" s="502" t="str">
        <f t="shared" si="32"/>
        <v/>
      </c>
      <c r="E360" s="190" t="str">
        <f t="shared" si="33"/>
        <v/>
      </c>
      <c r="F360" s="196" t="str">
        <f t="shared" si="30"/>
        <v/>
      </c>
      <c r="G360" s="190" t="str">
        <f t="shared" si="34"/>
        <v/>
      </c>
      <c r="H360" s="503" t="str">
        <f t="shared" si="35"/>
        <v/>
      </c>
      <c r="I360" s="49"/>
    </row>
    <row r="361" spans="2:9" ht="20.100000000000001" customHeight="1" x14ac:dyDescent="0.3">
      <c r="B361" s="198">
        <v>353</v>
      </c>
      <c r="C361" s="501" t="str">
        <f t="shared" si="31"/>
        <v/>
      </c>
      <c r="D361" s="502" t="str">
        <f t="shared" si="32"/>
        <v/>
      </c>
      <c r="E361" s="190" t="str">
        <f t="shared" si="33"/>
        <v/>
      </c>
      <c r="F361" s="196" t="str">
        <f t="shared" si="30"/>
        <v/>
      </c>
      <c r="G361" s="190" t="str">
        <f t="shared" si="34"/>
        <v/>
      </c>
      <c r="H361" s="503" t="str">
        <f t="shared" si="35"/>
        <v/>
      </c>
      <c r="I361" s="49"/>
    </row>
    <row r="362" spans="2:9" ht="20.100000000000001" customHeight="1" x14ac:dyDescent="0.3">
      <c r="B362" s="198">
        <v>354</v>
      </c>
      <c r="C362" s="501" t="str">
        <f t="shared" si="31"/>
        <v/>
      </c>
      <c r="D362" s="502" t="str">
        <f t="shared" si="32"/>
        <v/>
      </c>
      <c r="E362" s="190" t="str">
        <f t="shared" si="33"/>
        <v/>
      </c>
      <c r="F362" s="196" t="str">
        <f t="shared" si="30"/>
        <v/>
      </c>
      <c r="G362" s="190" t="str">
        <f t="shared" si="34"/>
        <v/>
      </c>
      <c r="H362" s="503" t="str">
        <f t="shared" si="35"/>
        <v/>
      </c>
      <c r="I362" s="49"/>
    </row>
    <row r="363" spans="2:9" ht="20.100000000000001" customHeight="1" x14ac:dyDescent="0.3">
      <c r="B363" s="198">
        <v>355</v>
      </c>
      <c r="C363" s="501" t="str">
        <f t="shared" si="31"/>
        <v/>
      </c>
      <c r="D363" s="502" t="str">
        <f t="shared" si="32"/>
        <v/>
      </c>
      <c r="E363" s="190" t="str">
        <f t="shared" si="33"/>
        <v/>
      </c>
      <c r="F363" s="196" t="str">
        <f t="shared" si="30"/>
        <v/>
      </c>
      <c r="G363" s="190" t="str">
        <f t="shared" si="34"/>
        <v/>
      </c>
      <c r="H363" s="503" t="str">
        <f t="shared" si="35"/>
        <v/>
      </c>
      <c r="I363" s="49"/>
    </row>
    <row r="364" spans="2:9" ht="20.100000000000001" customHeight="1" x14ac:dyDescent="0.3">
      <c r="B364" s="198">
        <v>356</v>
      </c>
      <c r="C364" s="501" t="str">
        <f t="shared" si="31"/>
        <v/>
      </c>
      <c r="D364" s="502" t="str">
        <f t="shared" si="32"/>
        <v/>
      </c>
      <c r="E364" s="190" t="str">
        <f t="shared" si="33"/>
        <v/>
      </c>
      <c r="F364" s="196" t="str">
        <f t="shared" si="30"/>
        <v/>
      </c>
      <c r="G364" s="190" t="str">
        <f t="shared" si="34"/>
        <v/>
      </c>
      <c r="H364" s="503" t="str">
        <f t="shared" si="35"/>
        <v/>
      </c>
      <c r="I364" s="49"/>
    </row>
    <row r="365" spans="2:9" ht="20.100000000000001" customHeight="1" x14ac:dyDescent="0.3">
      <c r="B365" s="198">
        <v>357</v>
      </c>
      <c r="C365" s="501" t="str">
        <f t="shared" si="31"/>
        <v/>
      </c>
      <c r="D365" s="502" t="str">
        <f t="shared" si="32"/>
        <v/>
      </c>
      <c r="E365" s="190" t="str">
        <f t="shared" si="33"/>
        <v/>
      </c>
      <c r="F365" s="196" t="str">
        <f t="shared" si="30"/>
        <v/>
      </c>
      <c r="G365" s="190" t="str">
        <f t="shared" si="34"/>
        <v/>
      </c>
      <c r="H365" s="503" t="str">
        <f t="shared" si="35"/>
        <v/>
      </c>
      <c r="I365" s="49"/>
    </row>
    <row r="366" spans="2:9" ht="20.100000000000001" customHeight="1" x14ac:dyDescent="0.3">
      <c r="B366" s="198">
        <v>358</v>
      </c>
      <c r="C366" s="501" t="str">
        <f t="shared" si="31"/>
        <v/>
      </c>
      <c r="D366" s="502" t="str">
        <f t="shared" si="32"/>
        <v/>
      </c>
      <c r="E366" s="190" t="str">
        <f t="shared" si="33"/>
        <v/>
      </c>
      <c r="F366" s="196" t="str">
        <f t="shared" si="30"/>
        <v/>
      </c>
      <c r="G366" s="190" t="str">
        <f t="shared" si="34"/>
        <v/>
      </c>
      <c r="H366" s="503" t="str">
        <f t="shared" si="35"/>
        <v/>
      </c>
      <c r="I366" s="49"/>
    </row>
    <row r="367" spans="2:9" ht="20.100000000000001" customHeight="1" x14ac:dyDescent="0.3">
      <c r="B367" s="198">
        <v>359</v>
      </c>
      <c r="C367" s="501" t="str">
        <f t="shared" si="31"/>
        <v/>
      </c>
      <c r="D367" s="502" t="str">
        <f t="shared" si="32"/>
        <v/>
      </c>
      <c r="E367" s="190" t="str">
        <f t="shared" si="33"/>
        <v/>
      </c>
      <c r="F367" s="196" t="str">
        <f t="shared" si="30"/>
        <v/>
      </c>
      <c r="G367" s="190" t="str">
        <f t="shared" si="34"/>
        <v/>
      </c>
      <c r="H367" s="503" t="str">
        <f t="shared" si="35"/>
        <v/>
      </c>
      <c r="I367" s="49"/>
    </row>
    <row r="368" spans="2:9" ht="20.100000000000001" customHeight="1" x14ac:dyDescent="0.3">
      <c r="B368" s="198">
        <v>360</v>
      </c>
      <c r="C368" s="501" t="str">
        <f t="shared" si="31"/>
        <v/>
      </c>
      <c r="D368" s="502" t="str">
        <f t="shared" si="32"/>
        <v/>
      </c>
      <c r="E368" s="190" t="str">
        <f t="shared" si="33"/>
        <v/>
      </c>
      <c r="F368" s="196" t="str">
        <f t="shared" si="30"/>
        <v/>
      </c>
      <c r="G368" s="190" t="str">
        <f t="shared" si="34"/>
        <v/>
      </c>
      <c r="H368" s="503" t="str">
        <f t="shared" si="35"/>
        <v/>
      </c>
      <c r="I368" s="49"/>
    </row>
    <row r="369" spans="2:9" ht="20.100000000000001" customHeight="1" x14ac:dyDescent="0.3">
      <c r="B369" s="198">
        <v>361</v>
      </c>
      <c r="C369" s="501" t="str">
        <f t="shared" si="31"/>
        <v/>
      </c>
      <c r="D369" s="502" t="str">
        <f t="shared" si="32"/>
        <v/>
      </c>
      <c r="E369" s="190" t="str">
        <f t="shared" si="33"/>
        <v/>
      </c>
      <c r="F369" s="196" t="str">
        <f t="shared" si="30"/>
        <v/>
      </c>
      <c r="G369" s="190" t="str">
        <f t="shared" si="34"/>
        <v/>
      </c>
      <c r="H369" s="503" t="str">
        <f t="shared" si="35"/>
        <v/>
      </c>
      <c r="I369" s="49"/>
    </row>
    <row r="370" spans="2:9" ht="20.100000000000001" customHeight="1" x14ac:dyDescent="0.3">
      <c r="B370" s="198">
        <v>362</v>
      </c>
      <c r="C370" s="501" t="str">
        <f t="shared" si="31"/>
        <v/>
      </c>
      <c r="D370" s="502" t="str">
        <f t="shared" si="32"/>
        <v/>
      </c>
      <c r="E370" s="190" t="str">
        <f t="shared" si="33"/>
        <v/>
      </c>
      <c r="F370" s="196" t="str">
        <f t="shared" si="30"/>
        <v/>
      </c>
      <c r="G370" s="190" t="str">
        <f t="shared" si="34"/>
        <v/>
      </c>
      <c r="H370" s="503" t="str">
        <f t="shared" si="35"/>
        <v/>
      </c>
      <c r="I370" s="49"/>
    </row>
    <row r="371" spans="2:9" ht="20.100000000000001" customHeight="1" x14ac:dyDescent="0.3">
      <c r="B371" s="198">
        <v>363</v>
      </c>
      <c r="C371" s="501" t="str">
        <f t="shared" si="31"/>
        <v/>
      </c>
      <c r="D371" s="502" t="str">
        <f t="shared" si="32"/>
        <v/>
      </c>
      <c r="E371" s="190" t="str">
        <f t="shared" si="33"/>
        <v/>
      </c>
      <c r="F371" s="196" t="str">
        <f t="shared" si="30"/>
        <v/>
      </c>
      <c r="G371" s="190" t="str">
        <f t="shared" si="34"/>
        <v/>
      </c>
      <c r="H371" s="503" t="str">
        <f t="shared" si="35"/>
        <v/>
      </c>
      <c r="I371" s="49"/>
    </row>
    <row r="372" spans="2:9" ht="20.100000000000001" customHeight="1" x14ac:dyDescent="0.3">
      <c r="B372" s="198">
        <v>364</v>
      </c>
      <c r="C372" s="501" t="str">
        <f t="shared" si="31"/>
        <v/>
      </c>
      <c r="D372" s="502" t="str">
        <f t="shared" si="32"/>
        <v/>
      </c>
      <c r="E372" s="190" t="str">
        <f t="shared" si="33"/>
        <v/>
      </c>
      <c r="F372" s="196" t="str">
        <f t="shared" si="30"/>
        <v/>
      </c>
      <c r="G372" s="190" t="str">
        <f t="shared" si="34"/>
        <v/>
      </c>
      <c r="H372" s="503" t="str">
        <f t="shared" si="35"/>
        <v/>
      </c>
      <c r="I372" s="49"/>
    </row>
    <row r="373" spans="2:9" ht="20.100000000000001" customHeight="1" x14ac:dyDescent="0.3">
      <c r="B373" s="198">
        <v>365</v>
      </c>
      <c r="C373" s="501" t="str">
        <f t="shared" si="31"/>
        <v/>
      </c>
      <c r="D373" s="502" t="str">
        <f t="shared" si="32"/>
        <v/>
      </c>
      <c r="E373" s="190" t="str">
        <f t="shared" si="33"/>
        <v/>
      </c>
      <c r="F373" s="196" t="str">
        <f t="shared" si="30"/>
        <v/>
      </c>
      <c r="G373" s="190" t="str">
        <f t="shared" si="34"/>
        <v/>
      </c>
      <c r="H373" s="503" t="str">
        <f t="shared" si="35"/>
        <v/>
      </c>
      <c r="I373" s="49"/>
    </row>
    <row r="374" spans="2:9" ht="20.100000000000001" customHeight="1" x14ac:dyDescent="0.3">
      <c r="B374" s="198">
        <v>366</v>
      </c>
      <c r="C374" s="501" t="str">
        <f t="shared" si="31"/>
        <v/>
      </c>
      <c r="D374" s="502" t="str">
        <f t="shared" si="32"/>
        <v/>
      </c>
      <c r="E374" s="190" t="str">
        <f t="shared" si="33"/>
        <v/>
      </c>
      <c r="F374" s="196" t="str">
        <f t="shared" si="30"/>
        <v/>
      </c>
      <c r="G374" s="190" t="str">
        <f t="shared" si="34"/>
        <v/>
      </c>
      <c r="H374" s="503" t="str">
        <f t="shared" si="35"/>
        <v/>
      </c>
      <c r="I374" s="49"/>
    </row>
    <row r="375" spans="2:9" ht="20.100000000000001" customHeight="1" x14ac:dyDescent="0.3">
      <c r="B375" s="198">
        <v>367</v>
      </c>
      <c r="C375" s="501" t="str">
        <f t="shared" si="31"/>
        <v/>
      </c>
      <c r="D375" s="502" t="str">
        <f t="shared" si="32"/>
        <v/>
      </c>
      <c r="E375" s="190" t="str">
        <f t="shared" si="33"/>
        <v/>
      </c>
      <c r="F375" s="196" t="str">
        <f t="shared" si="30"/>
        <v/>
      </c>
      <c r="G375" s="190" t="str">
        <f t="shared" si="34"/>
        <v/>
      </c>
      <c r="H375" s="503" t="str">
        <f t="shared" si="35"/>
        <v/>
      </c>
      <c r="I375" s="49"/>
    </row>
    <row r="376" spans="2:9" ht="20.100000000000001" customHeight="1" x14ac:dyDescent="0.3">
      <c r="B376" s="198">
        <v>368</v>
      </c>
      <c r="C376" s="501" t="str">
        <f t="shared" si="31"/>
        <v/>
      </c>
      <c r="D376" s="502" t="str">
        <f t="shared" si="32"/>
        <v/>
      </c>
      <c r="E376" s="190" t="str">
        <f t="shared" si="33"/>
        <v/>
      </c>
      <c r="F376" s="196" t="str">
        <f t="shared" si="30"/>
        <v/>
      </c>
      <c r="G376" s="190" t="str">
        <f t="shared" si="34"/>
        <v/>
      </c>
      <c r="H376" s="503" t="str">
        <f t="shared" si="35"/>
        <v/>
      </c>
      <c r="I376" s="49"/>
    </row>
    <row r="377" spans="2:9" ht="20.100000000000001" customHeight="1" x14ac:dyDescent="0.3">
      <c r="B377" s="198">
        <v>369</v>
      </c>
      <c r="C377" s="501" t="str">
        <f t="shared" si="31"/>
        <v/>
      </c>
      <c r="D377" s="502" t="str">
        <f t="shared" si="32"/>
        <v/>
      </c>
      <c r="E377" s="190" t="str">
        <f t="shared" si="33"/>
        <v/>
      </c>
      <c r="F377" s="196" t="str">
        <f t="shared" si="30"/>
        <v/>
      </c>
      <c r="G377" s="190" t="str">
        <f t="shared" si="34"/>
        <v/>
      </c>
      <c r="H377" s="503" t="str">
        <f t="shared" si="35"/>
        <v/>
      </c>
      <c r="I377" s="49"/>
    </row>
    <row r="378" spans="2:9" ht="20.100000000000001" customHeight="1" x14ac:dyDescent="0.3">
      <c r="B378" s="198">
        <v>370</v>
      </c>
      <c r="C378" s="501" t="str">
        <f t="shared" si="31"/>
        <v/>
      </c>
      <c r="D378" s="502" t="str">
        <f t="shared" si="32"/>
        <v/>
      </c>
      <c r="E378" s="190" t="str">
        <f t="shared" si="33"/>
        <v/>
      </c>
      <c r="F378" s="196" t="str">
        <f t="shared" si="30"/>
        <v/>
      </c>
      <c r="G378" s="190" t="str">
        <f t="shared" si="34"/>
        <v/>
      </c>
      <c r="H378" s="503" t="str">
        <f t="shared" si="35"/>
        <v/>
      </c>
      <c r="I378" s="49"/>
    </row>
    <row r="379" spans="2:9" ht="20.100000000000001" customHeight="1" x14ac:dyDescent="0.3">
      <c r="B379" s="198">
        <v>371</v>
      </c>
      <c r="C379" s="501" t="str">
        <f t="shared" si="31"/>
        <v/>
      </c>
      <c r="D379" s="502" t="str">
        <f t="shared" si="32"/>
        <v/>
      </c>
      <c r="E379" s="190" t="str">
        <f t="shared" si="33"/>
        <v/>
      </c>
      <c r="F379" s="196" t="str">
        <f t="shared" si="30"/>
        <v/>
      </c>
      <c r="G379" s="190" t="str">
        <f t="shared" si="34"/>
        <v/>
      </c>
      <c r="H379" s="503" t="str">
        <f t="shared" si="35"/>
        <v/>
      </c>
      <c r="I379" s="49"/>
    </row>
    <row r="380" spans="2:9" ht="20.100000000000001" customHeight="1" x14ac:dyDescent="0.3">
      <c r="B380" s="198">
        <v>372</v>
      </c>
      <c r="C380" s="501" t="str">
        <f t="shared" si="31"/>
        <v/>
      </c>
      <c r="D380" s="502" t="str">
        <f t="shared" si="32"/>
        <v/>
      </c>
      <c r="E380" s="190" t="str">
        <f t="shared" si="33"/>
        <v/>
      </c>
      <c r="F380" s="196" t="str">
        <f t="shared" si="30"/>
        <v/>
      </c>
      <c r="G380" s="190" t="str">
        <f t="shared" si="34"/>
        <v/>
      </c>
      <c r="H380" s="503" t="str">
        <f t="shared" si="35"/>
        <v/>
      </c>
      <c r="I380" s="49"/>
    </row>
    <row r="381" spans="2:9" ht="20.100000000000001" customHeight="1" x14ac:dyDescent="0.3">
      <c r="B381" s="198">
        <v>373</v>
      </c>
      <c r="C381" s="501" t="str">
        <f t="shared" si="31"/>
        <v/>
      </c>
      <c r="D381" s="502" t="str">
        <f t="shared" si="32"/>
        <v/>
      </c>
      <c r="E381" s="190" t="str">
        <f t="shared" si="33"/>
        <v/>
      </c>
      <c r="F381" s="196" t="str">
        <f t="shared" si="30"/>
        <v/>
      </c>
      <c r="G381" s="190" t="str">
        <f t="shared" si="34"/>
        <v/>
      </c>
      <c r="H381" s="503" t="str">
        <f t="shared" si="35"/>
        <v/>
      </c>
      <c r="I381" s="49"/>
    </row>
    <row r="382" spans="2:9" ht="20.100000000000001" customHeight="1" x14ac:dyDescent="0.3">
      <c r="B382" s="198">
        <v>374</v>
      </c>
      <c r="C382" s="501" t="str">
        <f t="shared" si="31"/>
        <v/>
      </c>
      <c r="D382" s="502" t="str">
        <f t="shared" si="32"/>
        <v/>
      </c>
      <c r="E382" s="190" t="str">
        <f t="shared" si="33"/>
        <v/>
      </c>
      <c r="F382" s="196" t="str">
        <f t="shared" si="30"/>
        <v/>
      </c>
      <c r="G382" s="190" t="str">
        <f t="shared" si="34"/>
        <v/>
      </c>
      <c r="H382" s="503" t="str">
        <f t="shared" si="35"/>
        <v/>
      </c>
      <c r="I382" s="49"/>
    </row>
    <row r="383" spans="2:9" ht="20.100000000000001" customHeight="1" x14ac:dyDescent="0.3">
      <c r="B383" s="198">
        <v>375</v>
      </c>
      <c r="C383" s="501" t="str">
        <f t="shared" si="31"/>
        <v/>
      </c>
      <c r="D383" s="502" t="str">
        <f t="shared" si="32"/>
        <v/>
      </c>
      <c r="E383" s="190" t="str">
        <f t="shared" si="33"/>
        <v/>
      </c>
      <c r="F383" s="196" t="str">
        <f t="shared" si="30"/>
        <v/>
      </c>
      <c r="G383" s="190" t="str">
        <f t="shared" si="34"/>
        <v/>
      </c>
      <c r="H383" s="503" t="str">
        <f t="shared" si="35"/>
        <v/>
      </c>
      <c r="I383" s="49"/>
    </row>
    <row r="384" spans="2:9" ht="20.100000000000001" customHeight="1" x14ac:dyDescent="0.3">
      <c r="B384" s="198">
        <v>376</v>
      </c>
      <c r="C384" s="501" t="str">
        <f t="shared" si="31"/>
        <v/>
      </c>
      <c r="D384" s="502" t="str">
        <f t="shared" si="32"/>
        <v/>
      </c>
      <c r="E384" s="190" t="str">
        <f t="shared" si="33"/>
        <v/>
      </c>
      <c r="F384" s="196" t="str">
        <f t="shared" si="30"/>
        <v/>
      </c>
      <c r="G384" s="190" t="str">
        <f t="shared" si="34"/>
        <v/>
      </c>
      <c r="H384" s="503" t="str">
        <f t="shared" si="35"/>
        <v/>
      </c>
      <c r="I384" s="49"/>
    </row>
    <row r="385" spans="2:9" ht="20.100000000000001" customHeight="1" x14ac:dyDescent="0.3">
      <c r="B385" s="198">
        <v>377</v>
      </c>
      <c r="C385" s="501" t="str">
        <f t="shared" si="31"/>
        <v/>
      </c>
      <c r="D385" s="502" t="str">
        <f t="shared" si="32"/>
        <v/>
      </c>
      <c r="E385" s="190" t="str">
        <f t="shared" si="33"/>
        <v/>
      </c>
      <c r="F385" s="196" t="str">
        <f t="shared" si="30"/>
        <v/>
      </c>
      <c r="G385" s="190" t="str">
        <f t="shared" si="34"/>
        <v/>
      </c>
      <c r="H385" s="503" t="str">
        <f t="shared" si="35"/>
        <v/>
      </c>
      <c r="I385" s="49"/>
    </row>
    <row r="386" spans="2:9" ht="20.100000000000001" customHeight="1" x14ac:dyDescent="0.3">
      <c r="B386" s="198">
        <v>378</v>
      </c>
      <c r="C386" s="501" t="str">
        <f t="shared" si="31"/>
        <v/>
      </c>
      <c r="D386" s="502" t="str">
        <f t="shared" si="32"/>
        <v/>
      </c>
      <c r="E386" s="190" t="str">
        <f t="shared" si="33"/>
        <v/>
      </c>
      <c r="F386" s="196" t="str">
        <f t="shared" si="30"/>
        <v/>
      </c>
      <c r="G386" s="190" t="str">
        <f t="shared" si="34"/>
        <v/>
      </c>
      <c r="H386" s="503" t="str">
        <f t="shared" si="35"/>
        <v/>
      </c>
      <c r="I386" s="49"/>
    </row>
    <row r="387" spans="2:9" ht="20.100000000000001" customHeight="1" x14ac:dyDescent="0.3">
      <c r="B387" s="198">
        <v>379</v>
      </c>
      <c r="C387" s="501" t="str">
        <f t="shared" si="31"/>
        <v/>
      </c>
      <c r="D387" s="502" t="str">
        <f t="shared" si="32"/>
        <v/>
      </c>
      <c r="E387" s="190" t="str">
        <f t="shared" si="33"/>
        <v/>
      </c>
      <c r="F387" s="196" t="str">
        <f t="shared" si="30"/>
        <v/>
      </c>
      <c r="G387" s="190" t="str">
        <f t="shared" si="34"/>
        <v/>
      </c>
      <c r="H387" s="503" t="str">
        <f t="shared" si="35"/>
        <v/>
      </c>
      <c r="I387" s="49"/>
    </row>
    <row r="388" spans="2:9" ht="20.100000000000001" customHeight="1" x14ac:dyDescent="0.3">
      <c r="B388" s="198">
        <v>380</v>
      </c>
      <c r="C388" s="501" t="str">
        <f t="shared" si="31"/>
        <v/>
      </c>
      <c r="D388" s="502" t="str">
        <f t="shared" si="32"/>
        <v/>
      </c>
      <c r="E388" s="190" t="str">
        <f t="shared" si="33"/>
        <v/>
      </c>
      <c r="F388" s="196" t="str">
        <f t="shared" si="30"/>
        <v/>
      </c>
      <c r="G388" s="190" t="str">
        <f t="shared" si="34"/>
        <v/>
      </c>
      <c r="H388" s="503" t="str">
        <f t="shared" si="35"/>
        <v/>
      </c>
      <c r="I388" s="49"/>
    </row>
    <row r="389" spans="2:9" ht="20.100000000000001" customHeight="1" x14ac:dyDescent="0.3">
      <c r="B389" s="198">
        <v>381</v>
      </c>
      <c r="C389" s="501" t="str">
        <f t="shared" si="31"/>
        <v/>
      </c>
      <c r="D389" s="502" t="str">
        <f t="shared" si="32"/>
        <v/>
      </c>
      <c r="E389" s="190" t="str">
        <f t="shared" si="33"/>
        <v/>
      </c>
      <c r="F389" s="196" t="str">
        <f t="shared" si="30"/>
        <v/>
      </c>
      <c r="G389" s="190" t="str">
        <f t="shared" si="34"/>
        <v/>
      </c>
      <c r="H389" s="503" t="str">
        <f t="shared" si="35"/>
        <v/>
      </c>
      <c r="I389" s="49"/>
    </row>
    <row r="390" spans="2:9" ht="20.100000000000001" customHeight="1" x14ac:dyDescent="0.3">
      <c r="B390" s="198">
        <v>382</v>
      </c>
      <c r="C390" s="501" t="str">
        <f t="shared" si="31"/>
        <v/>
      </c>
      <c r="D390" s="502" t="str">
        <f t="shared" si="32"/>
        <v/>
      </c>
      <c r="E390" s="190" t="str">
        <f t="shared" si="33"/>
        <v/>
      </c>
      <c r="F390" s="196" t="str">
        <f t="shared" si="30"/>
        <v/>
      </c>
      <c r="G390" s="190" t="str">
        <f t="shared" si="34"/>
        <v/>
      </c>
      <c r="H390" s="503" t="str">
        <f t="shared" si="35"/>
        <v/>
      </c>
      <c r="I390" s="49"/>
    </row>
    <row r="391" spans="2:9" ht="20.100000000000001" customHeight="1" x14ac:dyDescent="0.3">
      <c r="B391" s="198">
        <v>383</v>
      </c>
      <c r="C391" s="501" t="str">
        <f t="shared" si="31"/>
        <v/>
      </c>
      <c r="D391" s="502" t="str">
        <f t="shared" si="32"/>
        <v/>
      </c>
      <c r="E391" s="190" t="str">
        <f t="shared" si="33"/>
        <v/>
      </c>
      <c r="F391" s="196" t="str">
        <f t="shared" si="30"/>
        <v/>
      </c>
      <c r="G391" s="190" t="str">
        <f t="shared" si="34"/>
        <v/>
      </c>
      <c r="H391" s="503" t="str">
        <f t="shared" si="35"/>
        <v/>
      </c>
      <c r="I391" s="49"/>
    </row>
    <row r="392" spans="2:9" ht="20.100000000000001" customHeight="1" x14ac:dyDescent="0.3">
      <c r="B392" s="198">
        <v>384</v>
      </c>
      <c r="C392" s="501" t="str">
        <f t="shared" si="31"/>
        <v/>
      </c>
      <c r="D392" s="502" t="str">
        <f t="shared" si="32"/>
        <v/>
      </c>
      <c r="E392" s="190" t="str">
        <f t="shared" si="33"/>
        <v/>
      </c>
      <c r="F392" s="196" t="str">
        <f t="shared" si="30"/>
        <v/>
      </c>
      <c r="G392" s="190" t="str">
        <f t="shared" si="34"/>
        <v/>
      </c>
      <c r="H392" s="503" t="str">
        <f t="shared" si="35"/>
        <v/>
      </c>
      <c r="I392" s="49"/>
    </row>
    <row r="393" spans="2:9" ht="20.100000000000001" customHeight="1" x14ac:dyDescent="0.3">
      <c r="B393" s="198">
        <v>385</v>
      </c>
      <c r="C393" s="501" t="str">
        <f t="shared" si="31"/>
        <v/>
      </c>
      <c r="D393" s="502" t="str">
        <f t="shared" si="32"/>
        <v/>
      </c>
      <c r="E393" s="190" t="str">
        <f t="shared" si="33"/>
        <v/>
      </c>
      <c r="F393" s="196" t="str">
        <f t="shared" si="30"/>
        <v/>
      </c>
      <c r="G393" s="190" t="str">
        <f t="shared" si="34"/>
        <v/>
      </c>
      <c r="H393" s="503" t="str">
        <f t="shared" si="35"/>
        <v/>
      </c>
      <c r="I393" s="49"/>
    </row>
    <row r="394" spans="2:9" ht="20.100000000000001" customHeight="1" x14ac:dyDescent="0.3">
      <c r="B394" s="198">
        <v>386</v>
      </c>
      <c r="C394" s="501" t="str">
        <f t="shared" si="31"/>
        <v/>
      </c>
      <c r="D394" s="502" t="str">
        <f t="shared" si="32"/>
        <v/>
      </c>
      <c r="E394" s="190" t="str">
        <f t="shared" si="33"/>
        <v/>
      </c>
      <c r="F394" s="196" t="str">
        <f t="shared" ref="F394:F457" si="36">IF($H$4="","",IF($F$4="원리금균등상환",IFERROR(D394+E394,""),IF($F$4="원금균등상환",D394+E394,"")))</f>
        <v/>
      </c>
      <c r="G394" s="190" t="str">
        <f t="shared" si="34"/>
        <v/>
      </c>
      <c r="H394" s="503" t="str">
        <f t="shared" si="35"/>
        <v/>
      </c>
      <c r="I394" s="49"/>
    </row>
    <row r="395" spans="2:9" ht="20.100000000000001" customHeight="1" x14ac:dyDescent="0.3">
      <c r="B395" s="198">
        <v>387</v>
      </c>
      <c r="C395" s="501" t="str">
        <f t="shared" ref="C395:C458" si="37">IF($H$4="","",IF(B395&gt;($B$6),"",IF(B395&lt;=($B$6),DATE(YEAR($G$4),MONTH($G$4)+B394,DAY($G$4)),"")))</f>
        <v/>
      </c>
      <c r="D395" s="502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190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196" t="str">
        <f t="shared" si="36"/>
        <v/>
      </c>
      <c r="G395" s="190" t="str">
        <f t="shared" ref="G395:G458" si="40">IFERROR(IF(B395&gt;(($D$6+$B$6)*12),"",IF(B395=1,D395,D395+G394)),"")</f>
        <v/>
      </c>
      <c r="H395" s="503" t="str">
        <f t="shared" ref="H395:H458" si="41">IFERROR(IF($H$4="","",H394-D395),"")</f>
        <v/>
      </c>
      <c r="I395" s="49"/>
    </row>
    <row r="396" spans="2:9" ht="20.100000000000001" customHeight="1" x14ac:dyDescent="0.3">
      <c r="B396" s="198">
        <v>388</v>
      </c>
      <c r="C396" s="501" t="str">
        <f t="shared" si="37"/>
        <v/>
      </c>
      <c r="D396" s="502" t="str">
        <f t="shared" si="38"/>
        <v/>
      </c>
      <c r="E396" s="190" t="str">
        <f t="shared" si="39"/>
        <v/>
      </c>
      <c r="F396" s="196" t="str">
        <f t="shared" si="36"/>
        <v/>
      </c>
      <c r="G396" s="190" t="str">
        <f t="shared" si="40"/>
        <v/>
      </c>
      <c r="H396" s="503" t="str">
        <f t="shared" si="41"/>
        <v/>
      </c>
      <c r="I396" s="49"/>
    </row>
    <row r="397" spans="2:9" ht="20.100000000000001" customHeight="1" x14ac:dyDescent="0.3">
      <c r="B397" s="198">
        <v>389</v>
      </c>
      <c r="C397" s="501" t="str">
        <f t="shared" si="37"/>
        <v/>
      </c>
      <c r="D397" s="502" t="str">
        <f t="shared" si="38"/>
        <v/>
      </c>
      <c r="E397" s="190" t="str">
        <f t="shared" si="39"/>
        <v/>
      </c>
      <c r="F397" s="196" t="str">
        <f t="shared" si="36"/>
        <v/>
      </c>
      <c r="G397" s="190" t="str">
        <f t="shared" si="40"/>
        <v/>
      </c>
      <c r="H397" s="503" t="str">
        <f t="shared" si="41"/>
        <v/>
      </c>
      <c r="I397" s="49"/>
    </row>
    <row r="398" spans="2:9" ht="20.100000000000001" customHeight="1" x14ac:dyDescent="0.3">
      <c r="B398" s="198">
        <v>390</v>
      </c>
      <c r="C398" s="501" t="str">
        <f t="shared" si="37"/>
        <v/>
      </c>
      <c r="D398" s="502" t="str">
        <f t="shared" si="38"/>
        <v/>
      </c>
      <c r="E398" s="190" t="str">
        <f t="shared" si="39"/>
        <v/>
      </c>
      <c r="F398" s="196" t="str">
        <f t="shared" si="36"/>
        <v/>
      </c>
      <c r="G398" s="190" t="str">
        <f t="shared" si="40"/>
        <v/>
      </c>
      <c r="H398" s="503" t="str">
        <f t="shared" si="41"/>
        <v/>
      </c>
      <c r="I398" s="49"/>
    </row>
    <row r="399" spans="2:9" ht="20.100000000000001" customHeight="1" x14ac:dyDescent="0.3">
      <c r="B399" s="198">
        <v>391</v>
      </c>
      <c r="C399" s="501" t="str">
        <f t="shared" si="37"/>
        <v/>
      </c>
      <c r="D399" s="502" t="str">
        <f t="shared" si="38"/>
        <v/>
      </c>
      <c r="E399" s="190" t="str">
        <f t="shared" si="39"/>
        <v/>
      </c>
      <c r="F399" s="196" t="str">
        <f t="shared" si="36"/>
        <v/>
      </c>
      <c r="G399" s="190" t="str">
        <f t="shared" si="40"/>
        <v/>
      </c>
      <c r="H399" s="503" t="str">
        <f t="shared" si="41"/>
        <v/>
      </c>
      <c r="I399" s="49"/>
    </row>
    <row r="400" spans="2:9" ht="20.100000000000001" customHeight="1" x14ac:dyDescent="0.3">
      <c r="B400" s="198">
        <v>392</v>
      </c>
      <c r="C400" s="501" t="str">
        <f t="shared" si="37"/>
        <v/>
      </c>
      <c r="D400" s="502" t="str">
        <f t="shared" si="38"/>
        <v/>
      </c>
      <c r="E400" s="190" t="str">
        <f t="shared" si="39"/>
        <v/>
      </c>
      <c r="F400" s="196" t="str">
        <f t="shared" si="36"/>
        <v/>
      </c>
      <c r="G400" s="190" t="str">
        <f t="shared" si="40"/>
        <v/>
      </c>
      <c r="H400" s="503" t="str">
        <f t="shared" si="41"/>
        <v/>
      </c>
      <c r="I400" s="49"/>
    </row>
    <row r="401" spans="2:9" ht="20.100000000000001" customHeight="1" x14ac:dyDescent="0.3">
      <c r="B401" s="198">
        <v>393</v>
      </c>
      <c r="C401" s="501" t="str">
        <f t="shared" si="37"/>
        <v/>
      </c>
      <c r="D401" s="502" t="str">
        <f t="shared" si="38"/>
        <v/>
      </c>
      <c r="E401" s="190" t="str">
        <f t="shared" si="39"/>
        <v/>
      </c>
      <c r="F401" s="196" t="str">
        <f t="shared" si="36"/>
        <v/>
      </c>
      <c r="G401" s="190" t="str">
        <f t="shared" si="40"/>
        <v/>
      </c>
      <c r="H401" s="503" t="str">
        <f t="shared" si="41"/>
        <v/>
      </c>
      <c r="I401" s="49"/>
    </row>
    <row r="402" spans="2:9" ht="20.100000000000001" customHeight="1" x14ac:dyDescent="0.3">
      <c r="B402" s="198">
        <v>394</v>
      </c>
      <c r="C402" s="501" t="str">
        <f t="shared" si="37"/>
        <v/>
      </c>
      <c r="D402" s="502" t="str">
        <f t="shared" si="38"/>
        <v/>
      </c>
      <c r="E402" s="190" t="str">
        <f t="shared" si="39"/>
        <v/>
      </c>
      <c r="F402" s="196" t="str">
        <f t="shared" si="36"/>
        <v/>
      </c>
      <c r="G402" s="190" t="str">
        <f t="shared" si="40"/>
        <v/>
      </c>
      <c r="H402" s="503" t="str">
        <f t="shared" si="41"/>
        <v/>
      </c>
      <c r="I402" s="49"/>
    </row>
    <row r="403" spans="2:9" ht="20.100000000000001" customHeight="1" x14ac:dyDescent="0.3">
      <c r="B403" s="198">
        <v>395</v>
      </c>
      <c r="C403" s="501" t="str">
        <f t="shared" si="37"/>
        <v/>
      </c>
      <c r="D403" s="502" t="str">
        <f t="shared" si="38"/>
        <v/>
      </c>
      <c r="E403" s="190" t="str">
        <f t="shared" si="39"/>
        <v/>
      </c>
      <c r="F403" s="196" t="str">
        <f t="shared" si="36"/>
        <v/>
      </c>
      <c r="G403" s="190" t="str">
        <f t="shared" si="40"/>
        <v/>
      </c>
      <c r="H403" s="503" t="str">
        <f t="shared" si="41"/>
        <v/>
      </c>
      <c r="I403" s="49"/>
    </row>
    <row r="404" spans="2:9" ht="20.100000000000001" customHeight="1" x14ac:dyDescent="0.3">
      <c r="B404" s="198">
        <v>396</v>
      </c>
      <c r="C404" s="501" t="str">
        <f t="shared" si="37"/>
        <v/>
      </c>
      <c r="D404" s="502" t="str">
        <f t="shared" si="38"/>
        <v/>
      </c>
      <c r="E404" s="190" t="str">
        <f t="shared" si="39"/>
        <v/>
      </c>
      <c r="F404" s="196" t="str">
        <f t="shared" si="36"/>
        <v/>
      </c>
      <c r="G404" s="190" t="str">
        <f t="shared" si="40"/>
        <v/>
      </c>
      <c r="H404" s="503" t="str">
        <f t="shared" si="41"/>
        <v/>
      </c>
      <c r="I404" s="49"/>
    </row>
    <row r="405" spans="2:9" ht="20.100000000000001" customHeight="1" x14ac:dyDescent="0.3">
      <c r="B405" s="198">
        <v>397</v>
      </c>
      <c r="C405" s="501" t="str">
        <f t="shared" si="37"/>
        <v/>
      </c>
      <c r="D405" s="502" t="str">
        <f t="shared" si="38"/>
        <v/>
      </c>
      <c r="E405" s="190" t="str">
        <f t="shared" si="39"/>
        <v/>
      </c>
      <c r="F405" s="196" t="str">
        <f t="shared" si="36"/>
        <v/>
      </c>
      <c r="G405" s="190" t="str">
        <f t="shared" si="40"/>
        <v/>
      </c>
      <c r="H405" s="503" t="str">
        <f t="shared" si="41"/>
        <v/>
      </c>
      <c r="I405" s="49"/>
    </row>
    <row r="406" spans="2:9" ht="20.100000000000001" customHeight="1" x14ac:dyDescent="0.3">
      <c r="B406" s="198">
        <v>398</v>
      </c>
      <c r="C406" s="501" t="str">
        <f t="shared" si="37"/>
        <v/>
      </c>
      <c r="D406" s="502" t="str">
        <f t="shared" si="38"/>
        <v/>
      </c>
      <c r="E406" s="190" t="str">
        <f t="shared" si="39"/>
        <v/>
      </c>
      <c r="F406" s="196" t="str">
        <f t="shared" si="36"/>
        <v/>
      </c>
      <c r="G406" s="190" t="str">
        <f t="shared" si="40"/>
        <v/>
      </c>
      <c r="H406" s="503" t="str">
        <f t="shared" si="41"/>
        <v/>
      </c>
      <c r="I406" s="49"/>
    </row>
    <row r="407" spans="2:9" ht="20.100000000000001" customHeight="1" x14ac:dyDescent="0.3">
      <c r="B407" s="198">
        <v>399</v>
      </c>
      <c r="C407" s="501" t="str">
        <f t="shared" si="37"/>
        <v/>
      </c>
      <c r="D407" s="502" t="str">
        <f t="shared" si="38"/>
        <v/>
      </c>
      <c r="E407" s="190" t="str">
        <f t="shared" si="39"/>
        <v/>
      </c>
      <c r="F407" s="196" t="str">
        <f t="shared" si="36"/>
        <v/>
      </c>
      <c r="G407" s="190" t="str">
        <f t="shared" si="40"/>
        <v/>
      </c>
      <c r="H407" s="503" t="str">
        <f t="shared" si="41"/>
        <v/>
      </c>
      <c r="I407" s="49"/>
    </row>
    <row r="408" spans="2:9" ht="20.100000000000001" customHeight="1" x14ac:dyDescent="0.3">
      <c r="B408" s="198">
        <v>400</v>
      </c>
      <c r="C408" s="501" t="str">
        <f t="shared" si="37"/>
        <v/>
      </c>
      <c r="D408" s="502" t="str">
        <f t="shared" si="38"/>
        <v/>
      </c>
      <c r="E408" s="190" t="str">
        <f t="shared" si="39"/>
        <v/>
      </c>
      <c r="F408" s="196" t="str">
        <f t="shared" si="36"/>
        <v/>
      </c>
      <c r="G408" s="190" t="str">
        <f t="shared" si="40"/>
        <v/>
      </c>
      <c r="H408" s="503" t="str">
        <f t="shared" si="41"/>
        <v/>
      </c>
      <c r="I408" s="49"/>
    </row>
    <row r="409" spans="2:9" ht="20.100000000000001" customHeight="1" x14ac:dyDescent="0.3">
      <c r="B409" s="198">
        <v>401</v>
      </c>
      <c r="C409" s="501" t="str">
        <f t="shared" si="37"/>
        <v/>
      </c>
      <c r="D409" s="502" t="str">
        <f t="shared" si="38"/>
        <v/>
      </c>
      <c r="E409" s="190" t="str">
        <f t="shared" si="39"/>
        <v/>
      </c>
      <c r="F409" s="196" t="str">
        <f t="shared" si="36"/>
        <v/>
      </c>
      <c r="G409" s="190" t="str">
        <f t="shared" si="40"/>
        <v/>
      </c>
      <c r="H409" s="503" t="str">
        <f t="shared" si="41"/>
        <v/>
      </c>
      <c r="I409" s="49"/>
    </row>
    <row r="410" spans="2:9" ht="20.100000000000001" customHeight="1" x14ac:dyDescent="0.3">
      <c r="B410" s="198">
        <v>402</v>
      </c>
      <c r="C410" s="501" t="str">
        <f t="shared" si="37"/>
        <v/>
      </c>
      <c r="D410" s="502" t="str">
        <f t="shared" si="38"/>
        <v/>
      </c>
      <c r="E410" s="190" t="str">
        <f t="shared" si="39"/>
        <v/>
      </c>
      <c r="F410" s="196" t="str">
        <f t="shared" si="36"/>
        <v/>
      </c>
      <c r="G410" s="190" t="str">
        <f t="shared" si="40"/>
        <v/>
      </c>
      <c r="H410" s="503" t="str">
        <f t="shared" si="41"/>
        <v/>
      </c>
      <c r="I410" s="49"/>
    </row>
    <row r="411" spans="2:9" ht="20.100000000000001" customHeight="1" x14ac:dyDescent="0.3">
      <c r="B411" s="198">
        <v>403</v>
      </c>
      <c r="C411" s="501" t="str">
        <f t="shared" si="37"/>
        <v/>
      </c>
      <c r="D411" s="502" t="str">
        <f t="shared" si="38"/>
        <v/>
      </c>
      <c r="E411" s="190" t="str">
        <f t="shared" si="39"/>
        <v/>
      </c>
      <c r="F411" s="196" t="str">
        <f t="shared" si="36"/>
        <v/>
      </c>
      <c r="G411" s="190" t="str">
        <f t="shared" si="40"/>
        <v/>
      </c>
      <c r="H411" s="503" t="str">
        <f t="shared" si="41"/>
        <v/>
      </c>
      <c r="I411" s="49"/>
    </row>
    <row r="412" spans="2:9" ht="20.100000000000001" customHeight="1" x14ac:dyDescent="0.3">
      <c r="B412" s="198">
        <v>404</v>
      </c>
      <c r="C412" s="501" t="str">
        <f t="shared" si="37"/>
        <v/>
      </c>
      <c r="D412" s="502" t="str">
        <f t="shared" si="38"/>
        <v/>
      </c>
      <c r="E412" s="190" t="str">
        <f t="shared" si="39"/>
        <v/>
      </c>
      <c r="F412" s="196" t="str">
        <f t="shared" si="36"/>
        <v/>
      </c>
      <c r="G412" s="190" t="str">
        <f t="shared" si="40"/>
        <v/>
      </c>
      <c r="H412" s="503" t="str">
        <f t="shared" si="41"/>
        <v/>
      </c>
      <c r="I412" s="49"/>
    </row>
    <row r="413" spans="2:9" ht="20.100000000000001" customHeight="1" x14ac:dyDescent="0.3">
      <c r="B413" s="198">
        <v>405</v>
      </c>
      <c r="C413" s="501" t="str">
        <f t="shared" si="37"/>
        <v/>
      </c>
      <c r="D413" s="502" t="str">
        <f t="shared" si="38"/>
        <v/>
      </c>
      <c r="E413" s="190" t="str">
        <f t="shared" si="39"/>
        <v/>
      </c>
      <c r="F413" s="196" t="str">
        <f t="shared" si="36"/>
        <v/>
      </c>
      <c r="G413" s="190" t="str">
        <f t="shared" si="40"/>
        <v/>
      </c>
      <c r="H413" s="503" t="str">
        <f t="shared" si="41"/>
        <v/>
      </c>
      <c r="I413" s="49"/>
    </row>
    <row r="414" spans="2:9" ht="20.100000000000001" customHeight="1" x14ac:dyDescent="0.3">
      <c r="B414" s="198">
        <v>406</v>
      </c>
      <c r="C414" s="501" t="str">
        <f t="shared" si="37"/>
        <v/>
      </c>
      <c r="D414" s="502" t="str">
        <f t="shared" si="38"/>
        <v/>
      </c>
      <c r="E414" s="190" t="str">
        <f t="shared" si="39"/>
        <v/>
      </c>
      <c r="F414" s="196" t="str">
        <f t="shared" si="36"/>
        <v/>
      </c>
      <c r="G414" s="190" t="str">
        <f t="shared" si="40"/>
        <v/>
      </c>
      <c r="H414" s="503" t="str">
        <f t="shared" si="41"/>
        <v/>
      </c>
      <c r="I414" s="49"/>
    </row>
    <row r="415" spans="2:9" ht="20.100000000000001" customHeight="1" x14ac:dyDescent="0.3">
      <c r="B415" s="198">
        <v>407</v>
      </c>
      <c r="C415" s="501" t="str">
        <f t="shared" si="37"/>
        <v/>
      </c>
      <c r="D415" s="502" t="str">
        <f t="shared" si="38"/>
        <v/>
      </c>
      <c r="E415" s="190" t="str">
        <f t="shared" si="39"/>
        <v/>
      </c>
      <c r="F415" s="196" t="str">
        <f t="shared" si="36"/>
        <v/>
      </c>
      <c r="G415" s="190" t="str">
        <f t="shared" si="40"/>
        <v/>
      </c>
      <c r="H415" s="503" t="str">
        <f t="shared" si="41"/>
        <v/>
      </c>
      <c r="I415" s="49"/>
    </row>
    <row r="416" spans="2:9" ht="20.100000000000001" customHeight="1" x14ac:dyDescent="0.3">
      <c r="B416" s="198">
        <v>408</v>
      </c>
      <c r="C416" s="501" t="str">
        <f t="shared" si="37"/>
        <v/>
      </c>
      <c r="D416" s="502" t="str">
        <f t="shared" si="38"/>
        <v/>
      </c>
      <c r="E416" s="190" t="str">
        <f t="shared" si="39"/>
        <v/>
      </c>
      <c r="F416" s="196" t="str">
        <f t="shared" si="36"/>
        <v/>
      </c>
      <c r="G416" s="190" t="str">
        <f t="shared" si="40"/>
        <v/>
      </c>
      <c r="H416" s="503" t="str">
        <f t="shared" si="41"/>
        <v/>
      </c>
      <c r="I416" s="49"/>
    </row>
    <row r="417" spans="2:9" ht="20.100000000000001" customHeight="1" x14ac:dyDescent="0.3">
      <c r="B417" s="198">
        <v>409</v>
      </c>
      <c r="C417" s="501" t="str">
        <f t="shared" si="37"/>
        <v/>
      </c>
      <c r="D417" s="502" t="str">
        <f t="shared" si="38"/>
        <v/>
      </c>
      <c r="E417" s="190" t="str">
        <f t="shared" si="39"/>
        <v/>
      </c>
      <c r="F417" s="196" t="str">
        <f t="shared" si="36"/>
        <v/>
      </c>
      <c r="G417" s="190" t="str">
        <f t="shared" si="40"/>
        <v/>
      </c>
      <c r="H417" s="503" t="str">
        <f t="shared" si="41"/>
        <v/>
      </c>
      <c r="I417" s="49"/>
    </row>
    <row r="418" spans="2:9" ht="20.100000000000001" customHeight="1" x14ac:dyDescent="0.3">
      <c r="B418" s="198">
        <v>410</v>
      </c>
      <c r="C418" s="501" t="str">
        <f t="shared" si="37"/>
        <v/>
      </c>
      <c r="D418" s="502" t="str">
        <f t="shared" si="38"/>
        <v/>
      </c>
      <c r="E418" s="190" t="str">
        <f t="shared" si="39"/>
        <v/>
      </c>
      <c r="F418" s="196" t="str">
        <f t="shared" si="36"/>
        <v/>
      </c>
      <c r="G418" s="190" t="str">
        <f t="shared" si="40"/>
        <v/>
      </c>
      <c r="H418" s="503" t="str">
        <f t="shared" si="41"/>
        <v/>
      </c>
      <c r="I418" s="49"/>
    </row>
    <row r="419" spans="2:9" ht="20.100000000000001" customHeight="1" x14ac:dyDescent="0.3">
      <c r="B419" s="198">
        <v>411</v>
      </c>
      <c r="C419" s="501" t="str">
        <f t="shared" si="37"/>
        <v/>
      </c>
      <c r="D419" s="502" t="str">
        <f t="shared" si="38"/>
        <v/>
      </c>
      <c r="E419" s="190" t="str">
        <f t="shared" si="39"/>
        <v/>
      </c>
      <c r="F419" s="196" t="str">
        <f t="shared" si="36"/>
        <v/>
      </c>
      <c r="G419" s="190" t="str">
        <f t="shared" si="40"/>
        <v/>
      </c>
      <c r="H419" s="503" t="str">
        <f t="shared" si="41"/>
        <v/>
      </c>
      <c r="I419" s="49"/>
    </row>
    <row r="420" spans="2:9" ht="20.100000000000001" customHeight="1" x14ac:dyDescent="0.3">
      <c r="B420" s="198">
        <v>412</v>
      </c>
      <c r="C420" s="501" t="str">
        <f t="shared" si="37"/>
        <v/>
      </c>
      <c r="D420" s="502" t="str">
        <f t="shared" si="38"/>
        <v/>
      </c>
      <c r="E420" s="190" t="str">
        <f t="shared" si="39"/>
        <v/>
      </c>
      <c r="F420" s="196" t="str">
        <f t="shared" si="36"/>
        <v/>
      </c>
      <c r="G420" s="190" t="str">
        <f t="shared" si="40"/>
        <v/>
      </c>
      <c r="H420" s="503" t="str">
        <f t="shared" si="41"/>
        <v/>
      </c>
      <c r="I420" s="49"/>
    </row>
    <row r="421" spans="2:9" ht="20.100000000000001" customHeight="1" x14ac:dyDescent="0.3">
      <c r="B421" s="198">
        <v>413</v>
      </c>
      <c r="C421" s="501" t="str">
        <f t="shared" si="37"/>
        <v/>
      </c>
      <c r="D421" s="502" t="str">
        <f t="shared" si="38"/>
        <v/>
      </c>
      <c r="E421" s="190" t="str">
        <f t="shared" si="39"/>
        <v/>
      </c>
      <c r="F421" s="196" t="str">
        <f t="shared" si="36"/>
        <v/>
      </c>
      <c r="G421" s="190" t="str">
        <f t="shared" si="40"/>
        <v/>
      </c>
      <c r="H421" s="503" t="str">
        <f t="shared" si="41"/>
        <v/>
      </c>
      <c r="I421" s="49"/>
    </row>
    <row r="422" spans="2:9" ht="20.100000000000001" customHeight="1" x14ac:dyDescent="0.3">
      <c r="B422" s="198">
        <v>414</v>
      </c>
      <c r="C422" s="501" t="str">
        <f t="shared" si="37"/>
        <v/>
      </c>
      <c r="D422" s="502" t="str">
        <f t="shared" si="38"/>
        <v/>
      </c>
      <c r="E422" s="190" t="str">
        <f t="shared" si="39"/>
        <v/>
      </c>
      <c r="F422" s="196" t="str">
        <f t="shared" si="36"/>
        <v/>
      </c>
      <c r="G422" s="190" t="str">
        <f t="shared" si="40"/>
        <v/>
      </c>
      <c r="H422" s="503" t="str">
        <f t="shared" si="41"/>
        <v/>
      </c>
      <c r="I422" s="49"/>
    </row>
    <row r="423" spans="2:9" ht="20.100000000000001" customHeight="1" x14ac:dyDescent="0.3">
      <c r="B423" s="198">
        <v>415</v>
      </c>
      <c r="C423" s="501" t="str">
        <f t="shared" si="37"/>
        <v/>
      </c>
      <c r="D423" s="502" t="str">
        <f t="shared" si="38"/>
        <v/>
      </c>
      <c r="E423" s="190" t="str">
        <f t="shared" si="39"/>
        <v/>
      </c>
      <c r="F423" s="196" t="str">
        <f t="shared" si="36"/>
        <v/>
      </c>
      <c r="G423" s="190" t="str">
        <f t="shared" si="40"/>
        <v/>
      </c>
      <c r="H423" s="503" t="str">
        <f t="shared" si="41"/>
        <v/>
      </c>
      <c r="I423" s="49"/>
    </row>
    <row r="424" spans="2:9" ht="20.100000000000001" customHeight="1" x14ac:dyDescent="0.3">
      <c r="B424" s="198">
        <v>416</v>
      </c>
      <c r="C424" s="501" t="str">
        <f t="shared" si="37"/>
        <v/>
      </c>
      <c r="D424" s="502" t="str">
        <f t="shared" si="38"/>
        <v/>
      </c>
      <c r="E424" s="190" t="str">
        <f t="shared" si="39"/>
        <v/>
      </c>
      <c r="F424" s="196" t="str">
        <f t="shared" si="36"/>
        <v/>
      </c>
      <c r="G424" s="190" t="str">
        <f t="shared" si="40"/>
        <v/>
      </c>
      <c r="H424" s="503" t="str">
        <f t="shared" si="41"/>
        <v/>
      </c>
      <c r="I424" s="49"/>
    </row>
    <row r="425" spans="2:9" ht="20.100000000000001" customHeight="1" x14ac:dyDescent="0.3">
      <c r="B425" s="198">
        <v>417</v>
      </c>
      <c r="C425" s="501" t="str">
        <f t="shared" si="37"/>
        <v/>
      </c>
      <c r="D425" s="502" t="str">
        <f t="shared" si="38"/>
        <v/>
      </c>
      <c r="E425" s="190" t="str">
        <f t="shared" si="39"/>
        <v/>
      </c>
      <c r="F425" s="196" t="str">
        <f t="shared" si="36"/>
        <v/>
      </c>
      <c r="G425" s="190" t="str">
        <f t="shared" si="40"/>
        <v/>
      </c>
      <c r="H425" s="503" t="str">
        <f t="shared" si="41"/>
        <v/>
      </c>
      <c r="I425" s="49"/>
    </row>
    <row r="426" spans="2:9" ht="20.100000000000001" customHeight="1" x14ac:dyDescent="0.3">
      <c r="B426" s="198">
        <v>418</v>
      </c>
      <c r="C426" s="501" t="str">
        <f t="shared" si="37"/>
        <v/>
      </c>
      <c r="D426" s="502" t="str">
        <f t="shared" si="38"/>
        <v/>
      </c>
      <c r="E426" s="190" t="str">
        <f t="shared" si="39"/>
        <v/>
      </c>
      <c r="F426" s="196" t="str">
        <f t="shared" si="36"/>
        <v/>
      </c>
      <c r="G426" s="190" t="str">
        <f t="shared" si="40"/>
        <v/>
      </c>
      <c r="H426" s="503" t="str">
        <f t="shared" si="41"/>
        <v/>
      </c>
      <c r="I426" s="49"/>
    </row>
    <row r="427" spans="2:9" ht="20.100000000000001" customHeight="1" x14ac:dyDescent="0.3">
      <c r="B427" s="198">
        <v>419</v>
      </c>
      <c r="C427" s="501" t="str">
        <f t="shared" si="37"/>
        <v/>
      </c>
      <c r="D427" s="502" t="str">
        <f t="shared" si="38"/>
        <v/>
      </c>
      <c r="E427" s="190" t="str">
        <f t="shared" si="39"/>
        <v/>
      </c>
      <c r="F427" s="196" t="str">
        <f t="shared" si="36"/>
        <v/>
      </c>
      <c r="G427" s="190" t="str">
        <f t="shared" si="40"/>
        <v/>
      </c>
      <c r="H427" s="503" t="str">
        <f t="shared" si="41"/>
        <v/>
      </c>
      <c r="I427" s="49"/>
    </row>
    <row r="428" spans="2:9" ht="20.100000000000001" customHeight="1" x14ac:dyDescent="0.3">
      <c r="B428" s="198">
        <v>420</v>
      </c>
      <c r="C428" s="501" t="str">
        <f t="shared" si="37"/>
        <v/>
      </c>
      <c r="D428" s="502" t="str">
        <f t="shared" si="38"/>
        <v/>
      </c>
      <c r="E428" s="190" t="str">
        <f t="shared" si="39"/>
        <v/>
      </c>
      <c r="F428" s="196" t="str">
        <f t="shared" si="36"/>
        <v/>
      </c>
      <c r="G428" s="190" t="str">
        <f t="shared" si="40"/>
        <v/>
      </c>
      <c r="H428" s="503" t="str">
        <f t="shared" si="41"/>
        <v/>
      </c>
      <c r="I428" s="49"/>
    </row>
    <row r="429" spans="2:9" ht="20.100000000000001" customHeight="1" x14ac:dyDescent="0.3">
      <c r="B429" s="198">
        <v>421</v>
      </c>
      <c r="C429" s="501" t="str">
        <f t="shared" si="37"/>
        <v/>
      </c>
      <c r="D429" s="502" t="str">
        <f t="shared" si="38"/>
        <v/>
      </c>
      <c r="E429" s="190" t="str">
        <f t="shared" si="39"/>
        <v/>
      </c>
      <c r="F429" s="196" t="str">
        <f t="shared" si="36"/>
        <v/>
      </c>
      <c r="G429" s="190" t="str">
        <f t="shared" si="40"/>
        <v/>
      </c>
      <c r="H429" s="503" t="str">
        <f t="shared" si="41"/>
        <v/>
      </c>
      <c r="I429" s="49"/>
    </row>
    <row r="430" spans="2:9" ht="20.100000000000001" customHeight="1" x14ac:dyDescent="0.3">
      <c r="B430" s="198">
        <v>422</v>
      </c>
      <c r="C430" s="501" t="str">
        <f t="shared" si="37"/>
        <v/>
      </c>
      <c r="D430" s="502" t="str">
        <f t="shared" si="38"/>
        <v/>
      </c>
      <c r="E430" s="190" t="str">
        <f t="shared" si="39"/>
        <v/>
      </c>
      <c r="F430" s="196" t="str">
        <f t="shared" si="36"/>
        <v/>
      </c>
      <c r="G430" s="190" t="str">
        <f t="shared" si="40"/>
        <v/>
      </c>
      <c r="H430" s="503" t="str">
        <f t="shared" si="41"/>
        <v/>
      </c>
      <c r="I430" s="49"/>
    </row>
    <row r="431" spans="2:9" ht="20.100000000000001" customHeight="1" x14ac:dyDescent="0.3">
      <c r="B431" s="198">
        <v>423</v>
      </c>
      <c r="C431" s="501" t="str">
        <f t="shared" si="37"/>
        <v/>
      </c>
      <c r="D431" s="502" t="str">
        <f t="shared" si="38"/>
        <v/>
      </c>
      <c r="E431" s="190" t="str">
        <f t="shared" si="39"/>
        <v/>
      </c>
      <c r="F431" s="196" t="str">
        <f t="shared" si="36"/>
        <v/>
      </c>
      <c r="G431" s="190" t="str">
        <f t="shared" si="40"/>
        <v/>
      </c>
      <c r="H431" s="503" t="str">
        <f t="shared" si="41"/>
        <v/>
      </c>
      <c r="I431" s="49"/>
    </row>
    <row r="432" spans="2:9" ht="20.100000000000001" customHeight="1" x14ac:dyDescent="0.3">
      <c r="B432" s="198">
        <v>424</v>
      </c>
      <c r="C432" s="501" t="str">
        <f t="shared" si="37"/>
        <v/>
      </c>
      <c r="D432" s="502" t="str">
        <f t="shared" si="38"/>
        <v/>
      </c>
      <c r="E432" s="190" t="str">
        <f t="shared" si="39"/>
        <v/>
      </c>
      <c r="F432" s="196" t="str">
        <f t="shared" si="36"/>
        <v/>
      </c>
      <c r="G432" s="190" t="str">
        <f t="shared" si="40"/>
        <v/>
      </c>
      <c r="H432" s="503" t="str">
        <f t="shared" si="41"/>
        <v/>
      </c>
      <c r="I432" s="49"/>
    </row>
    <row r="433" spans="2:9" ht="20.100000000000001" customHeight="1" x14ac:dyDescent="0.3">
      <c r="B433" s="198">
        <v>425</v>
      </c>
      <c r="C433" s="501" t="str">
        <f t="shared" si="37"/>
        <v/>
      </c>
      <c r="D433" s="502" t="str">
        <f t="shared" si="38"/>
        <v/>
      </c>
      <c r="E433" s="190" t="str">
        <f t="shared" si="39"/>
        <v/>
      </c>
      <c r="F433" s="196" t="str">
        <f t="shared" si="36"/>
        <v/>
      </c>
      <c r="G433" s="190" t="str">
        <f t="shared" si="40"/>
        <v/>
      </c>
      <c r="H433" s="503" t="str">
        <f t="shared" si="41"/>
        <v/>
      </c>
      <c r="I433" s="49"/>
    </row>
    <row r="434" spans="2:9" ht="20.100000000000001" customHeight="1" x14ac:dyDescent="0.3">
      <c r="B434" s="198">
        <v>426</v>
      </c>
      <c r="C434" s="501" t="str">
        <f t="shared" si="37"/>
        <v/>
      </c>
      <c r="D434" s="502" t="str">
        <f t="shared" si="38"/>
        <v/>
      </c>
      <c r="E434" s="190" t="str">
        <f t="shared" si="39"/>
        <v/>
      </c>
      <c r="F434" s="196" t="str">
        <f t="shared" si="36"/>
        <v/>
      </c>
      <c r="G434" s="190" t="str">
        <f t="shared" si="40"/>
        <v/>
      </c>
      <c r="H434" s="503" t="str">
        <f t="shared" si="41"/>
        <v/>
      </c>
      <c r="I434" s="49"/>
    </row>
    <row r="435" spans="2:9" ht="20.100000000000001" customHeight="1" x14ac:dyDescent="0.3">
      <c r="B435" s="198">
        <v>427</v>
      </c>
      <c r="C435" s="501" t="str">
        <f t="shared" si="37"/>
        <v/>
      </c>
      <c r="D435" s="502" t="str">
        <f t="shared" si="38"/>
        <v/>
      </c>
      <c r="E435" s="190" t="str">
        <f t="shared" si="39"/>
        <v/>
      </c>
      <c r="F435" s="196" t="str">
        <f t="shared" si="36"/>
        <v/>
      </c>
      <c r="G435" s="190" t="str">
        <f t="shared" si="40"/>
        <v/>
      </c>
      <c r="H435" s="503" t="str">
        <f t="shared" si="41"/>
        <v/>
      </c>
      <c r="I435" s="49"/>
    </row>
    <row r="436" spans="2:9" ht="20.100000000000001" customHeight="1" x14ac:dyDescent="0.3">
      <c r="B436" s="198">
        <v>428</v>
      </c>
      <c r="C436" s="501" t="str">
        <f t="shared" si="37"/>
        <v/>
      </c>
      <c r="D436" s="502" t="str">
        <f t="shared" si="38"/>
        <v/>
      </c>
      <c r="E436" s="190" t="str">
        <f t="shared" si="39"/>
        <v/>
      </c>
      <c r="F436" s="196" t="str">
        <f t="shared" si="36"/>
        <v/>
      </c>
      <c r="G436" s="190" t="str">
        <f t="shared" si="40"/>
        <v/>
      </c>
      <c r="H436" s="503" t="str">
        <f t="shared" si="41"/>
        <v/>
      </c>
      <c r="I436" s="49"/>
    </row>
    <row r="437" spans="2:9" ht="20.100000000000001" customHeight="1" x14ac:dyDescent="0.3">
      <c r="B437" s="198">
        <v>429</v>
      </c>
      <c r="C437" s="501" t="str">
        <f t="shared" si="37"/>
        <v/>
      </c>
      <c r="D437" s="502" t="str">
        <f t="shared" si="38"/>
        <v/>
      </c>
      <c r="E437" s="190" t="str">
        <f t="shared" si="39"/>
        <v/>
      </c>
      <c r="F437" s="196" t="str">
        <f t="shared" si="36"/>
        <v/>
      </c>
      <c r="G437" s="190" t="str">
        <f t="shared" si="40"/>
        <v/>
      </c>
      <c r="H437" s="503" t="str">
        <f t="shared" si="41"/>
        <v/>
      </c>
      <c r="I437" s="49"/>
    </row>
    <row r="438" spans="2:9" ht="20.100000000000001" customHeight="1" x14ac:dyDescent="0.3">
      <c r="B438" s="198">
        <v>430</v>
      </c>
      <c r="C438" s="501" t="str">
        <f t="shared" si="37"/>
        <v/>
      </c>
      <c r="D438" s="502" t="str">
        <f t="shared" si="38"/>
        <v/>
      </c>
      <c r="E438" s="190" t="str">
        <f t="shared" si="39"/>
        <v/>
      </c>
      <c r="F438" s="196" t="str">
        <f t="shared" si="36"/>
        <v/>
      </c>
      <c r="G438" s="190" t="str">
        <f t="shared" si="40"/>
        <v/>
      </c>
      <c r="H438" s="503" t="str">
        <f t="shared" si="41"/>
        <v/>
      </c>
      <c r="I438" s="49"/>
    </row>
    <row r="439" spans="2:9" ht="20.100000000000001" customHeight="1" x14ac:dyDescent="0.3">
      <c r="B439" s="198">
        <v>431</v>
      </c>
      <c r="C439" s="501" t="str">
        <f t="shared" si="37"/>
        <v/>
      </c>
      <c r="D439" s="502" t="str">
        <f t="shared" si="38"/>
        <v/>
      </c>
      <c r="E439" s="190" t="str">
        <f t="shared" si="39"/>
        <v/>
      </c>
      <c r="F439" s="196" t="str">
        <f t="shared" si="36"/>
        <v/>
      </c>
      <c r="G439" s="190" t="str">
        <f t="shared" si="40"/>
        <v/>
      </c>
      <c r="H439" s="503" t="str">
        <f t="shared" si="41"/>
        <v/>
      </c>
      <c r="I439" s="49"/>
    </row>
    <row r="440" spans="2:9" ht="20.100000000000001" customHeight="1" x14ac:dyDescent="0.3">
      <c r="B440" s="198">
        <v>432</v>
      </c>
      <c r="C440" s="501" t="str">
        <f t="shared" si="37"/>
        <v/>
      </c>
      <c r="D440" s="502" t="str">
        <f t="shared" si="38"/>
        <v/>
      </c>
      <c r="E440" s="190" t="str">
        <f t="shared" si="39"/>
        <v/>
      </c>
      <c r="F440" s="196" t="str">
        <f t="shared" si="36"/>
        <v/>
      </c>
      <c r="G440" s="190" t="str">
        <f t="shared" si="40"/>
        <v/>
      </c>
      <c r="H440" s="503" t="str">
        <f t="shared" si="41"/>
        <v/>
      </c>
      <c r="I440" s="49"/>
    </row>
    <row r="441" spans="2:9" ht="20.100000000000001" customHeight="1" x14ac:dyDescent="0.3">
      <c r="B441" s="198">
        <v>433</v>
      </c>
      <c r="C441" s="501" t="str">
        <f t="shared" si="37"/>
        <v/>
      </c>
      <c r="D441" s="502" t="str">
        <f t="shared" si="38"/>
        <v/>
      </c>
      <c r="E441" s="190" t="str">
        <f t="shared" si="39"/>
        <v/>
      </c>
      <c r="F441" s="196" t="str">
        <f t="shared" si="36"/>
        <v/>
      </c>
      <c r="G441" s="190" t="str">
        <f t="shared" si="40"/>
        <v/>
      </c>
      <c r="H441" s="503" t="str">
        <f t="shared" si="41"/>
        <v/>
      </c>
      <c r="I441" s="49"/>
    </row>
    <row r="442" spans="2:9" ht="20.100000000000001" customHeight="1" x14ac:dyDescent="0.3">
      <c r="B442" s="198">
        <v>434</v>
      </c>
      <c r="C442" s="501" t="str">
        <f t="shared" si="37"/>
        <v/>
      </c>
      <c r="D442" s="502" t="str">
        <f t="shared" si="38"/>
        <v/>
      </c>
      <c r="E442" s="190" t="str">
        <f t="shared" si="39"/>
        <v/>
      </c>
      <c r="F442" s="196" t="str">
        <f t="shared" si="36"/>
        <v/>
      </c>
      <c r="G442" s="190" t="str">
        <f t="shared" si="40"/>
        <v/>
      </c>
      <c r="H442" s="503" t="str">
        <f t="shared" si="41"/>
        <v/>
      </c>
      <c r="I442" s="49"/>
    </row>
    <row r="443" spans="2:9" ht="20.100000000000001" customHeight="1" x14ac:dyDescent="0.3">
      <c r="B443" s="198">
        <v>435</v>
      </c>
      <c r="C443" s="501" t="str">
        <f t="shared" si="37"/>
        <v/>
      </c>
      <c r="D443" s="502" t="str">
        <f t="shared" si="38"/>
        <v/>
      </c>
      <c r="E443" s="190" t="str">
        <f t="shared" si="39"/>
        <v/>
      </c>
      <c r="F443" s="196" t="str">
        <f t="shared" si="36"/>
        <v/>
      </c>
      <c r="G443" s="190" t="str">
        <f t="shared" si="40"/>
        <v/>
      </c>
      <c r="H443" s="503" t="str">
        <f t="shared" si="41"/>
        <v/>
      </c>
      <c r="I443" s="49"/>
    </row>
    <row r="444" spans="2:9" ht="20.100000000000001" customHeight="1" x14ac:dyDescent="0.3">
      <c r="B444" s="198">
        <v>436</v>
      </c>
      <c r="C444" s="501" t="str">
        <f t="shared" si="37"/>
        <v/>
      </c>
      <c r="D444" s="502" t="str">
        <f t="shared" si="38"/>
        <v/>
      </c>
      <c r="E444" s="190" t="str">
        <f t="shared" si="39"/>
        <v/>
      </c>
      <c r="F444" s="196" t="str">
        <f t="shared" si="36"/>
        <v/>
      </c>
      <c r="G444" s="190" t="str">
        <f t="shared" si="40"/>
        <v/>
      </c>
      <c r="H444" s="503" t="str">
        <f t="shared" si="41"/>
        <v/>
      </c>
      <c r="I444" s="49"/>
    </row>
    <row r="445" spans="2:9" ht="20.100000000000001" customHeight="1" x14ac:dyDescent="0.3">
      <c r="B445" s="198">
        <v>437</v>
      </c>
      <c r="C445" s="501" t="str">
        <f t="shared" si="37"/>
        <v/>
      </c>
      <c r="D445" s="502" t="str">
        <f t="shared" si="38"/>
        <v/>
      </c>
      <c r="E445" s="190" t="str">
        <f t="shared" si="39"/>
        <v/>
      </c>
      <c r="F445" s="196" t="str">
        <f t="shared" si="36"/>
        <v/>
      </c>
      <c r="G445" s="190" t="str">
        <f t="shared" si="40"/>
        <v/>
      </c>
      <c r="H445" s="503" t="str">
        <f t="shared" si="41"/>
        <v/>
      </c>
      <c r="I445" s="49"/>
    </row>
    <row r="446" spans="2:9" ht="20.100000000000001" customHeight="1" x14ac:dyDescent="0.3">
      <c r="B446" s="198">
        <v>438</v>
      </c>
      <c r="C446" s="501" t="str">
        <f t="shared" si="37"/>
        <v/>
      </c>
      <c r="D446" s="502" t="str">
        <f t="shared" si="38"/>
        <v/>
      </c>
      <c r="E446" s="190" t="str">
        <f t="shared" si="39"/>
        <v/>
      </c>
      <c r="F446" s="196" t="str">
        <f t="shared" si="36"/>
        <v/>
      </c>
      <c r="G446" s="190" t="str">
        <f t="shared" si="40"/>
        <v/>
      </c>
      <c r="H446" s="503" t="str">
        <f t="shared" si="41"/>
        <v/>
      </c>
      <c r="I446" s="49"/>
    </row>
    <row r="447" spans="2:9" ht="20.100000000000001" customHeight="1" x14ac:dyDescent="0.3">
      <c r="B447" s="198">
        <v>439</v>
      </c>
      <c r="C447" s="501" t="str">
        <f t="shared" si="37"/>
        <v/>
      </c>
      <c r="D447" s="502" t="str">
        <f t="shared" si="38"/>
        <v/>
      </c>
      <c r="E447" s="190" t="str">
        <f t="shared" si="39"/>
        <v/>
      </c>
      <c r="F447" s="196" t="str">
        <f t="shared" si="36"/>
        <v/>
      </c>
      <c r="G447" s="190" t="str">
        <f t="shared" si="40"/>
        <v/>
      </c>
      <c r="H447" s="503" t="str">
        <f t="shared" si="41"/>
        <v/>
      </c>
      <c r="I447" s="49"/>
    </row>
    <row r="448" spans="2:9" ht="20.100000000000001" customHeight="1" x14ac:dyDescent="0.3">
      <c r="B448" s="198">
        <v>440</v>
      </c>
      <c r="C448" s="501" t="str">
        <f t="shared" si="37"/>
        <v/>
      </c>
      <c r="D448" s="502" t="str">
        <f t="shared" si="38"/>
        <v/>
      </c>
      <c r="E448" s="190" t="str">
        <f t="shared" si="39"/>
        <v/>
      </c>
      <c r="F448" s="196" t="str">
        <f t="shared" si="36"/>
        <v/>
      </c>
      <c r="G448" s="190" t="str">
        <f t="shared" si="40"/>
        <v/>
      </c>
      <c r="H448" s="503" t="str">
        <f t="shared" si="41"/>
        <v/>
      </c>
      <c r="I448" s="49"/>
    </row>
    <row r="449" spans="2:9" ht="20.100000000000001" customHeight="1" x14ac:dyDescent="0.3">
      <c r="B449" s="198">
        <v>441</v>
      </c>
      <c r="C449" s="501" t="str">
        <f t="shared" si="37"/>
        <v/>
      </c>
      <c r="D449" s="502" t="str">
        <f t="shared" si="38"/>
        <v/>
      </c>
      <c r="E449" s="190" t="str">
        <f t="shared" si="39"/>
        <v/>
      </c>
      <c r="F449" s="196" t="str">
        <f t="shared" si="36"/>
        <v/>
      </c>
      <c r="G449" s="190" t="str">
        <f t="shared" si="40"/>
        <v/>
      </c>
      <c r="H449" s="503" t="str">
        <f t="shared" si="41"/>
        <v/>
      </c>
      <c r="I449" s="49"/>
    </row>
    <row r="450" spans="2:9" ht="20.100000000000001" customHeight="1" x14ac:dyDescent="0.3">
      <c r="B450" s="198">
        <v>442</v>
      </c>
      <c r="C450" s="501" t="str">
        <f t="shared" si="37"/>
        <v/>
      </c>
      <c r="D450" s="502" t="str">
        <f t="shared" si="38"/>
        <v/>
      </c>
      <c r="E450" s="190" t="str">
        <f t="shared" si="39"/>
        <v/>
      </c>
      <c r="F450" s="196" t="str">
        <f t="shared" si="36"/>
        <v/>
      </c>
      <c r="G450" s="190" t="str">
        <f t="shared" si="40"/>
        <v/>
      </c>
      <c r="H450" s="503" t="str">
        <f t="shared" si="41"/>
        <v/>
      </c>
      <c r="I450" s="49"/>
    </row>
    <row r="451" spans="2:9" ht="20.100000000000001" customHeight="1" x14ac:dyDescent="0.3">
      <c r="B451" s="198">
        <v>443</v>
      </c>
      <c r="C451" s="501" t="str">
        <f t="shared" si="37"/>
        <v/>
      </c>
      <c r="D451" s="502" t="str">
        <f t="shared" si="38"/>
        <v/>
      </c>
      <c r="E451" s="190" t="str">
        <f t="shared" si="39"/>
        <v/>
      </c>
      <c r="F451" s="196" t="str">
        <f t="shared" si="36"/>
        <v/>
      </c>
      <c r="G451" s="190" t="str">
        <f t="shared" si="40"/>
        <v/>
      </c>
      <c r="H451" s="503" t="str">
        <f t="shared" si="41"/>
        <v/>
      </c>
      <c r="I451" s="49"/>
    </row>
    <row r="452" spans="2:9" ht="20.100000000000001" customHeight="1" x14ac:dyDescent="0.3">
      <c r="B452" s="198">
        <v>444</v>
      </c>
      <c r="C452" s="501" t="str">
        <f t="shared" si="37"/>
        <v/>
      </c>
      <c r="D452" s="502" t="str">
        <f t="shared" si="38"/>
        <v/>
      </c>
      <c r="E452" s="190" t="str">
        <f t="shared" si="39"/>
        <v/>
      </c>
      <c r="F452" s="196" t="str">
        <f t="shared" si="36"/>
        <v/>
      </c>
      <c r="G452" s="190" t="str">
        <f t="shared" si="40"/>
        <v/>
      </c>
      <c r="H452" s="503" t="str">
        <f t="shared" si="41"/>
        <v/>
      </c>
      <c r="I452" s="49"/>
    </row>
    <row r="453" spans="2:9" ht="20.100000000000001" customHeight="1" x14ac:dyDescent="0.3">
      <c r="B453" s="198">
        <v>445</v>
      </c>
      <c r="C453" s="501" t="str">
        <f t="shared" si="37"/>
        <v/>
      </c>
      <c r="D453" s="502" t="str">
        <f t="shared" si="38"/>
        <v/>
      </c>
      <c r="E453" s="190" t="str">
        <f t="shared" si="39"/>
        <v/>
      </c>
      <c r="F453" s="196" t="str">
        <f t="shared" si="36"/>
        <v/>
      </c>
      <c r="G453" s="190" t="str">
        <f t="shared" si="40"/>
        <v/>
      </c>
      <c r="H453" s="503" t="str">
        <f t="shared" si="41"/>
        <v/>
      </c>
      <c r="I453" s="49"/>
    </row>
    <row r="454" spans="2:9" ht="20.100000000000001" customHeight="1" x14ac:dyDescent="0.3">
      <c r="B454" s="198">
        <v>446</v>
      </c>
      <c r="C454" s="501" t="str">
        <f t="shared" si="37"/>
        <v/>
      </c>
      <c r="D454" s="502" t="str">
        <f t="shared" si="38"/>
        <v/>
      </c>
      <c r="E454" s="190" t="str">
        <f t="shared" si="39"/>
        <v/>
      </c>
      <c r="F454" s="196" t="str">
        <f t="shared" si="36"/>
        <v/>
      </c>
      <c r="G454" s="190" t="str">
        <f t="shared" si="40"/>
        <v/>
      </c>
      <c r="H454" s="503" t="str">
        <f t="shared" si="41"/>
        <v/>
      </c>
      <c r="I454" s="49"/>
    </row>
    <row r="455" spans="2:9" ht="20.100000000000001" customHeight="1" x14ac:dyDescent="0.3">
      <c r="B455" s="198">
        <v>447</v>
      </c>
      <c r="C455" s="501" t="str">
        <f t="shared" si="37"/>
        <v/>
      </c>
      <c r="D455" s="502" t="str">
        <f t="shared" si="38"/>
        <v/>
      </c>
      <c r="E455" s="190" t="str">
        <f t="shared" si="39"/>
        <v/>
      </c>
      <c r="F455" s="196" t="str">
        <f t="shared" si="36"/>
        <v/>
      </c>
      <c r="G455" s="190" t="str">
        <f t="shared" si="40"/>
        <v/>
      </c>
      <c r="H455" s="503" t="str">
        <f t="shared" si="41"/>
        <v/>
      </c>
      <c r="I455" s="49"/>
    </row>
    <row r="456" spans="2:9" ht="20.100000000000001" customHeight="1" x14ac:dyDescent="0.3">
      <c r="B456" s="198">
        <v>448</v>
      </c>
      <c r="C456" s="501" t="str">
        <f t="shared" si="37"/>
        <v/>
      </c>
      <c r="D456" s="502" t="str">
        <f t="shared" si="38"/>
        <v/>
      </c>
      <c r="E456" s="190" t="str">
        <f t="shared" si="39"/>
        <v/>
      </c>
      <c r="F456" s="196" t="str">
        <f t="shared" si="36"/>
        <v/>
      </c>
      <c r="G456" s="190" t="str">
        <f t="shared" si="40"/>
        <v/>
      </c>
      <c r="H456" s="503" t="str">
        <f t="shared" si="41"/>
        <v/>
      </c>
      <c r="I456" s="49"/>
    </row>
    <row r="457" spans="2:9" ht="20.100000000000001" customHeight="1" x14ac:dyDescent="0.3">
      <c r="B457" s="198">
        <v>449</v>
      </c>
      <c r="C457" s="501" t="str">
        <f t="shared" si="37"/>
        <v/>
      </c>
      <c r="D457" s="502" t="str">
        <f t="shared" si="38"/>
        <v/>
      </c>
      <c r="E457" s="190" t="str">
        <f t="shared" si="39"/>
        <v/>
      </c>
      <c r="F457" s="196" t="str">
        <f t="shared" si="36"/>
        <v/>
      </c>
      <c r="G457" s="190" t="str">
        <f t="shared" si="40"/>
        <v/>
      </c>
      <c r="H457" s="503" t="str">
        <f t="shared" si="41"/>
        <v/>
      </c>
      <c r="I457" s="49"/>
    </row>
    <row r="458" spans="2:9" ht="20.100000000000001" customHeight="1" x14ac:dyDescent="0.3">
      <c r="B458" s="198">
        <v>450</v>
      </c>
      <c r="C458" s="501" t="str">
        <f t="shared" si="37"/>
        <v/>
      </c>
      <c r="D458" s="502" t="str">
        <f t="shared" si="38"/>
        <v/>
      </c>
      <c r="E458" s="190" t="str">
        <f t="shared" si="39"/>
        <v/>
      </c>
      <c r="F458" s="196" t="str">
        <f t="shared" ref="F458:F521" si="42">IF($H$4="","",IF($F$4="원리금균등상환",IFERROR(D458+E458,""),IF($F$4="원금균등상환",D458+E458,"")))</f>
        <v/>
      </c>
      <c r="G458" s="190" t="str">
        <f t="shared" si="40"/>
        <v/>
      </c>
      <c r="H458" s="503" t="str">
        <f t="shared" si="41"/>
        <v/>
      </c>
      <c r="I458" s="49"/>
    </row>
    <row r="459" spans="2:9" ht="20.100000000000001" customHeight="1" x14ac:dyDescent="0.3">
      <c r="B459" s="198">
        <v>451</v>
      </c>
      <c r="C459" s="501" t="str">
        <f t="shared" ref="C459:C522" si="43">IF($H$4="","",IF(B459&gt;($B$6),"",IF(B459&lt;=($B$6),DATE(YEAR($G$4),MONTH($G$4)+B458,DAY($G$4)),"")))</f>
        <v/>
      </c>
      <c r="D459" s="502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190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196" t="str">
        <f t="shared" si="42"/>
        <v/>
      </c>
      <c r="G459" s="190" t="str">
        <f t="shared" ref="G459:G522" si="46">IFERROR(IF(B459&gt;(($D$6+$B$6)*12),"",IF(B459=1,D459,D459+G458)),"")</f>
        <v/>
      </c>
      <c r="H459" s="503" t="str">
        <f t="shared" ref="H459:H522" si="47">IFERROR(IF($H$4="","",H458-D459),"")</f>
        <v/>
      </c>
      <c r="I459" s="49"/>
    </row>
    <row r="460" spans="2:9" ht="20.100000000000001" customHeight="1" x14ac:dyDescent="0.3">
      <c r="B460" s="198">
        <v>452</v>
      </c>
      <c r="C460" s="501" t="str">
        <f t="shared" si="43"/>
        <v/>
      </c>
      <c r="D460" s="502" t="str">
        <f t="shared" si="44"/>
        <v/>
      </c>
      <c r="E460" s="190" t="str">
        <f t="shared" si="45"/>
        <v/>
      </c>
      <c r="F460" s="196" t="str">
        <f t="shared" si="42"/>
        <v/>
      </c>
      <c r="G460" s="190" t="str">
        <f t="shared" si="46"/>
        <v/>
      </c>
      <c r="H460" s="503" t="str">
        <f t="shared" si="47"/>
        <v/>
      </c>
      <c r="I460" s="49"/>
    </row>
    <row r="461" spans="2:9" ht="20.100000000000001" customHeight="1" x14ac:dyDescent="0.3">
      <c r="B461" s="198">
        <v>453</v>
      </c>
      <c r="C461" s="501" t="str">
        <f t="shared" si="43"/>
        <v/>
      </c>
      <c r="D461" s="502" t="str">
        <f t="shared" si="44"/>
        <v/>
      </c>
      <c r="E461" s="190" t="str">
        <f t="shared" si="45"/>
        <v/>
      </c>
      <c r="F461" s="196" t="str">
        <f t="shared" si="42"/>
        <v/>
      </c>
      <c r="G461" s="190" t="str">
        <f t="shared" si="46"/>
        <v/>
      </c>
      <c r="H461" s="503" t="str">
        <f t="shared" si="47"/>
        <v/>
      </c>
      <c r="I461" s="49"/>
    </row>
    <row r="462" spans="2:9" ht="20.100000000000001" customHeight="1" x14ac:dyDescent="0.3">
      <c r="B462" s="198">
        <v>454</v>
      </c>
      <c r="C462" s="501" t="str">
        <f t="shared" si="43"/>
        <v/>
      </c>
      <c r="D462" s="502" t="str">
        <f t="shared" si="44"/>
        <v/>
      </c>
      <c r="E462" s="190" t="str">
        <f t="shared" si="45"/>
        <v/>
      </c>
      <c r="F462" s="196" t="str">
        <f t="shared" si="42"/>
        <v/>
      </c>
      <c r="G462" s="190" t="str">
        <f t="shared" si="46"/>
        <v/>
      </c>
      <c r="H462" s="503" t="str">
        <f t="shared" si="47"/>
        <v/>
      </c>
      <c r="I462" s="49"/>
    </row>
    <row r="463" spans="2:9" ht="20.100000000000001" customHeight="1" x14ac:dyDescent="0.3">
      <c r="B463" s="198">
        <v>455</v>
      </c>
      <c r="C463" s="501" t="str">
        <f t="shared" si="43"/>
        <v/>
      </c>
      <c r="D463" s="502" t="str">
        <f t="shared" si="44"/>
        <v/>
      </c>
      <c r="E463" s="190" t="str">
        <f t="shared" si="45"/>
        <v/>
      </c>
      <c r="F463" s="196" t="str">
        <f t="shared" si="42"/>
        <v/>
      </c>
      <c r="G463" s="190" t="str">
        <f t="shared" si="46"/>
        <v/>
      </c>
      <c r="H463" s="503" t="str">
        <f t="shared" si="47"/>
        <v/>
      </c>
      <c r="I463" s="49"/>
    </row>
    <row r="464" spans="2:9" ht="20.100000000000001" customHeight="1" x14ac:dyDescent="0.3">
      <c r="B464" s="198">
        <v>456</v>
      </c>
      <c r="C464" s="501" t="str">
        <f t="shared" si="43"/>
        <v/>
      </c>
      <c r="D464" s="502" t="str">
        <f t="shared" si="44"/>
        <v/>
      </c>
      <c r="E464" s="190" t="str">
        <f t="shared" si="45"/>
        <v/>
      </c>
      <c r="F464" s="196" t="str">
        <f t="shared" si="42"/>
        <v/>
      </c>
      <c r="G464" s="190" t="str">
        <f t="shared" si="46"/>
        <v/>
      </c>
      <c r="H464" s="503" t="str">
        <f t="shared" si="47"/>
        <v/>
      </c>
      <c r="I464" s="49"/>
    </row>
    <row r="465" spans="2:9" ht="20.100000000000001" customHeight="1" x14ac:dyDescent="0.3">
      <c r="B465" s="198">
        <v>457</v>
      </c>
      <c r="C465" s="501" t="str">
        <f t="shared" si="43"/>
        <v/>
      </c>
      <c r="D465" s="502" t="str">
        <f t="shared" si="44"/>
        <v/>
      </c>
      <c r="E465" s="190" t="str">
        <f t="shared" si="45"/>
        <v/>
      </c>
      <c r="F465" s="196" t="str">
        <f t="shared" si="42"/>
        <v/>
      </c>
      <c r="G465" s="190" t="str">
        <f t="shared" si="46"/>
        <v/>
      </c>
      <c r="H465" s="503" t="str">
        <f t="shared" si="47"/>
        <v/>
      </c>
      <c r="I465" s="49"/>
    </row>
    <row r="466" spans="2:9" ht="20.100000000000001" customHeight="1" x14ac:dyDescent="0.3">
      <c r="B466" s="198">
        <v>458</v>
      </c>
      <c r="C466" s="501" t="str">
        <f t="shared" si="43"/>
        <v/>
      </c>
      <c r="D466" s="502" t="str">
        <f t="shared" si="44"/>
        <v/>
      </c>
      <c r="E466" s="190" t="str">
        <f t="shared" si="45"/>
        <v/>
      </c>
      <c r="F466" s="196" t="str">
        <f t="shared" si="42"/>
        <v/>
      </c>
      <c r="G466" s="190" t="str">
        <f t="shared" si="46"/>
        <v/>
      </c>
      <c r="H466" s="503" t="str">
        <f t="shared" si="47"/>
        <v/>
      </c>
      <c r="I466" s="49"/>
    </row>
    <row r="467" spans="2:9" ht="20.100000000000001" customHeight="1" x14ac:dyDescent="0.3">
      <c r="B467" s="198">
        <v>459</v>
      </c>
      <c r="C467" s="501" t="str">
        <f t="shared" si="43"/>
        <v/>
      </c>
      <c r="D467" s="502" t="str">
        <f t="shared" si="44"/>
        <v/>
      </c>
      <c r="E467" s="190" t="str">
        <f t="shared" si="45"/>
        <v/>
      </c>
      <c r="F467" s="196" t="str">
        <f t="shared" si="42"/>
        <v/>
      </c>
      <c r="G467" s="190" t="str">
        <f t="shared" si="46"/>
        <v/>
      </c>
      <c r="H467" s="503" t="str">
        <f t="shared" si="47"/>
        <v/>
      </c>
      <c r="I467" s="49"/>
    </row>
    <row r="468" spans="2:9" ht="20.100000000000001" customHeight="1" x14ac:dyDescent="0.3">
      <c r="B468" s="198">
        <v>460</v>
      </c>
      <c r="C468" s="501" t="str">
        <f t="shared" si="43"/>
        <v/>
      </c>
      <c r="D468" s="502" t="str">
        <f t="shared" si="44"/>
        <v/>
      </c>
      <c r="E468" s="190" t="str">
        <f t="shared" si="45"/>
        <v/>
      </c>
      <c r="F468" s="196" t="str">
        <f t="shared" si="42"/>
        <v/>
      </c>
      <c r="G468" s="190" t="str">
        <f t="shared" si="46"/>
        <v/>
      </c>
      <c r="H468" s="503" t="str">
        <f t="shared" si="47"/>
        <v/>
      </c>
      <c r="I468" s="49"/>
    </row>
    <row r="469" spans="2:9" ht="20.100000000000001" customHeight="1" x14ac:dyDescent="0.3">
      <c r="B469" s="198">
        <v>461</v>
      </c>
      <c r="C469" s="501" t="str">
        <f t="shared" si="43"/>
        <v/>
      </c>
      <c r="D469" s="502" t="str">
        <f t="shared" si="44"/>
        <v/>
      </c>
      <c r="E469" s="190" t="str">
        <f t="shared" si="45"/>
        <v/>
      </c>
      <c r="F469" s="196" t="str">
        <f t="shared" si="42"/>
        <v/>
      </c>
      <c r="G469" s="190" t="str">
        <f t="shared" si="46"/>
        <v/>
      </c>
      <c r="H469" s="503" t="str">
        <f t="shared" si="47"/>
        <v/>
      </c>
      <c r="I469" s="49"/>
    </row>
    <row r="470" spans="2:9" ht="20.100000000000001" customHeight="1" x14ac:dyDescent="0.3">
      <c r="B470" s="198">
        <v>462</v>
      </c>
      <c r="C470" s="501" t="str">
        <f t="shared" si="43"/>
        <v/>
      </c>
      <c r="D470" s="502" t="str">
        <f t="shared" si="44"/>
        <v/>
      </c>
      <c r="E470" s="190" t="str">
        <f t="shared" si="45"/>
        <v/>
      </c>
      <c r="F470" s="196" t="str">
        <f t="shared" si="42"/>
        <v/>
      </c>
      <c r="G470" s="190" t="str">
        <f t="shared" si="46"/>
        <v/>
      </c>
      <c r="H470" s="503" t="str">
        <f t="shared" si="47"/>
        <v/>
      </c>
      <c r="I470" s="49"/>
    </row>
    <row r="471" spans="2:9" ht="20.100000000000001" customHeight="1" x14ac:dyDescent="0.3">
      <c r="B471" s="198">
        <v>463</v>
      </c>
      <c r="C471" s="501" t="str">
        <f t="shared" si="43"/>
        <v/>
      </c>
      <c r="D471" s="502" t="str">
        <f t="shared" si="44"/>
        <v/>
      </c>
      <c r="E471" s="190" t="str">
        <f t="shared" si="45"/>
        <v/>
      </c>
      <c r="F471" s="196" t="str">
        <f t="shared" si="42"/>
        <v/>
      </c>
      <c r="G471" s="190" t="str">
        <f t="shared" si="46"/>
        <v/>
      </c>
      <c r="H471" s="503" t="str">
        <f t="shared" si="47"/>
        <v/>
      </c>
      <c r="I471" s="49"/>
    </row>
    <row r="472" spans="2:9" ht="20.100000000000001" customHeight="1" x14ac:dyDescent="0.3">
      <c r="B472" s="198">
        <v>464</v>
      </c>
      <c r="C472" s="501" t="str">
        <f t="shared" si="43"/>
        <v/>
      </c>
      <c r="D472" s="502" t="str">
        <f t="shared" si="44"/>
        <v/>
      </c>
      <c r="E472" s="190" t="str">
        <f t="shared" si="45"/>
        <v/>
      </c>
      <c r="F472" s="196" t="str">
        <f t="shared" si="42"/>
        <v/>
      </c>
      <c r="G472" s="190" t="str">
        <f t="shared" si="46"/>
        <v/>
      </c>
      <c r="H472" s="503" t="str">
        <f t="shared" si="47"/>
        <v/>
      </c>
      <c r="I472" s="49"/>
    </row>
    <row r="473" spans="2:9" ht="20.100000000000001" customHeight="1" x14ac:dyDescent="0.3">
      <c r="B473" s="198">
        <v>465</v>
      </c>
      <c r="C473" s="501" t="str">
        <f t="shared" si="43"/>
        <v/>
      </c>
      <c r="D473" s="502" t="str">
        <f t="shared" si="44"/>
        <v/>
      </c>
      <c r="E473" s="190" t="str">
        <f t="shared" si="45"/>
        <v/>
      </c>
      <c r="F473" s="196" t="str">
        <f t="shared" si="42"/>
        <v/>
      </c>
      <c r="G473" s="190" t="str">
        <f t="shared" si="46"/>
        <v/>
      </c>
      <c r="H473" s="503" t="str">
        <f t="shared" si="47"/>
        <v/>
      </c>
      <c r="I473" s="49"/>
    </row>
    <row r="474" spans="2:9" ht="20.100000000000001" customHeight="1" x14ac:dyDescent="0.3">
      <c r="B474" s="198">
        <v>466</v>
      </c>
      <c r="C474" s="501" t="str">
        <f t="shared" si="43"/>
        <v/>
      </c>
      <c r="D474" s="502" t="str">
        <f t="shared" si="44"/>
        <v/>
      </c>
      <c r="E474" s="190" t="str">
        <f t="shared" si="45"/>
        <v/>
      </c>
      <c r="F474" s="196" t="str">
        <f t="shared" si="42"/>
        <v/>
      </c>
      <c r="G474" s="190" t="str">
        <f t="shared" si="46"/>
        <v/>
      </c>
      <c r="H474" s="503" t="str">
        <f t="shared" si="47"/>
        <v/>
      </c>
      <c r="I474" s="49"/>
    </row>
    <row r="475" spans="2:9" ht="20.100000000000001" customHeight="1" x14ac:dyDescent="0.3">
      <c r="B475" s="198">
        <v>467</v>
      </c>
      <c r="C475" s="501" t="str">
        <f t="shared" si="43"/>
        <v/>
      </c>
      <c r="D475" s="502" t="str">
        <f t="shared" si="44"/>
        <v/>
      </c>
      <c r="E475" s="190" t="str">
        <f t="shared" si="45"/>
        <v/>
      </c>
      <c r="F475" s="196" t="str">
        <f t="shared" si="42"/>
        <v/>
      </c>
      <c r="G475" s="190" t="str">
        <f t="shared" si="46"/>
        <v/>
      </c>
      <c r="H475" s="503" t="str">
        <f t="shared" si="47"/>
        <v/>
      </c>
      <c r="I475" s="49"/>
    </row>
    <row r="476" spans="2:9" ht="20.100000000000001" customHeight="1" x14ac:dyDescent="0.3">
      <c r="B476" s="198">
        <v>468</v>
      </c>
      <c r="C476" s="501" t="str">
        <f t="shared" si="43"/>
        <v/>
      </c>
      <c r="D476" s="502" t="str">
        <f t="shared" si="44"/>
        <v/>
      </c>
      <c r="E476" s="190" t="str">
        <f t="shared" si="45"/>
        <v/>
      </c>
      <c r="F476" s="196" t="str">
        <f t="shared" si="42"/>
        <v/>
      </c>
      <c r="G476" s="190" t="str">
        <f t="shared" si="46"/>
        <v/>
      </c>
      <c r="H476" s="503" t="str">
        <f t="shared" si="47"/>
        <v/>
      </c>
      <c r="I476" s="49"/>
    </row>
    <row r="477" spans="2:9" ht="20.100000000000001" customHeight="1" x14ac:dyDescent="0.3">
      <c r="B477" s="198">
        <v>469</v>
      </c>
      <c r="C477" s="501" t="str">
        <f t="shared" si="43"/>
        <v/>
      </c>
      <c r="D477" s="502" t="str">
        <f t="shared" si="44"/>
        <v/>
      </c>
      <c r="E477" s="190" t="str">
        <f t="shared" si="45"/>
        <v/>
      </c>
      <c r="F477" s="196" t="str">
        <f t="shared" si="42"/>
        <v/>
      </c>
      <c r="G477" s="190" t="str">
        <f t="shared" si="46"/>
        <v/>
      </c>
      <c r="H477" s="503" t="str">
        <f t="shared" si="47"/>
        <v/>
      </c>
      <c r="I477" s="49"/>
    </row>
    <row r="478" spans="2:9" ht="20.100000000000001" customHeight="1" x14ac:dyDescent="0.3">
      <c r="B478" s="198">
        <v>470</v>
      </c>
      <c r="C478" s="501" t="str">
        <f t="shared" si="43"/>
        <v/>
      </c>
      <c r="D478" s="502" t="str">
        <f t="shared" si="44"/>
        <v/>
      </c>
      <c r="E478" s="190" t="str">
        <f t="shared" si="45"/>
        <v/>
      </c>
      <c r="F478" s="196" t="str">
        <f t="shared" si="42"/>
        <v/>
      </c>
      <c r="G478" s="190" t="str">
        <f t="shared" si="46"/>
        <v/>
      </c>
      <c r="H478" s="503" t="str">
        <f t="shared" si="47"/>
        <v/>
      </c>
      <c r="I478" s="49"/>
    </row>
    <row r="479" spans="2:9" ht="20.100000000000001" customHeight="1" x14ac:dyDescent="0.3">
      <c r="B479" s="198">
        <v>471</v>
      </c>
      <c r="C479" s="501" t="str">
        <f t="shared" si="43"/>
        <v/>
      </c>
      <c r="D479" s="502" t="str">
        <f t="shared" si="44"/>
        <v/>
      </c>
      <c r="E479" s="190" t="str">
        <f t="shared" si="45"/>
        <v/>
      </c>
      <c r="F479" s="196" t="str">
        <f t="shared" si="42"/>
        <v/>
      </c>
      <c r="G479" s="190" t="str">
        <f t="shared" si="46"/>
        <v/>
      </c>
      <c r="H479" s="503" t="str">
        <f t="shared" si="47"/>
        <v/>
      </c>
      <c r="I479" s="49"/>
    </row>
    <row r="480" spans="2:9" ht="20.100000000000001" customHeight="1" x14ac:dyDescent="0.3">
      <c r="B480" s="198">
        <v>472</v>
      </c>
      <c r="C480" s="501" t="str">
        <f t="shared" si="43"/>
        <v/>
      </c>
      <c r="D480" s="502" t="str">
        <f t="shared" si="44"/>
        <v/>
      </c>
      <c r="E480" s="190" t="str">
        <f t="shared" si="45"/>
        <v/>
      </c>
      <c r="F480" s="196" t="str">
        <f t="shared" si="42"/>
        <v/>
      </c>
      <c r="G480" s="190" t="str">
        <f t="shared" si="46"/>
        <v/>
      </c>
      <c r="H480" s="503" t="str">
        <f t="shared" si="47"/>
        <v/>
      </c>
      <c r="I480" s="49"/>
    </row>
    <row r="481" spans="2:9" ht="20.100000000000001" customHeight="1" x14ac:dyDescent="0.3">
      <c r="B481" s="198">
        <v>473</v>
      </c>
      <c r="C481" s="501" t="str">
        <f t="shared" si="43"/>
        <v/>
      </c>
      <c r="D481" s="502" t="str">
        <f t="shared" si="44"/>
        <v/>
      </c>
      <c r="E481" s="190" t="str">
        <f t="shared" si="45"/>
        <v/>
      </c>
      <c r="F481" s="196" t="str">
        <f t="shared" si="42"/>
        <v/>
      </c>
      <c r="G481" s="190" t="str">
        <f t="shared" si="46"/>
        <v/>
      </c>
      <c r="H481" s="503" t="str">
        <f t="shared" si="47"/>
        <v/>
      </c>
      <c r="I481" s="49"/>
    </row>
    <row r="482" spans="2:9" ht="20.100000000000001" customHeight="1" x14ac:dyDescent="0.3">
      <c r="B482" s="198">
        <v>474</v>
      </c>
      <c r="C482" s="501" t="str">
        <f t="shared" si="43"/>
        <v/>
      </c>
      <c r="D482" s="502" t="str">
        <f t="shared" si="44"/>
        <v/>
      </c>
      <c r="E482" s="190" t="str">
        <f t="shared" si="45"/>
        <v/>
      </c>
      <c r="F482" s="196" t="str">
        <f t="shared" si="42"/>
        <v/>
      </c>
      <c r="G482" s="190" t="str">
        <f t="shared" si="46"/>
        <v/>
      </c>
      <c r="H482" s="503" t="str">
        <f t="shared" si="47"/>
        <v/>
      </c>
      <c r="I482" s="49"/>
    </row>
    <row r="483" spans="2:9" ht="20.100000000000001" customHeight="1" x14ac:dyDescent="0.3">
      <c r="B483" s="198">
        <v>475</v>
      </c>
      <c r="C483" s="501" t="str">
        <f t="shared" si="43"/>
        <v/>
      </c>
      <c r="D483" s="502" t="str">
        <f t="shared" si="44"/>
        <v/>
      </c>
      <c r="E483" s="190" t="str">
        <f t="shared" si="45"/>
        <v/>
      </c>
      <c r="F483" s="196" t="str">
        <f t="shared" si="42"/>
        <v/>
      </c>
      <c r="G483" s="190" t="str">
        <f t="shared" si="46"/>
        <v/>
      </c>
      <c r="H483" s="503" t="str">
        <f t="shared" si="47"/>
        <v/>
      </c>
      <c r="I483" s="49"/>
    </row>
    <row r="484" spans="2:9" ht="20.100000000000001" customHeight="1" x14ac:dyDescent="0.3">
      <c r="B484" s="198">
        <v>476</v>
      </c>
      <c r="C484" s="501" t="str">
        <f t="shared" si="43"/>
        <v/>
      </c>
      <c r="D484" s="502" t="str">
        <f t="shared" si="44"/>
        <v/>
      </c>
      <c r="E484" s="190" t="str">
        <f t="shared" si="45"/>
        <v/>
      </c>
      <c r="F484" s="196" t="str">
        <f t="shared" si="42"/>
        <v/>
      </c>
      <c r="G484" s="190" t="str">
        <f t="shared" si="46"/>
        <v/>
      </c>
      <c r="H484" s="503" t="str">
        <f t="shared" si="47"/>
        <v/>
      </c>
      <c r="I484" s="49"/>
    </row>
    <row r="485" spans="2:9" ht="20.100000000000001" customHeight="1" x14ac:dyDescent="0.3">
      <c r="B485" s="198">
        <v>477</v>
      </c>
      <c r="C485" s="501" t="str">
        <f t="shared" si="43"/>
        <v/>
      </c>
      <c r="D485" s="502" t="str">
        <f t="shared" si="44"/>
        <v/>
      </c>
      <c r="E485" s="190" t="str">
        <f t="shared" si="45"/>
        <v/>
      </c>
      <c r="F485" s="196" t="str">
        <f t="shared" si="42"/>
        <v/>
      </c>
      <c r="G485" s="190" t="str">
        <f t="shared" si="46"/>
        <v/>
      </c>
      <c r="H485" s="503" t="str">
        <f t="shared" si="47"/>
        <v/>
      </c>
      <c r="I485" s="49"/>
    </row>
    <row r="486" spans="2:9" ht="20.100000000000001" customHeight="1" x14ac:dyDescent="0.3">
      <c r="B486" s="198">
        <v>478</v>
      </c>
      <c r="C486" s="501" t="str">
        <f t="shared" si="43"/>
        <v/>
      </c>
      <c r="D486" s="502" t="str">
        <f t="shared" si="44"/>
        <v/>
      </c>
      <c r="E486" s="190" t="str">
        <f t="shared" si="45"/>
        <v/>
      </c>
      <c r="F486" s="196" t="str">
        <f t="shared" si="42"/>
        <v/>
      </c>
      <c r="G486" s="190" t="str">
        <f t="shared" si="46"/>
        <v/>
      </c>
      <c r="H486" s="503" t="str">
        <f t="shared" si="47"/>
        <v/>
      </c>
      <c r="I486" s="49"/>
    </row>
    <row r="487" spans="2:9" ht="20.100000000000001" customHeight="1" x14ac:dyDescent="0.3">
      <c r="B487" s="198">
        <v>479</v>
      </c>
      <c r="C487" s="501" t="str">
        <f t="shared" si="43"/>
        <v/>
      </c>
      <c r="D487" s="502" t="str">
        <f t="shared" si="44"/>
        <v/>
      </c>
      <c r="E487" s="190" t="str">
        <f t="shared" si="45"/>
        <v/>
      </c>
      <c r="F487" s="196" t="str">
        <f t="shared" si="42"/>
        <v/>
      </c>
      <c r="G487" s="190" t="str">
        <f t="shared" si="46"/>
        <v/>
      </c>
      <c r="H487" s="503" t="str">
        <f t="shared" si="47"/>
        <v/>
      </c>
      <c r="I487" s="49"/>
    </row>
    <row r="488" spans="2:9" ht="20.100000000000001" customHeight="1" x14ac:dyDescent="0.3">
      <c r="B488" s="198">
        <v>480</v>
      </c>
      <c r="C488" s="501" t="str">
        <f t="shared" si="43"/>
        <v/>
      </c>
      <c r="D488" s="502" t="str">
        <f t="shared" si="44"/>
        <v/>
      </c>
      <c r="E488" s="190" t="str">
        <f t="shared" si="45"/>
        <v/>
      </c>
      <c r="F488" s="196" t="str">
        <f t="shared" si="42"/>
        <v/>
      </c>
      <c r="G488" s="190" t="str">
        <f t="shared" si="46"/>
        <v/>
      </c>
      <c r="H488" s="503" t="str">
        <f t="shared" si="47"/>
        <v/>
      </c>
      <c r="I488" s="49"/>
    </row>
    <row r="489" spans="2:9" ht="20.100000000000001" customHeight="1" x14ac:dyDescent="0.3">
      <c r="B489" s="198">
        <v>481</v>
      </c>
      <c r="C489" s="501" t="str">
        <f t="shared" si="43"/>
        <v/>
      </c>
      <c r="D489" s="502" t="str">
        <f t="shared" si="44"/>
        <v/>
      </c>
      <c r="E489" s="190" t="str">
        <f t="shared" si="45"/>
        <v/>
      </c>
      <c r="F489" s="196" t="str">
        <f t="shared" si="42"/>
        <v/>
      </c>
      <c r="G489" s="190" t="str">
        <f t="shared" si="46"/>
        <v/>
      </c>
      <c r="H489" s="503" t="str">
        <f t="shared" si="47"/>
        <v/>
      </c>
      <c r="I489" s="49"/>
    </row>
    <row r="490" spans="2:9" ht="20.100000000000001" customHeight="1" x14ac:dyDescent="0.3">
      <c r="B490" s="198">
        <v>482</v>
      </c>
      <c r="C490" s="501" t="str">
        <f t="shared" si="43"/>
        <v/>
      </c>
      <c r="D490" s="502" t="str">
        <f t="shared" si="44"/>
        <v/>
      </c>
      <c r="E490" s="190" t="str">
        <f t="shared" si="45"/>
        <v/>
      </c>
      <c r="F490" s="196" t="str">
        <f t="shared" si="42"/>
        <v/>
      </c>
      <c r="G490" s="190" t="str">
        <f t="shared" si="46"/>
        <v/>
      </c>
      <c r="H490" s="503" t="str">
        <f t="shared" si="47"/>
        <v/>
      </c>
      <c r="I490" s="49"/>
    </row>
    <row r="491" spans="2:9" ht="20.100000000000001" customHeight="1" x14ac:dyDescent="0.3">
      <c r="B491" s="198">
        <v>483</v>
      </c>
      <c r="C491" s="501" t="str">
        <f t="shared" si="43"/>
        <v/>
      </c>
      <c r="D491" s="502" t="str">
        <f t="shared" si="44"/>
        <v/>
      </c>
      <c r="E491" s="190" t="str">
        <f t="shared" si="45"/>
        <v/>
      </c>
      <c r="F491" s="196" t="str">
        <f t="shared" si="42"/>
        <v/>
      </c>
      <c r="G491" s="190" t="str">
        <f t="shared" si="46"/>
        <v/>
      </c>
      <c r="H491" s="503" t="str">
        <f t="shared" si="47"/>
        <v/>
      </c>
      <c r="I491" s="49"/>
    </row>
    <row r="492" spans="2:9" ht="20.100000000000001" customHeight="1" x14ac:dyDescent="0.3">
      <c r="B492" s="198">
        <v>484</v>
      </c>
      <c r="C492" s="501" t="str">
        <f t="shared" si="43"/>
        <v/>
      </c>
      <c r="D492" s="502" t="str">
        <f t="shared" si="44"/>
        <v/>
      </c>
      <c r="E492" s="190" t="str">
        <f t="shared" si="45"/>
        <v/>
      </c>
      <c r="F492" s="196" t="str">
        <f t="shared" si="42"/>
        <v/>
      </c>
      <c r="G492" s="190" t="str">
        <f t="shared" si="46"/>
        <v/>
      </c>
      <c r="H492" s="503" t="str">
        <f t="shared" si="47"/>
        <v/>
      </c>
      <c r="I492" s="49"/>
    </row>
    <row r="493" spans="2:9" ht="20.100000000000001" customHeight="1" x14ac:dyDescent="0.3">
      <c r="B493" s="198">
        <v>485</v>
      </c>
      <c r="C493" s="501" t="str">
        <f t="shared" si="43"/>
        <v/>
      </c>
      <c r="D493" s="502" t="str">
        <f t="shared" si="44"/>
        <v/>
      </c>
      <c r="E493" s="190" t="str">
        <f t="shared" si="45"/>
        <v/>
      </c>
      <c r="F493" s="196" t="str">
        <f t="shared" si="42"/>
        <v/>
      </c>
      <c r="G493" s="190" t="str">
        <f t="shared" si="46"/>
        <v/>
      </c>
      <c r="H493" s="503" t="str">
        <f t="shared" si="47"/>
        <v/>
      </c>
      <c r="I493" s="49"/>
    </row>
    <row r="494" spans="2:9" ht="20.100000000000001" customHeight="1" x14ac:dyDescent="0.3">
      <c r="B494" s="198">
        <v>486</v>
      </c>
      <c r="C494" s="501" t="str">
        <f t="shared" si="43"/>
        <v/>
      </c>
      <c r="D494" s="502" t="str">
        <f t="shared" si="44"/>
        <v/>
      </c>
      <c r="E494" s="190" t="str">
        <f t="shared" si="45"/>
        <v/>
      </c>
      <c r="F494" s="196" t="str">
        <f t="shared" si="42"/>
        <v/>
      </c>
      <c r="G494" s="190" t="str">
        <f t="shared" si="46"/>
        <v/>
      </c>
      <c r="H494" s="503" t="str">
        <f t="shared" si="47"/>
        <v/>
      </c>
      <c r="I494" s="49"/>
    </row>
    <row r="495" spans="2:9" ht="20.100000000000001" customHeight="1" x14ac:dyDescent="0.3">
      <c r="B495" s="198">
        <v>487</v>
      </c>
      <c r="C495" s="501" t="str">
        <f t="shared" si="43"/>
        <v/>
      </c>
      <c r="D495" s="502" t="str">
        <f t="shared" si="44"/>
        <v/>
      </c>
      <c r="E495" s="190" t="str">
        <f t="shared" si="45"/>
        <v/>
      </c>
      <c r="F495" s="196" t="str">
        <f t="shared" si="42"/>
        <v/>
      </c>
      <c r="G495" s="190" t="str">
        <f t="shared" si="46"/>
        <v/>
      </c>
      <c r="H495" s="503" t="str">
        <f t="shared" si="47"/>
        <v/>
      </c>
      <c r="I495" s="49"/>
    </row>
    <row r="496" spans="2:9" ht="20.100000000000001" customHeight="1" x14ac:dyDescent="0.3">
      <c r="B496" s="198">
        <v>488</v>
      </c>
      <c r="C496" s="501" t="str">
        <f t="shared" si="43"/>
        <v/>
      </c>
      <c r="D496" s="502" t="str">
        <f t="shared" si="44"/>
        <v/>
      </c>
      <c r="E496" s="190" t="str">
        <f t="shared" si="45"/>
        <v/>
      </c>
      <c r="F496" s="196" t="str">
        <f t="shared" si="42"/>
        <v/>
      </c>
      <c r="G496" s="190" t="str">
        <f t="shared" si="46"/>
        <v/>
      </c>
      <c r="H496" s="503" t="str">
        <f t="shared" si="47"/>
        <v/>
      </c>
      <c r="I496" s="49"/>
    </row>
    <row r="497" spans="2:9" ht="20.100000000000001" customHeight="1" x14ac:dyDescent="0.3">
      <c r="B497" s="198">
        <v>489</v>
      </c>
      <c r="C497" s="501" t="str">
        <f t="shared" si="43"/>
        <v/>
      </c>
      <c r="D497" s="502" t="str">
        <f t="shared" si="44"/>
        <v/>
      </c>
      <c r="E497" s="190" t="str">
        <f t="shared" si="45"/>
        <v/>
      </c>
      <c r="F497" s="196" t="str">
        <f t="shared" si="42"/>
        <v/>
      </c>
      <c r="G497" s="190" t="str">
        <f t="shared" si="46"/>
        <v/>
      </c>
      <c r="H497" s="503" t="str">
        <f t="shared" si="47"/>
        <v/>
      </c>
      <c r="I497" s="49"/>
    </row>
    <row r="498" spans="2:9" ht="20.100000000000001" customHeight="1" x14ac:dyDescent="0.3">
      <c r="B498" s="198">
        <v>490</v>
      </c>
      <c r="C498" s="501" t="str">
        <f t="shared" si="43"/>
        <v/>
      </c>
      <c r="D498" s="502" t="str">
        <f t="shared" si="44"/>
        <v/>
      </c>
      <c r="E498" s="190" t="str">
        <f t="shared" si="45"/>
        <v/>
      </c>
      <c r="F498" s="196" t="str">
        <f t="shared" si="42"/>
        <v/>
      </c>
      <c r="G498" s="190" t="str">
        <f t="shared" si="46"/>
        <v/>
      </c>
      <c r="H498" s="503" t="str">
        <f t="shared" si="47"/>
        <v/>
      </c>
      <c r="I498" s="49"/>
    </row>
    <row r="499" spans="2:9" ht="20.100000000000001" customHeight="1" x14ac:dyDescent="0.3">
      <c r="B499" s="198">
        <v>491</v>
      </c>
      <c r="C499" s="501" t="str">
        <f t="shared" si="43"/>
        <v/>
      </c>
      <c r="D499" s="502" t="str">
        <f t="shared" si="44"/>
        <v/>
      </c>
      <c r="E499" s="190" t="str">
        <f t="shared" si="45"/>
        <v/>
      </c>
      <c r="F499" s="196" t="str">
        <f t="shared" si="42"/>
        <v/>
      </c>
      <c r="G499" s="190" t="str">
        <f t="shared" si="46"/>
        <v/>
      </c>
      <c r="H499" s="503" t="str">
        <f t="shared" si="47"/>
        <v/>
      </c>
      <c r="I499" s="49"/>
    </row>
    <row r="500" spans="2:9" ht="20.100000000000001" customHeight="1" x14ac:dyDescent="0.3">
      <c r="B500" s="198">
        <v>492</v>
      </c>
      <c r="C500" s="501" t="str">
        <f t="shared" si="43"/>
        <v/>
      </c>
      <c r="D500" s="502" t="str">
        <f t="shared" si="44"/>
        <v/>
      </c>
      <c r="E500" s="190" t="str">
        <f t="shared" si="45"/>
        <v/>
      </c>
      <c r="F500" s="196" t="str">
        <f t="shared" si="42"/>
        <v/>
      </c>
      <c r="G500" s="190" t="str">
        <f t="shared" si="46"/>
        <v/>
      </c>
      <c r="H500" s="503" t="str">
        <f t="shared" si="47"/>
        <v/>
      </c>
      <c r="I500" s="49"/>
    </row>
    <row r="501" spans="2:9" ht="20.100000000000001" customHeight="1" x14ac:dyDescent="0.3">
      <c r="B501" s="198">
        <v>493</v>
      </c>
      <c r="C501" s="501" t="str">
        <f t="shared" si="43"/>
        <v/>
      </c>
      <c r="D501" s="502" t="str">
        <f t="shared" si="44"/>
        <v/>
      </c>
      <c r="E501" s="190" t="str">
        <f t="shared" si="45"/>
        <v/>
      </c>
      <c r="F501" s="196" t="str">
        <f t="shared" si="42"/>
        <v/>
      </c>
      <c r="G501" s="190" t="str">
        <f t="shared" si="46"/>
        <v/>
      </c>
      <c r="H501" s="503" t="str">
        <f t="shared" si="47"/>
        <v/>
      </c>
      <c r="I501" s="49"/>
    </row>
    <row r="502" spans="2:9" ht="20.100000000000001" customHeight="1" x14ac:dyDescent="0.3">
      <c r="B502" s="198">
        <v>494</v>
      </c>
      <c r="C502" s="501" t="str">
        <f t="shared" si="43"/>
        <v/>
      </c>
      <c r="D502" s="502" t="str">
        <f t="shared" si="44"/>
        <v/>
      </c>
      <c r="E502" s="190" t="str">
        <f t="shared" si="45"/>
        <v/>
      </c>
      <c r="F502" s="196" t="str">
        <f t="shared" si="42"/>
        <v/>
      </c>
      <c r="G502" s="190" t="str">
        <f t="shared" si="46"/>
        <v/>
      </c>
      <c r="H502" s="503" t="str">
        <f t="shared" si="47"/>
        <v/>
      </c>
      <c r="I502" s="49"/>
    </row>
    <row r="503" spans="2:9" ht="20.100000000000001" customHeight="1" x14ac:dyDescent="0.3">
      <c r="B503" s="198">
        <v>495</v>
      </c>
      <c r="C503" s="501" t="str">
        <f t="shared" si="43"/>
        <v/>
      </c>
      <c r="D503" s="502" t="str">
        <f t="shared" si="44"/>
        <v/>
      </c>
      <c r="E503" s="190" t="str">
        <f t="shared" si="45"/>
        <v/>
      </c>
      <c r="F503" s="196" t="str">
        <f t="shared" si="42"/>
        <v/>
      </c>
      <c r="G503" s="190" t="str">
        <f t="shared" si="46"/>
        <v/>
      </c>
      <c r="H503" s="503" t="str">
        <f t="shared" si="47"/>
        <v/>
      </c>
      <c r="I503" s="49"/>
    </row>
    <row r="504" spans="2:9" ht="20.100000000000001" customHeight="1" x14ac:dyDescent="0.3">
      <c r="B504" s="198">
        <v>496</v>
      </c>
      <c r="C504" s="501" t="str">
        <f t="shared" si="43"/>
        <v/>
      </c>
      <c r="D504" s="502" t="str">
        <f t="shared" si="44"/>
        <v/>
      </c>
      <c r="E504" s="190" t="str">
        <f t="shared" si="45"/>
        <v/>
      </c>
      <c r="F504" s="196" t="str">
        <f t="shared" si="42"/>
        <v/>
      </c>
      <c r="G504" s="190" t="str">
        <f t="shared" si="46"/>
        <v/>
      </c>
      <c r="H504" s="503" t="str">
        <f t="shared" si="47"/>
        <v/>
      </c>
      <c r="I504" s="49"/>
    </row>
    <row r="505" spans="2:9" ht="20.100000000000001" customHeight="1" x14ac:dyDescent="0.3">
      <c r="B505" s="198">
        <v>497</v>
      </c>
      <c r="C505" s="501" t="str">
        <f t="shared" si="43"/>
        <v/>
      </c>
      <c r="D505" s="502" t="str">
        <f t="shared" si="44"/>
        <v/>
      </c>
      <c r="E505" s="190" t="str">
        <f t="shared" si="45"/>
        <v/>
      </c>
      <c r="F505" s="196" t="str">
        <f t="shared" si="42"/>
        <v/>
      </c>
      <c r="G505" s="190" t="str">
        <f t="shared" si="46"/>
        <v/>
      </c>
      <c r="H505" s="503" t="str">
        <f t="shared" si="47"/>
        <v/>
      </c>
      <c r="I505" s="49"/>
    </row>
    <row r="506" spans="2:9" ht="20.100000000000001" customHeight="1" x14ac:dyDescent="0.3">
      <c r="B506" s="198">
        <v>498</v>
      </c>
      <c r="C506" s="501" t="str">
        <f t="shared" si="43"/>
        <v/>
      </c>
      <c r="D506" s="502" t="str">
        <f t="shared" si="44"/>
        <v/>
      </c>
      <c r="E506" s="190" t="str">
        <f t="shared" si="45"/>
        <v/>
      </c>
      <c r="F506" s="196" t="str">
        <f t="shared" si="42"/>
        <v/>
      </c>
      <c r="G506" s="190" t="str">
        <f t="shared" si="46"/>
        <v/>
      </c>
      <c r="H506" s="503" t="str">
        <f t="shared" si="47"/>
        <v/>
      </c>
      <c r="I506" s="49"/>
    </row>
    <row r="507" spans="2:9" ht="20.100000000000001" customHeight="1" x14ac:dyDescent="0.3">
      <c r="B507" s="198">
        <v>499</v>
      </c>
      <c r="C507" s="501" t="str">
        <f t="shared" si="43"/>
        <v/>
      </c>
      <c r="D507" s="502" t="str">
        <f t="shared" si="44"/>
        <v/>
      </c>
      <c r="E507" s="190" t="str">
        <f t="shared" si="45"/>
        <v/>
      </c>
      <c r="F507" s="196" t="str">
        <f t="shared" si="42"/>
        <v/>
      </c>
      <c r="G507" s="190" t="str">
        <f t="shared" si="46"/>
        <v/>
      </c>
      <c r="H507" s="503" t="str">
        <f t="shared" si="47"/>
        <v/>
      </c>
      <c r="I507" s="49"/>
    </row>
    <row r="508" spans="2:9" ht="20.100000000000001" customHeight="1" x14ac:dyDescent="0.3">
      <c r="B508" s="198">
        <v>500</v>
      </c>
      <c r="C508" s="501" t="str">
        <f t="shared" si="43"/>
        <v/>
      </c>
      <c r="D508" s="502" t="str">
        <f t="shared" si="44"/>
        <v/>
      </c>
      <c r="E508" s="190" t="str">
        <f t="shared" si="45"/>
        <v/>
      </c>
      <c r="F508" s="196" t="str">
        <f t="shared" si="42"/>
        <v/>
      </c>
      <c r="G508" s="190" t="str">
        <f t="shared" si="46"/>
        <v/>
      </c>
      <c r="H508" s="503" t="str">
        <f t="shared" si="47"/>
        <v/>
      </c>
      <c r="I508" s="49"/>
    </row>
    <row r="509" spans="2:9" ht="20.100000000000001" customHeight="1" x14ac:dyDescent="0.3">
      <c r="B509" s="198">
        <v>501</v>
      </c>
      <c r="C509" s="501" t="str">
        <f t="shared" si="43"/>
        <v/>
      </c>
      <c r="D509" s="502" t="str">
        <f t="shared" si="44"/>
        <v/>
      </c>
      <c r="E509" s="190" t="str">
        <f t="shared" si="45"/>
        <v/>
      </c>
      <c r="F509" s="196" t="str">
        <f t="shared" si="42"/>
        <v/>
      </c>
      <c r="G509" s="190" t="str">
        <f t="shared" si="46"/>
        <v/>
      </c>
      <c r="H509" s="503" t="str">
        <f t="shared" si="47"/>
        <v/>
      </c>
      <c r="I509" s="49"/>
    </row>
    <row r="510" spans="2:9" ht="20.100000000000001" customHeight="1" x14ac:dyDescent="0.3">
      <c r="B510" s="198">
        <v>502</v>
      </c>
      <c r="C510" s="501" t="str">
        <f t="shared" si="43"/>
        <v/>
      </c>
      <c r="D510" s="502" t="str">
        <f t="shared" si="44"/>
        <v/>
      </c>
      <c r="E510" s="190" t="str">
        <f t="shared" si="45"/>
        <v/>
      </c>
      <c r="F510" s="196" t="str">
        <f t="shared" si="42"/>
        <v/>
      </c>
      <c r="G510" s="190" t="str">
        <f t="shared" si="46"/>
        <v/>
      </c>
      <c r="H510" s="503" t="str">
        <f t="shared" si="47"/>
        <v/>
      </c>
      <c r="I510" s="49"/>
    </row>
    <row r="511" spans="2:9" ht="20.100000000000001" customHeight="1" x14ac:dyDescent="0.3">
      <c r="B511" s="198">
        <v>503</v>
      </c>
      <c r="C511" s="501" t="str">
        <f t="shared" si="43"/>
        <v/>
      </c>
      <c r="D511" s="502" t="str">
        <f t="shared" si="44"/>
        <v/>
      </c>
      <c r="E511" s="190" t="str">
        <f t="shared" si="45"/>
        <v/>
      </c>
      <c r="F511" s="196" t="str">
        <f t="shared" si="42"/>
        <v/>
      </c>
      <c r="G511" s="190" t="str">
        <f t="shared" si="46"/>
        <v/>
      </c>
      <c r="H511" s="503" t="str">
        <f t="shared" si="47"/>
        <v/>
      </c>
      <c r="I511" s="49"/>
    </row>
    <row r="512" spans="2:9" ht="20.100000000000001" customHeight="1" x14ac:dyDescent="0.3">
      <c r="B512" s="198">
        <v>504</v>
      </c>
      <c r="C512" s="501" t="str">
        <f t="shared" si="43"/>
        <v/>
      </c>
      <c r="D512" s="502" t="str">
        <f t="shared" si="44"/>
        <v/>
      </c>
      <c r="E512" s="190" t="str">
        <f t="shared" si="45"/>
        <v/>
      </c>
      <c r="F512" s="196" t="str">
        <f t="shared" si="42"/>
        <v/>
      </c>
      <c r="G512" s="190" t="str">
        <f t="shared" si="46"/>
        <v/>
      </c>
      <c r="H512" s="503" t="str">
        <f t="shared" si="47"/>
        <v/>
      </c>
      <c r="I512" s="49"/>
    </row>
    <row r="513" spans="2:9" ht="20.100000000000001" customHeight="1" x14ac:dyDescent="0.3">
      <c r="B513" s="198">
        <v>505</v>
      </c>
      <c r="C513" s="501" t="str">
        <f t="shared" si="43"/>
        <v/>
      </c>
      <c r="D513" s="502" t="str">
        <f t="shared" si="44"/>
        <v/>
      </c>
      <c r="E513" s="190" t="str">
        <f t="shared" si="45"/>
        <v/>
      </c>
      <c r="F513" s="196" t="str">
        <f t="shared" si="42"/>
        <v/>
      </c>
      <c r="G513" s="190" t="str">
        <f t="shared" si="46"/>
        <v/>
      </c>
      <c r="H513" s="503" t="str">
        <f t="shared" si="47"/>
        <v/>
      </c>
      <c r="I513" s="49"/>
    </row>
    <row r="514" spans="2:9" ht="20.100000000000001" customHeight="1" x14ac:dyDescent="0.3">
      <c r="B514" s="198">
        <v>506</v>
      </c>
      <c r="C514" s="501" t="str">
        <f t="shared" si="43"/>
        <v/>
      </c>
      <c r="D514" s="502" t="str">
        <f t="shared" si="44"/>
        <v/>
      </c>
      <c r="E514" s="190" t="str">
        <f t="shared" si="45"/>
        <v/>
      </c>
      <c r="F514" s="196" t="str">
        <f t="shared" si="42"/>
        <v/>
      </c>
      <c r="G514" s="190" t="str">
        <f t="shared" si="46"/>
        <v/>
      </c>
      <c r="H514" s="503" t="str">
        <f t="shared" si="47"/>
        <v/>
      </c>
      <c r="I514" s="49"/>
    </row>
    <row r="515" spans="2:9" ht="20.100000000000001" customHeight="1" x14ac:dyDescent="0.3">
      <c r="B515" s="198">
        <v>507</v>
      </c>
      <c r="C515" s="501" t="str">
        <f t="shared" si="43"/>
        <v/>
      </c>
      <c r="D515" s="502" t="str">
        <f t="shared" si="44"/>
        <v/>
      </c>
      <c r="E515" s="190" t="str">
        <f t="shared" si="45"/>
        <v/>
      </c>
      <c r="F515" s="196" t="str">
        <f t="shared" si="42"/>
        <v/>
      </c>
      <c r="G515" s="190" t="str">
        <f t="shared" si="46"/>
        <v/>
      </c>
      <c r="H515" s="503" t="str">
        <f t="shared" si="47"/>
        <v/>
      </c>
      <c r="I515" s="49"/>
    </row>
    <row r="516" spans="2:9" ht="20.100000000000001" customHeight="1" x14ac:dyDescent="0.3">
      <c r="B516" s="198">
        <v>508</v>
      </c>
      <c r="C516" s="501" t="str">
        <f t="shared" si="43"/>
        <v/>
      </c>
      <c r="D516" s="502" t="str">
        <f t="shared" si="44"/>
        <v/>
      </c>
      <c r="E516" s="190" t="str">
        <f t="shared" si="45"/>
        <v/>
      </c>
      <c r="F516" s="196" t="str">
        <f t="shared" si="42"/>
        <v/>
      </c>
      <c r="G516" s="190" t="str">
        <f t="shared" si="46"/>
        <v/>
      </c>
      <c r="H516" s="503" t="str">
        <f t="shared" si="47"/>
        <v/>
      </c>
      <c r="I516" s="49"/>
    </row>
    <row r="517" spans="2:9" ht="20.100000000000001" customHeight="1" x14ac:dyDescent="0.3">
      <c r="B517" s="198">
        <v>509</v>
      </c>
      <c r="C517" s="501" t="str">
        <f t="shared" si="43"/>
        <v/>
      </c>
      <c r="D517" s="502" t="str">
        <f t="shared" si="44"/>
        <v/>
      </c>
      <c r="E517" s="190" t="str">
        <f t="shared" si="45"/>
        <v/>
      </c>
      <c r="F517" s="196" t="str">
        <f t="shared" si="42"/>
        <v/>
      </c>
      <c r="G517" s="190" t="str">
        <f t="shared" si="46"/>
        <v/>
      </c>
      <c r="H517" s="503" t="str">
        <f t="shared" si="47"/>
        <v/>
      </c>
      <c r="I517" s="49"/>
    </row>
    <row r="518" spans="2:9" ht="20.100000000000001" customHeight="1" x14ac:dyDescent="0.3">
      <c r="B518" s="198">
        <v>510</v>
      </c>
      <c r="C518" s="501" t="str">
        <f t="shared" si="43"/>
        <v/>
      </c>
      <c r="D518" s="502" t="str">
        <f t="shared" si="44"/>
        <v/>
      </c>
      <c r="E518" s="190" t="str">
        <f t="shared" si="45"/>
        <v/>
      </c>
      <c r="F518" s="196" t="str">
        <f t="shared" si="42"/>
        <v/>
      </c>
      <c r="G518" s="190" t="str">
        <f t="shared" si="46"/>
        <v/>
      </c>
      <c r="H518" s="503" t="str">
        <f t="shared" si="47"/>
        <v/>
      </c>
      <c r="I518" s="49"/>
    </row>
    <row r="519" spans="2:9" ht="20.100000000000001" customHeight="1" x14ac:dyDescent="0.3">
      <c r="B519" s="198">
        <v>511</v>
      </c>
      <c r="C519" s="501" t="str">
        <f t="shared" si="43"/>
        <v/>
      </c>
      <c r="D519" s="502" t="str">
        <f t="shared" si="44"/>
        <v/>
      </c>
      <c r="E519" s="190" t="str">
        <f t="shared" si="45"/>
        <v/>
      </c>
      <c r="F519" s="196" t="str">
        <f t="shared" si="42"/>
        <v/>
      </c>
      <c r="G519" s="190" t="str">
        <f t="shared" si="46"/>
        <v/>
      </c>
      <c r="H519" s="503" t="str">
        <f t="shared" si="47"/>
        <v/>
      </c>
      <c r="I519" s="49"/>
    </row>
    <row r="520" spans="2:9" ht="20.100000000000001" customHeight="1" x14ac:dyDescent="0.3">
      <c r="B520" s="198">
        <v>512</v>
      </c>
      <c r="C520" s="501" t="str">
        <f t="shared" si="43"/>
        <v/>
      </c>
      <c r="D520" s="502" t="str">
        <f t="shared" si="44"/>
        <v/>
      </c>
      <c r="E520" s="190" t="str">
        <f t="shared" si="45"/>
        <v/>
      </c>
      <c r="F520" s="196" t="str">
        <f t="shared" si="42"/>
        <v/>
      </c>
      <c r="G520" s="190" t="str">
        <f t="shared" si="46"/>
        <v/>
      </c>
      <c r="H520" s="503" t="str">
        <f t="shared" si="47"/>
        <v/>
      </c>
      <c r="I520" s="49"/>
    </row>
    <row r="521" spans="2:9" ht="20.100000000000001" customHeight="1" x14ac:dyDescent="0.3">
      <c r="B521" s="198">
        <v>513</v>
      </c>
      <c r="C521" s="501" t="str">
        <f t="shared" si="43"/>
        <v/>
      </c>
      <c r="D521" s="502" t="str">
        <f t="shared" si="44"/>
        <v/>
      </c>
      <c r="E521" s="190" t="str">
        <f t="shared" si="45"/>
        <v/>
      </c>
      <c r="F521" s="196" t="str">
        <f t="shared" si="42"/>
        <v/>
      </c>
      <c r="G521" s="190" t="str">
        <f t="shared" si="46"/>
        <v/>
      </c>
      <c r="H521" s="503" t="str">
        <f t="shared" si="47"/>
        <v/>
      </c>
      <c r="I521" s="49"/>
    </row>
    <row r="522" spans="2:9" ht="20.100000000000001" customHeight="1" x14ac:dyDescent="0.3">
      <c r="B522" s="198">
        <v>514</v>
      </c>
      <c r="C522" s="501" t="str">
        <f t="shared" si="43"/>
        <v/>
      </c>
      <c r="D522" s="502" t="str">
        <f t="shared" si="44"/>
        <v/>
      </c>
      <c r="E522" s="190" t="str">
        <f t="shared" si="45"/>
        <v/>
      </c>
      <c r="F522" s="196" t="str">
        <f t="shared" ref="F522:F585" si="48">IF($H$4="","",IF($F$4="원리금균등상환",IFERROR(D522+E522,""),IF($F$4="원금균등상환",D522+E522,"")))</f>
        <v/>
      </c>
      <c r="G522" s="190" t="str">
        <f t="shared" si="46"/>
        <v/>
      </c>
      <c r="H522" s="503" t="str">
        <f t="shared" si="47"/>
        <v/>
      </c>
      <c r="I522" s="49"/>
    </row>
    <row r="523" spans="2:9" ht="20.100000000000001" customHeight="1" x14ac:dyDescent="0.3">
      <c r="B523" s="198">
        <v>515</v>
      </c>
      <c r="C523" s="501" t="str">
        <f t="shared" ref="C523:C586" si="49">IF($H$4="","",IF(B523&gt;($B$6),"",IF(B523&lt;=($B$6),DATE(YEAR($G$4),MONTH($G$4)+B522,DAY($G$4)),"")))</f>
        <v/>
      </c>
      <c r="D523" s="502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190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196" t="str">
        <f t="shared" si="48"/>
        <v/>
      </c>
      <c r="G523" s="190" t="str">
        <f t="shared" ref="G523:G586" si="52">IFERROR(IF(B523&gt;(($D$6+$B$6)*12),"",IF(B523=1,D523,D523+G522)),"")</f>
        <v/>
      </c>
      <c r="H523" s="503" t="str">
        <f t="shared" ref="H523:H586" si="53">IFERROR(IF($H$4="","",H522-D523),"")</f>
        <v/>
      </c>
      <c r="I523" s="49"/>
    </row>
    <row r="524" spans="2:9" ht="20.100000000000001" customHeight="1" x14ac:dyDescent="0.3">
      <c r="B524" s="198">
        <v>516</v>
      </c>
      <c r="C524" s="501" t="str">
        <f t="shared" si="49"/>
        <v/>
      </c>
      <c r="D524" s="502" t="str">
        <f t="shared" si="50"/>
        <v/>
      </c>
      <c r="E524" s="190" t="str">
        <f t="shared" si="51"/>
        <v/>
      </c>
      <c r="F524" s="196" t="str">
        <f t="shared" si="48"/>
        <v/>
      </c>
      <c r="G524" s="190" t="str">
        <f t="shared" si="52"/>
        <v/>
      </c>
      <c r="H524" s="503" t="str">
        <f t="shared" si="53"/>
        <v/>
      </c>
      <c r="I524" s="49"/>
    </row>
    <row r="525" spans="2:9" ht="20.100000000000001" customHeight="1" x14ac:dyDescent="0.3">
      <c r="B525" s="198">
        <v>517</v>
      </c>
      <c r="C525" s="501" t="str">
        <f t="shared" si="49"/>
        <v/>
      </c>
      <c r="D525" s="502" t="str">
        <f t="shared" si="50"/>
        <v/>
      </c>
      <c r="E525" s="190" t="str">
        <f t="shared" si="51"/>
        <v/>
      </c>
      <c r="F525" s="196" t="str">
        <f t="shared" si="48"/>
        <v/>
      </c>
      <c r="G525" s="190" t="str">
        <f t="shared" si="52"/>
        <v/>
      </c>
      <c r="H525" s="503" t="str">
        <f t="shared" si="53"/>
        <v/>
      </c>
      <c r="I525" s="49"/>
    </row>
    <row r="526" spans="2:9" ht="20.100000000000001" customHeight="1" x14ac:dyDescent="0.3">
      <c r="B526" s="198">
        <v>518</v>
      </c>
      <c r="C526" s="501" t="str">
        <f t="shared" si="49"/>
        <v/>
      </c>
      <c r="D526" s="502" t="str">
        <f t="shared" si="50"/>
        <v/>
      </c>
      <c r="E526" s="190" t="str">
        <f t="shared" si="51"/>
        <v/>
      </c>
      <c r="F526" s="196" t="str">
        <f t="shared" si="48"/>
        <v/>
      </c>
      <c r="G526" s="190" t="str">
        <f t="shared" si="52"/>
        <v/>
      </c>
      <c r="H526" s="503" t="str">
        <f t="shared" si="53"/>
        <v/>
      </c>
      <c r="I526" s="49"/>
    </row>
    <row r="527" spans="2:9" ht="20.100000000000001" customHeight="1" x14ac:dyDescent="0.3">
      <c r="B527" s="198">
        <v>519</v>
      </c>
      <c r="C527" s="501" t="str">
        <f t="shared" si="49"/>
        <v/>
      </c>
      <c r="D527" s="502" t="str">
        <f t="shared" si="50"/>
        <v/>
      </c>
      <c r="E527" s="190" t="str">
        <f t="shared" si="51"/>
        <v/>
      </c>
      <c r="F527" s="196" t="str">
        <f t="shared" si="48"/>
        <v/>
      </c>
      <c r="G527" s="190" t="str">
        <f t="shared" si="52"/>
        <v/>
      </c>
      <c r="H527" s="503" t="str">
        <f t="shared" si="53"/>
        <v/>
      </c>
      <c r="I527" s="49"/>
    </row>
    <row r="528" spans="2:9" ht="20.100000000000001" customHeight="1" x14ac:dyDescent="0.3">
      <c r="B528" s="198">
        <v>520</v>
      </c>
      <c r="C528" s="501" t="str">
        <f t="shared" si="49"/>
        <v/>
      </c>
      <c r="D528" s="502" t="str">
        <f t="shared" si="50"/>
        <v/>
      </c>
      <c r="E528" s="190" t="str">
        <f t="shared" si="51"/>
        <v/>
      </c>
      <c r="F528" s="196" t="str">
        <f t="shared" si="48"/>
        <v/>
      </c>
      <c r="G528" s="190" t="str">
        <f t="shared" si="52"/>
        <v/>
      </c>
      <c r="H528" s="503" t="str">
        <f t="shared" si="53"/>
        <v/>
      </c>
      <c r="I528" s="49"/>
    </row>
    <row r="529" spans="2:9" ht="20.100000000000001" customHeight="1" x14ac:dyDescent="0.3">
      <c r="B529" s="198">
        <v>521</v>
      </c>
      <c r="C529" s="501" t="str">
        <f t="shared" si="49"/>
        <v/>
      </c>
      <c r="D529" s="502" t="str">
        <f t="shared" si="50"/>
        <v/>
      </c>
      <c r="E529" s="190" t="str">
        <f t="shared" si="51"/>
        <v/>
      </c>
      <c r="F529" s="196" t="str">
        <f t="shared" si="48"/>
        <v/>
      </c>
      <c r="G529" s="190" t="str">
        <f t="shared" si="52"/>
        <v/>
      </c>
      <c r="H529" s="503" t="str">
        <f t="shared" si="53"/>
        <v/>
      </c>
      <c r="I529" s="49"/>
    </row>
    <row r="530" spans="2:9" ht="20.100000000000001" customHeight="1" x14ac:dyDescent="0.3">
      <c r="B530" s="198">
        <v>522</v>
      </c>
      <c r="C530" s="501" t="str">
        <f t="shared" si="49"/>
        <v/>
      </c>
      <c r="D530" s="502" t="str">
        <f t="shared" si="50"/>
        <v/>
      </c>
      <c r="E530" s="190" t="str">
        <f t="shared" si="51"/>
        <v/>
      </c>
      <c r="F530" s="196" t="str">
        <f t="shared" si="48"/>
        <v/>
      </c>
      <c r="G530" s="190" t="str">
        <f t="shared" si="52"/>
        <v/>
      </c>
      <c r="H530" s="503" t="str">
        <f t="shared" si="53"/>
        <v/>
      </c>
      <c r="I530" s="49"/>
    </row>
    <row r="531" spans="2:9" ht="20.100000000000001" customHeight="1" x14ac:dyDescent="0.3">
      <c r="B531" s="198">
        <v>523</v>
      </c>
      <c r="C531" s="501" t="str">
        <f t="shared" si="49"/>
        <v/>
      </c>
      <c r="D531" s="502" t="str">
        <f t="shared" si="50"/>
        <v/>
      </c>
      <c r="E531" s="190" t="str">
        <f t="shared" si="51"/>
        <v/>
      </c>
      <c r="F531" s="196" t="str">
        <f t="shared" si="48"/>
        <v/>
      </c>
      <c r="G531" s="190" t="str">
        <f t="shared" si="52"/>
        <v/>
      </c>
      <c r="H531" s="503" t="str">
        <f t="shared" si="53"/>
        <v/>
      </c>
      <c r="I531" s="49"/>
    </row>
    <row r="532" spans="2:9" ht="20.100000000000001" customHeight="1" x14ac:dyDescent="0.3">
      <c r="B532" s="198">
        <v>524</v>
      </c>
      <c r="C532" s="501" t="str">
        <f t="shared" si="49"/>
        <v/>
      </c>
      <c r="D532" s="502" t="str">
        <f t="shared" si="50"/>
        <v/>
      </c>
      <c r="E532" s="190" t="str">
        <f t="shared" si="51"/>
        <v/>
      </c>
      <c r="F532" s="196" t="str">
        <f t="shared" si="48"/>
        <v/>
      </c>
      <c r="G532" s="190" t="str">
        <f t="shared" si="52"/>
        <v/>
      </c>
      <c r="H532" s="503" t="str">
        <f t="shared" si="53"/>
        <v/>
      </c>
      <c r="I532" s="49"/>
    </row>
    <row r="533" spans="2:9" ht="20.100000000000001" customHeight="1" x14ac:dyDescent="0.3">
      <c r="B533" s="198">
        <v>525</v>
      </c>
      <c r="C533" s="501" t="str">
        <f t="shared" si="49"/>
        <v/>
      </c>
      <c r="D533" s="502" t="str">
        <f t="shared" si="50"/>
        <v/>
      </c>
      <c r="E533" s="190" t="str">
        <f t="shared" si="51"/>
        <v/>
      </c>
      <c r="F533" s="196" t="str">
        <f t="shared" si="48"/>
        <v/>
      </c>
      <c r="G533" s="190" t="str">
        <f t="shared" si="52"/>
        <v/>
      </c>
      <c r="H533" s="503" t="str">
        <f t="shared" si="53"/>
        <v/>
      </c>
      <c r="I533" s="49"/>
    </row>
    <row r="534" spans="2:9" ht="20.100000000000001" customHeight="1" x14ac:dyDescent="0.3">
      <c r="B534" s="198">
        <v>526</v>
      </c>
      <c r="C534" s="501" t="str">
        <f t="shared" si="49"/>
        <v/>
      </c>
      <c r="D534" s="502" t="str">
        <f t="shared" si="50"/>
        <v/>
      </c>
      <c r="E534" s="190" t="str">
        <f t="shared" si="51"/>
        <v/>
      </c>
      <c r="F534" s="196" t="str">
        <f t="shared" si="48"/>
        <v/>
      </c>
      <c r="G534" s="190" t="str">
        <f t="shared" si="52"/>
        <v/>
      </c>
      <c r="H534" s="503" t="str">
        <f t="shared" si="53"/>
        <v/>
      </c>
      <c r="I534" s="49"/>
    </row>
    <row r="535" spans="2:9" ht="20.100000000000001" customHeight="1" x14ac:dyDescent="0.3">
      <c r="B535" s="198">
        <v>527</v>
      </c>
      <c r="C535" s="501" t="str">
        <f t="shared" si="49"/>
        <v/>
      </c>
      <c r="D535" s="502" t="str">
        <f t="shared" si="50"/>
        <v/>
      </c>
      <c r="E535" s="190" t="str">
        <f t="shared" si="51"/>
        <v/>
      </c>
      <c r="F535" s="196" t="str">
        <f t="shared" si="48"/>
        <v/>
      </c>
      <c r="G535" s="190" t="str">
        <f t="shared" si="52"/>
        <v/>
      </c>
      <c r="H535" s="503" t="str">
        <f t="shared" si="53"/>
        <v/>
      </c>
      <c r="I535" s="49"/>
    </row>
    <row r="536" spans="2:9" ht="20.100000000000001" customHeight="1" x14ac:dyDescent="0.3">
      <c r="B536" s="198">
        <v>528</v>
      </c>
      <c r="C536" s="501" t="str">
        <f t="shared" si="49"/>
        <v/>
      </c>
      <c r="D536" s="502" t="str">
        <f t="shared" si="50"/>
        <v/>
      </c>
      <c r="E536" s="190" t="str">
        <f t="shared" si="51"/>
        <v/>
      </c>
      <c r="F536" s="196" t="str">
        <f t="shared" si="48"/>
        <v/>
      </c>
      <c r="G536" s="190" t="str">
        <f t="shared" si="52"/>
        <v/>
      </c>
      <c r="H536" s="503" t="str">
        <f t="shared" si="53"/>
        <v/>
      </c>
      <c r="I536" s="49"/>
    </row>
    <row r="537" spans="2:9" ht="20.100000000000001" customHeight="1" x14ac:dyDescent="0.3">
      <c r="B537" s="198">
        <v>529</v>
      </c>
      <c r="C537" s="501" t="str">
        <f t="shared" si="49"/>
        <v/>
      </c>
      <c r="D537" s="502" t="str">
        <f t="shared" si="50"/>
        <v/>
      </c>
      <c r="E537" s="190" t="str">
        <f t="shared" si="51"/>
        <v/>
      </c>
      <c r="F537" s="196" t="str">
        <f t="shared" si="48"/>
        <v/>
      </c>
      <c r="G537" s="190" t="str">
        <f t="shared" si="52"/>
        <v/>
      </c>
      <c r="H537" s="503" t="str">
        <f t="shared" si="53"/>
        <v/>
      </c>
      <c r="I537" s="49"/>
    </row>
    <row r="538" spans="2:9" ht="20.100000000000001" customHeight="1" x14ac:dyDescent="0.3">
      <c r="B538" s="198">
        <v>530</v>
      </c>
      <c r="C538" s="501" t="str">
        <f t="shared" si="49"/>
        <v/>
      </c>
      <c r="D538" s="502" t="str">
        <f t="shared" si="50"/>
        <v/>
      </c>
      <c r="E538" s="190" t="str">
        <f t="shared" si="51"/>
        <v/>
      </c>
      <c r="F538" s="196" t="str">
        <f t="shared" si="48"/>
        <v/>
      </c>
      <c r="G538" s="190" t="str">
        <f t="shared" si="52"/>
        <v/>
      </c>
      <c r="H538" s="503" t="str">
        <f t="shared" si="53"/>
        <v/>
      </c>
      <c r="I538" s="49"/>
    </row>
    <row r="539" spans="2:9" ht="20.100000000000001" customHeight="1" x14ac:dyDescent="0.3">
      <c r="B539" s="198">
        <v>531</v>
      </c>
      <c r="C539" s="501" t="str">
        <f t="shared" si="49"/>
        <v/>
      </c>
      <c r="D539" s="502" t="str">
        <f t="shared" si="50"/>
        <v/>
      </c>
      <c r="E539" s="190" t="str">
        <f t="shared" si="51"/>
        <v/>
      </c>
      <c r="F539" s="196" t="str">
        <f t="shared" si="48"/>
        <v/>
      </c>
      <c r="G539" s="190" t="str">
        <f t="shared" si="52"/>
        <v/>
      </c>
      <c r="H539" s="503" t="str">
        <f t="shared" si="53"/>
        <v/>
      </c>
      <c r="I539" s="49"/>
    </row>
    <row r="540" spans="2:9" ht="20.100000000000001" customHeight="1" x14ac:dyDescent="0.3">
      <c r="B540" s="198">
        <v>532</v>
      </c>
      <c r="C540" s="501" t="str">
        <f t="shared" si="49"/>
        <v/>
      </c>
      <c r="D540" s="502" t="str">
        <f t="shared" si="50"/>
        <v/>
      </c>
      <c r="E540" s="190" t="str">
        <f t="shared" si="51"/>
        <v/>
      </c>
      <c r="F540" s="196" t="str">
        <f t="shared" si="48"/>
        <v/>
      </c>
      <c r="G540" s="190" t="str">
        <f t="shared" si="52"/>
        <v/>
      </c>
      <c r="H540" s="503" t="str">
        <f t="shared" si="53"/>
        <v/>
      </c>
      <c r="I540" s="49"/>
    </row>
    <row r="541" spans="2:9" ht="20.100000000000001" customHeight="1" x14ac:dyDescent="0.3">
      <c r="B541" s="198">
        <v>533</v>
      </c>
      <c r="C541" s="501" t="str">
        <f t="shared" si="49"/>
        <v/>
      </c>
      <c r="D541" s="502" t="str">
        <f t="shared" si="50"/>
        <v/>
      </c>
      <c r="E541" s="190" t="str">
        <f t="shared" si="51"/>
        <v/>
      </c>
      <c r="F541" s="196" t="str">
        <f t="shared" si="48"/>
        <v/>
      </c>
      <c r="G541" s="190" t="str">
        <f t="shared" si="52"/>
        <v/>
      </c>
      <c r="H541" s="503" t="str">
        <f t="shared" si="53"/>
        <v/>
      </c>
      <c r="I541" s="49"/>
    </row>
    <row r="542" spans="2:9" ht="20.100000000000001" customHeight="1" x14ac:dyDescent="0.3">
      <c r="B542" s="198">
        <v>534</v>
      </c>
      <c r="C542" s="501" t="str">
        <f t="shared" si="49"/>
        <v/>
      </c>
      <c r="D542" s="502" t="str">
        <f t="shared" si="50"/>
        <v/>
      </c>
      <c r="E542" s="190" t="str">
        <f t="shared" si="51"/>
        <v/>
      </c>
      <c r="F542" s="196" t="str">
        <f t="shared" si="48"/>
        <v/>
      </c>
      <c r="G542" s="190" t="str">
        <f t="shared" si="52"/>
        <v/>
      </c>
      <c r="H542" s="503" t="str">
        <f t="shared" si="53"/>
        <v/>
      </c>
      <c r="I542" s="49"/>
    </row>
    <row r="543" spans="2:9" ht="20.100000000000001" customHeight="1" x14ac:dyDescent="0.3">
      <c r="B543" s="198">
        <v>535</v>
      </c>
      <c r="C543" s="501" t="str">
        <f t="shared" si="49"/>
        <v/>
      </c>
      <c r="D543" s="502" t="str">
        <f t="shared" si="50"/>
        <v/>
      </c>
      <c r="E543" s="190" t="str">
        <f t="shared" si="51"/>
        <v/>
      </c>
      <c r="F543" s="196" t="str">
        <f t="shared" si="48"/>
        <v/>
      </c>
      <c r="G543" s="190" t="str">
        <f t="shared" si="52"/>
        <v/>
      </c>
      <c r="H543" s="503" t="str">
        <f t="shared" si="53"/>
        <v/>
      </c>
      <c r="I543" s="49"/>
    </row>
    <row r="544" spans="2:9" ht="20.100000000000001" customHeight="1" x14ac:dyDescent="0.3">
      <c r="B544" s="198">
        <v>536</v>
      </c>
      <c r="C544" s="501" t="str">
        <f t="shared" si="49"/>
        <v/>
      </c>
      <c r="D544" s="502" t="str">
        <f t="shared" si="50"/>
        <v/>
      </c>
      <c r="E544" s="190" t="str">
        <f t="shared" si="51"/>
        <v/>
      </c>
      <c r="F544" s="196" t="str">
        <f t="shared" si="48"/>
        <v/>
      </c>
      <c r="G544" s="190" t="str">
        <f t="shared" si="52"/>
        <v/>
      </c>
      <c r="H544" s="503" t="str">
        <f t="shared" si="53"/>
        <v/>
      </c>
      <c r="I544" s="49"/>
    </row>
    <row r="545" spans="2:9" ht="20.100000000000001" customHeight="1" x14ac:dyDescent="0.3">
      <c r="B545" s="198">
        <v>537</v>
      </c>
      <c r="C545" s="501" t="str">
        <f t="shared" si="49"/>
        <v/>
      </c>
      <c r="D545" s="502" t="str">
        <f t="shared" si="50"/>
        <v/>
      </c>
      <c r="E545" s="190" t="str">
        <f t="shared" si="51"/>
        <v/>
      </c>
      <c r="F545" s="196" t="str">
        <f t="shared" si="48"/>
        <v/>
      </c>
      <c r="G545" s="190" t="str">
        <f t="shared" si="52"/>
        <v/>
      </c>
      <c r="H545" s="503" t="str">
        <f t="shared" si="53"/>
        <v/>
      </c>
      <c r="I545" s="49"/>
    </row>
    <row r="546" spans="2:9" ht="20.100000000000001" customHeight="1" x14ac:dyDescent="0.3">
      <c r="B546" s="198">
        <v>538</v>
      </c>
      <c r="C546" s="501" t="str">
        <f t="shared" si="49"/>
        <v/>
      </c>
      <c r="D546" s="502" t="str">
        <f t="shared" si="50"/>
        <v/>
      </c>
      <c r="E546" s="190" t="str">
        <f t="shared" si="51"/>
        <v/>
      </c>
      <c r="F546" s="196" t="str">
        <f t="shared" si="48"/>
        <v/>
      </c>
      <c r="G546" s="190" t="str">
        <f t="shared" si="52"/>
        <v/>
      </c>
      <c r="H546" s="503" t="str">
        <f t="shared" si="53"/>
        <v/>
      </c>
      <c r="I546" s="49"/>
    </row>
    <row r="547" spans="2:9" ht="20.100000000000001" customHeight="1" x14ac:dyDescent="0.3">
      <c r="B547" s="198">
        <v>539</v>
      </c>
      <c r="C547" s="501" t="str">
        <f t="shared" si="49"/>
        <v/>
      </c>
      <c r="D547" s="502" t="str">
        <f t="shared" si="50"/>
        <v/>
      </c>
      <c r="E547" s="190" t="str">
        <f t="shared" si="51"/>
        <v/>
      </c>
      <c r="F547" s="196" t="str">
        <f t="shared" si="48"/>
        <v/>
      </c>
      <c r="G547" s="190" t="str">
        <f t="shared" si="52"/>
        <v/>
      </c>
      <c r="H547" s="503" t="str">
        <f t="shared" si="53"/>
        <v/>
      </c>
      <c r="I547" s="49"/>
    </row>
    <row r="548" spans="2:9" ht="20.100000000000001" customHeight="1" x14ac:dyDescent="0.3">
      <c r="B548" s="198">
        <v>540</v>
      </c>
      <c r="C548" s="501" t="str">
        <f t="shared" si="49"/>
        <v/>
      </c>
      <c r="D548" s="502" t="str">
        <f t="shared" si="50"/>
        <v/>
      </c>
      <c r="E548" s="190" t="str">
        <f t="shared" si="51"/>
        <v/>
      </c>
      <c r="F548" s="196" t="str">
        <f t="shared" si="48"/>
        <v/>
      </c>
      <c r="G548" s="190" t="str">
        <f t="shared" si="52"/>
        <v/>
      </c>
      <c r="H548" s="503" t="str">
        <f t="shared" si="53"/>
        <v/>
      </c>
      <c r="I548" s="49"/>
    </row>
    <row r="549" spans="2:9" ht="20.100000000000001" customHeight="1" x14ac:dyDescent="0.3">
      <c r="B549" s="198">
        <v>541</v>
      </c>
      <c r="C549" s="501" t="str">
        <f t="shared" si="49"/>
        <v/>
      </c>
      <c r="D549" s="502" t="str">
        <f t="shared" si="50"/>
        <v/>
      </c>
      <c r="E549" s="190" t="str">
        <f t="shared" si="51"/>
        <v/>
      </c>
      <c r="F549" s="196" t="str">
        <f t="shared" si="48"/>
        <v/>
      </c>
      <c r="G549" s="190" t="str">
        <f t="shared" si="52"/>
        <v/>
      </c>
      <c r="H549" s="503" t="str">
        <f t="shared" si="53"/>
        <v/>
      </c>
      <c r="I549" s="49"/>
    </row>
    <row r="550" spans="2:9" ht="20.100000000000001" customHeight="1" x14ac:dyDescent="0.3">
      <c r="B550" s="198">
        <v>542</v>
      </c>
      <c r="C550" s="501" t="str">
        <f t="shared" si="49"/>
        <v/>
      </c>
      <c r="D550" s="502" t="str">
        <f t="shared" si="50"/>
        <v/>
      </c>
      <c r="E550" s="190" t="str">
        <f t="shared" si="51"/>
        <v/>
      </c>
      <c r="F550" s="196" t="str">
        <f t="shared" si="48"/>
        <v/>
      </c>
      <c r="G550" s="190" t="str">
        <f t="shared" si="52"/>
        <v/>
      </c>
      <c r="H550" s="503" t="str">
        <f t="shared" si="53"/>
        <v/>
      </c>
      <c r="I550" s="49"/>
    </row>
    <row r="551" spans="2:9" ht="20.100000000000001" customHeight="1" x14ac:dyDescent="0.3">
      <c r="B551" s="198">
        <v>543</v>
      </c>
      <c r="C551" s="501" t="str">
        <f t="shared" si="49"/>
        <v/>
      </c>
      <c r="D551" s="502" t="str">
        <f t="shared" si="50"/>
        <v/>
      </c>
      <c r="E551" s="190" t="str">
        <f t="shared" si="51"/>
        <v/>
      </c>
      <c r="F551" s="196" t="str">
        <f t="shared" si="48"/>
        <v/>
      </c>
      <c r="G551" s="190" t="str">
        <f t="shared" si="52"/>
        <v/>
      </c>
      <c r="H551" s="503" t="str">
        <f t="shared" si="53"/>
        <v/>
      </c>
      <c r="I551" s="49"/>
    </row>
    <row r="552" spans="2:9" ht="20.100000000000001" customHeight="1" x14ac:dyDescent="0.3">
      <c r="B552" s="198">
        <v>544</v>
      </c>
      <c r="C552" s="501" t="str">
        <f t="shared" si="49"/>
        <v/>
      </c>
      <c r="D552" s="502" t="str">
        <f t="shared" si="50"/>
        <v/>
      </c>
      <c r="E552" s="190" t="str">
        <f t="shared" si="51"/>
        <v/>
      </c>
      <c r="F552" s="196" t="str">
        <f t="shared" si="48"/>
        <v/>
      </c>
      <c r="G552" s="190" t="str">
        <f t="shared" si="52"/>
        <v/>
      </c>
      <c r="H552" s="503" t="str">
        <f t="shared" si="53"/>
        <v/>
      </c>
      <c r="I552" s="49"/>
    </row>
    <row r="553" spans="2:9" ht="20.100000000000001" customHeight="1" x14ac:dyDescent="0.3">
      <c r="B553" s="198">
        <v>545</v>
      </c>
      <c r="C553" s="501" t="str">
        <f t="shared" si="49"/>
        <v/>
      </c>
      <c r="D553" s="502" t="str">
        <f t="shared" si="50"/>
        <v/>
      </c>
      <c r="E553" s="190" t="str">
        <f t="shared" si="51"/>
        <v/>
      </c>
      <c r="F553" s="196" t="str">
        <f t="shared" si="48"/>
        <v/>
      </c>
      <c r="G553" s="190" t="str">
        <f t="shared" si="52"/>
        <v/>
      </c>
      <c r="H553" s="503" t="str">
        <f t="shared" si="53"/>
        <v/>
      </c>
      <c r="I553" s="49"/>
    </row>
    <row r="554" spans="2:9" ht="20.100000000000001" customHeight="1" x14ac:dyDescent="0.3">
      <c r="B554" s="198">
        <v>546</v>
      </c>
      <c r="C554" s="501" t="str">
        <f t="shared" si="49"/>
        <v/>
      </c>
      <c r="D554" s="502" t="str">
        <f t="shared" si="50"/>
        <v/>
      </c>
      <c r="E554" s="190" t="str">
        <f t="shared" si="51"/>
        <v/>
      </c>
      <c r="F554" s="196" t="str">
        <f t="shared" si="48"/>
        <v/>
      </c>
      <c r="G554" s="190" t="str">
        <f t="shared" si="52"/>
        <v/>
      </c>
      <c r="H554" s="503" t="str">
        <f t="shared" si="53"/>
        <v/>
      </c>
      <c r="I554" s="49"/>
    </row>
    <row r="555" spans="2:9" ht="20.100000000000001" customHeight="1" x14ac:dyDescent="0.3">
      <c r="B555" s="198">
        <v>547</v>
      </c>
      <c r="C555" s="501" t="str">
        <f t="shared" si="49"/>
        <v/>
      </c>
      <c r="D555" s="502" t="str">
        <f t="shared" si="50"/>
        <v/>
      </c>
      <c r="E555" s="190" t="str">
        <f t="shared" si="51"/>
        <v/>
      </c>
      <c r="F555" s="196" t="str">
        <f t="shared" si="48"/>
        <v/>
      </c>
      <c r="G555" s="190" t="str">
        <f t="shared" si="52"/>
        <v/>
      </c>
      <c r="H555" s="503" t="str">
        <f t="shared" si="53"/>
        <v/>
      </c>
      <c r="I555" s="49"/>
    </row>
    <row r="556" spans="2:9" ht="20.100000000000001" customHeight="1" x14ac:dyDescent="0.3">
      <c r="B556" s="198">
        <v>548</v>
      </c>
      <c r="C556" s="501" t="str">
        <f t="shared" si="49"/>
        <v/>
      </c>
      <c r="D556" s="502" t="str">
        <f t="shared" si="50"/>
        <v/>
      </c>
      <c r="E556" s="190" t="str">
        <f t="shared" si="51"/>
        <v/>
      </c>
      <c r="F556" s="196" t="str">
        <f t="shared" si="48"/>
        <v/>
      </c>
      <c r="G556" s="190" t="str">
        <f t="shared" si="52"/>
        <v/>
      </c>
      <c r="H556" s="503" t="str">
        <f t="shared" si="53"/>
        <v/>
      </c>
      <c r="I556" s="49"/>
    </row>
    <row r="557" spans="2:9" ht="20.100000000000001" customHeight="1" x14ac:dyDescent="0.3">
      <c r="B557" s="198">
        <v>549</v>
      </c>
      <c r="C557" s="501" t="str">
        <f t="shared" si="49"/>
        <v/>
      </c>
      <c r="D557" s="502" t="str">
        <f t="shared" si="50"/>
        <v/>
      </c>
      <c r="E557" s="190" t="str">
        <f t="shared" si="51"/>
        <v/>
      </c>
      <c r="F557" s="196" t="str">
        <f t="shared" si="48"/>
        <v/>
      </c>
      <c r="G557" s="190" t="str">
        <f t="shared" si="52"/>
        <v/>
      </c>
      <c r="H557" s="503" t="str">
        <f t="shared" si="53"/>
        <v/>
      </c>
      <c r="I557" s="49"/>
    </row>
    <row r="558" spans="2:9" ht="20.100000000000001" customHeight="1" x14ac:dyDescent="0.3">
      <c r="B558" s="198">
        <v>550</v>
      </c>
      <c r="C558" s="501" t="str">
        <f t="shared" si="49"/>
        <v/>
      </c>
      <c r="D558" s="502" t="str">
        <f t="shared" si="50"/>
        <v/>
      </c>
      <c r="E558" s="190" t="str">
        <f t="shared" si="51"/>
        <v/>
      </c>
      <c r="F558" s="196" t="str">
        <f t="shared" si="48"/>
        <v/>
      </c>
      <c r="G558" s="190" t="str">
        <f t="shared" si="52"/>
        <v/>
      </c>
      <c r="H558" s="503" t="str">
        <f t="shared" si="53"/>
        <v/>
      </c>
      <c r="I558" s="49"/>
    </row>
    <row r="559" spans="2:9" ht="20.100000000000001" customHeight="1" x14ac:dyDescent="0.3">
      <c r="B559" s="198">
        <v>551</v>
      </c>
      <c r="C559" s="501" t="str">
        <f t="shared" si="49"/>
        <v/>
      </c>
      <c r="D559" s="502" t="str">
        <f t="shared" si="50"/>
        <v/>
      </c>
      <c r="E559" s="190" t="str">
        <f t="shared" si="51"/>
        <v/>
      </c>
      <c r="F559" s="196" t="str">
        <f t="shared" si="48"/>
        <v/>
      </c>
      <c r="G559" s="190" t="str">
        <f t="shared" si="52"/>
        <v/>
      </c>
      <c r="H559" s="503" t="str">
        <f t="shared" si="53"/>
        <v/>
      </c>
      <c r="I559" s="49"/>
    </row>
    <row r="560" spans="2:9" ht="20.100000000000001" customHeight="1" x14ac:dyDescent="0.3">
      <c r="B560" s="198">
        <v>552</v>
      </c>
      <c r="C560" s="501" t="str">
        <f t="shared" si="49"/>
        <v/>
      </c>
      <c r="D560" s="502" t="str">
        <f t="shared" si="50"/>
        <v/>
      </c>
      <c r="E560" s="190" t="str">
        <f t="shared" si="51"/>
        <v/>
      </c>
      <c r="F560" s="196" t="str">
        <f t="shared" si="48"/>
        <v/>
      </c>
      <c r="G560" s="190" t="str">
        <f t="shared" si="52"/>
        <v/>
      </c>
      <c r="H560" s="503" t="str">
        <f t="shared" si="53"/>
        <v/>
      </c>
      <c r="I560" s="49"/>
    </row>
    <row r="561" spans="2:9" ht="20.100000000000001" customHeight="1" x14ac:dyDescent="0.3">
      <c r="B561" s="198">
        <v>553</v>
      </c>
      <c r="C561" s="501" t="str">
        <f t="shared" si="49"/>
        <v/>
      </c>
      <c r="D561" s="502" t="str">
        <f t="shared" si="50"/>
        <v/>
      </c>
      <c r="E561" s="190" t="str">
        <f t="shared" si="51"/>
        <v/>
      </c>
      <c r="F561" s="196" t="str">
        <f t="shared" si="48"/>
        <v/>
      </c>
      <c r="G561" s="190" t="str">
        <f t="shared" si="52"/>
        <v/>
      </c>
      <c r="H561" s="503" t="str">
        <f t="shared" si="53"/>
        <v/>
      </c>
      <c r="I561" s="49"/>
    </row>
    <row r="562" spans="2:9" ht="20.100000000000001" customHeight="1" x14ac:dyDescent="0.3">
      <c r="B562" s="198">
        <v>554</v>
      </c>
      <c r="C562" s="501" t="str">
        <f t="shared" si="49"/>
        <v/>
      </c>
      <c r="D562" s="502" t="str">
        <f t="shared" si="50"/>
        <v/>
      </c>
      <c r="E562" s="190" t="str">
        <f t="shared" si="51"/>
        <v/>
      </c>
      <c r="F562" s="196" t="str">
        <f t="shared" si="48"/>
        <v/>
      </c>
      <c r="G562" s="190" t="str">
        <f t="shared" si="52"/>
        <v/>
      </c>
      <c r="H562" s="503" t="str">
        <f t="shared" si="53"/>
        <v/>
      </c>
      <c r="I562" s="49"/>
    </row>
    <row r="563" spans="2:9" ht="20.100000000000001" customHeight="1" x14ac:dyDescent="0.3">
      <c r="B563" s="198">
        <v>555</v>
      </c>
      <c r="C563" s="501" t="str">
        <f t="shared" si="49"/>
        <v/>
      </c>
      <c r="D563" s="502" t="str">
        <f t="shared" si="50"/>
        <v/>
      </c>
      <c r="E563" s="190" t="str">
        <f t="shared" si="51"/>
        <v/>
      </c>
      <c r="F563" s="196" t="str">
        <f t="shared" si="48"/>
        <v/>
      </c>
      <c r="G563" s="190" t="str">
        <f t="shared" si="52"/>
        <v/>
      </c>
      <c r="H563" s="503" t="str">
        <f t="shared" si="53"/>
        <v/>
      </c>
      <c r="I563" s="49"/>
    </row>
    <row r="564" spans="2:9" ht="20.100000000000001" customHeight="1" x14ac:dyDescent="0.3">
      <c r="B564" s="198">
        <v>556</v>
      </c>
      <c r="C564" s="501" t="str">
        <f t="shared" si="49"/>
        <v/>
      </c>
      <c r="D564" s="502" t="str">
        <f t="shared" si="50"/>
        <v/>
      </c>
      <c r="E564" s="190" t="str">
        <f t="shared" si="51"/>
        <v/>
      </c>
      <c r="F564" s="196" t="str">
        <f t="shared" si="48"/>
        <v/>
      </c>
      <c r="G564" s="190" t="str">
        <f t="shared" si="52"/>
        <v/>
      </c>
      <c r="H564" s="503" t="str">
        <f t="shared" si="53"/>
        <v/>
      </c>
      <c r="I564" s="49"/>
    </row>
    <row r="565" spans="2:9" ht="20.100000000000001" customHeight="1" x14ac:dyDescent="0.3">
      <c r="B565" s="198">
        <v>557</v>
      </c>
      <c r="C565" s="501" t="str">
        <f t="shared" si="49"/>
        <v/>
      </c>
      <c r="D565" s="502" t="str">
        <f t="shared" si="50"/>
        <v/>
      </c>
      <c r="E565" s="190" t="str">
        <f t="shared" si="51"/>
        <v/>
      </c>
      <c r="F565" s="196" t="str">
        <f t="shared" si="48"/>
        <v/>
      </c>
      <c r="G565" s="190" t="str">
        <f t="shared" si="52"/>
        <v/>
      </c>
      <c r="H565" s="503" t="str">
        <f t="shared" si="53"/>
        <v/>
      </c>
      <c r="I565" s="49"/>
    </row>
    <row r="566" spans="2:9" ht="20.100000000000001" customHeight="1" x14ac:dyDescent="0.3">
      <c r="B566" s="198">
        <v>558</v>
      </c>
      <c r="C566" s="501" t="str">
        <f t="shared" si="49"/>
        <v/>
      </c>
      <c r="D566" s="502" t="str">
        <f t="shared" si="50"/>
        <v/>
      </c>
      <c r="E566" s="190" t="str">
        <f t="shared" si="51"/>
        <v/>
      </c>
      <c r="F566" s="196" t="str">
        <f t="shared" si="48"/>
        <v/>
      </c>
      <c r="G566" s="190" t="str">
        <f t="shared" si="52"/>
        <v/>
      </c>
      <c r="H566" s="503" t="str">
        <f t="shared" si="53"/>
        <v/>
      </c>
      <c r="I566" s="49"/>
    </row>
    <row r="567" spans="2:9" ht="20.100000000000001" customHeight="1" x14ac:dyDescent="0.3">
      <c r="B567" s="198">
        <v>559</v>
      </c>
      <c r="C567" s="501" t="str">
        <f t="shared" si="49"/>
        <v/>
      </c>
      <c r="D567" s="502" t="str">
        <f t="shared" si="50"/>
        <v/>
      </c>
      <c r="E567" s="190" t="str">
        <f t="shared" si="51"/>
        <v/>
      </c>
      <c r="F567" s="196" t="str">
        <f t="shared" si="48"/>
        <v/>
      </c>
      <c r="G567" s="190" t="str">
        <f t="shared" si="52"/>
        <v/>
      </c>
      <c r="H567" s="503" t="str">
        <f t="shared" si="53"/>
        <v/>
      </c>
      <c r="I567" s="49"/>
    </row>
    <row r="568" spans="2:9" ht="20.100000000000001" customHeight="1" x14ac:dyDescent="0.3">
      <c r="B568" s="198">
        <v>560</v>
      </c>
      <c r="C568" s="501" t="str">
        <f t="shared" si="49"/>
        <v/>
      </c>
      <c r="D568" s="502" t="str">
        <f t="shared" si="50"/>
        <v/>
      </c>
      <c r="E568" s="190" t="str">
        <f t="shared" si="51"/>
        <v/>
      </c>
      <c r="F568" s="196" t="str">
        <f t="shared" si="48"/>
        <v/>
      </c>
      <c r="G568" s="190" t="str">
        <f t="shared" si="52"/>
        <v/>
      </c>
      <c r="H568" s="503" t="str">
        <f t="shared" si="53"/>
        <v/>
      </c>
      <c r="I568" s="49"/>
    </row>
    <row r="569" spans="2:9" ht="20.100000000000001" customHeight="1" x14ac:dyDescent="0.3">
      <c r="B569" s="198">
        <v>561</v>
      </c>
      <c r="C569" s="501" t="str">
        <f t="shared" si="49"/>
        <v/>
      </c>
      <c r="D569" s="502" t="str">
        <f t="shared" si="50"/>
        <v/>
      </c>
      <c r="E569" s="190" t="str">
        <f t="shared" si="51"/>
        <v/>
      </c>
      <c r="F569" s="196" t="str">
        <f t="shared" si="48"/>
        <v/>
      </c>
      <c r="G569" s="190" t="str">
        <f t="shared" si="52"/>
        <v/>
      </c>
      <c r="H569" s="503" t="str">
        <f t="shared" si="53"/>
        <v/>
      </c>
      <c r="I569" s="49"/>
    </row>
    <row r="570" spans="2:9" ht="20.100000000000001" customHeight="1" x14ac:dyDescent="0.3">
      <c r="B570" s="198">
        <v>562</v>
      </c>
      <c r="C570" s="501" t="str">
        <f t="shared" si="49"/>
        <v/>
      </c>
      <c r="D570" s="502" t="str">
        <f t="shared" si="50"/>
        <v/>
      </c>
      <c r="E570" s="190" t="str">
        <f t="shared" si="51"/>
        <v/>
      </c>
      <c r="F570" s="196" t="str">
        <f t="shared" si="48"/>
        <v/>
      </c>
      <c r="G570" s="190" t="str">
        <f t="shared" si="52"/>
        <v/>
      </c>
      <c r="H570" s="503" t="str">
        <f t="shared" si="53"/>
        <v/>
      </c>
      <c r="I570" s="49"/>
    </row>
    <row r="571" spans="2:9" ht="20.100000000000001" customHeight="1" x14ac:dyDescent="0.3">
      <c r="B571" s="198">
        <v>563</v>
      </c>
      <c r="C571" s="501" t="str">
        <f t="shared" si="49"/>
        <v/>
      </c>
      <c r="D571" s="502" t="str">
        <f t="shared" si="50"/>
        <v/>
      </c>
      <c r="E571" s="190" t="str">
        <f t="shared" si="51"/>
        <v/>
      </c>
      <c r="F571" s="196" t="str">
        <f t="shared" si="48"/>
        <v/>
      </c>
      <c r="G571" s="190" t="str">
        <f t="shared" si="52"/>
        <v/>
      </c>
      <c r="H571" s="503" t="str">
        <f t="shared" si="53"/>
        <v/>
      </c>
      <c r="I571" s="49"/>
    </row>
    <row r="572" spans="2:9" ht="20.100000000000001" customHeight="1" x14ac:dyDescent="0.3">
      <c r="B572" s="198">
        <v>564</v>
      </c>
      <c r="C572" s="501" t="str">
        <f t="shared" si="49"/>
        <v/>
      </c>
      <c r="D572" s="502" t="str">
        <f t="shared" si="50"/>
        <v/>
      </c>
      <c r="E572" s="190" t="str">
        <f t="shared" si="51"/>
        <v/>
      </c>
      <c r="F572" s="196" t="str">
        <f t="shared" si="48"/>
        <v/>
      </c>
      <c r="G572" s="190" t="str">
        <f t="shared" si="52"/>
        <v/>
      </c>
      <c r="H572" s="503" t="str">
        <f t="shared" si="53"/>
        <v/>
      </c>
      <c r="I572" s="49"/>
    </row>
    <row r="573" spans="2:9" ht="20.100000000000001" customHeight="1" x14ac:dyDescent="0.3">
      <c r="B573" s="198">
        <v>565</v>
      </c>
      <c r="C573" s="501" t="str">
        <f t="shared" si="49"/>
        <v/>
      </c>
      <c r="D573" s="502" t="str">
        <f t="shared" si="50"/>
        <v/>
      </c>
      <c r="E573" s="190" t="str">
        <f t="shared" si="51"/>
        <v/>
      </c>
      <c r="F573" s="196" t="str">
        <f t="shared" si="48"/>
        <v/>
      </c>
      <c r="G573" s="190" t="str">
        <f t="shared" si="52"/>
        <v/>
      </c>
      <c r="H573" s="503" t="str">
        <f t="shared" si="53"/>
        <v/>
      </c>
      <c r="I573" s="49"/>
    </row>
    <row r="574" spans="2:9" ht="20.100000000000001" customHeight="1" x14ac:dyDescent="0.3">
      <c r="B574" s="198">
        <v>566</v>
      </c>
      <c r="C574" s="501" t="str">
        <f t="shared" si="49"/>
        <v/>
      </c>
      <c r="D574" s="502" t="str">
        <f t="shared" si="50"/>
        <v/>
      </c>
      <c r="E574" s="190" t="str">
        <f t="shared" si="51"/>
        <v/>
      </c>
      <c r="F574" s="196" t="str">
        <f t="shared" si="48"/>
        <v/>
      </c>
      <c r="G574" s="190" t="str">
        <f t="shared" si="52"/>
        <v/>
      </c>
      <c r="H574" s="503" t="str">
        <f t="shared" si="53"/>
        <v/>
      </c>
      <c r="I574" s="49"/>
    </row>
    <row r="575" spans="2:9" ht="20.100000000000001" customHeight="1" x14ac:dyDescent="0.3">
      <c r="B575" s="198">
        <v>567</v>
      </c>
      <c r="C575" s="501" t="str">
        <f t="shared" si="49"/>
        <v/>
      </c>
      <c r="D575" s="502" t="str">
        <f t="shared" si="50"/>
        <v/>
      </c>
      <c r="E575" s="190" t="str">
        <f t="shared" si="51"/>
        <v/>
      </c>
      <c r="F575" s="196" t="str">
        <f t="shared" si="48"/>
        <v/>
      </c>
      <c r="G575" s="190" t="str">
        <f t="shared" si="52"/>
        <v/>
      </c>
      <c r="H575" s="503" t="str">
        <f t="shared" si="53"/>
        <v/>
      </c>
      <c r="I575" s="49"/>
    </row>
    <row r="576" spans="2:9" ht="20.100000000000001" customHeight="1" x14ac:dyDescent="0.3">
      <c r="B576" s="198">
        <v>568</v>
      </c>
      <c r="C576" s="501" t="str">
        <f t="shared" si="49"/>
        <v/>
      </c>
      <c r="D576" s="502" t="str">
        <f t="shared" si="50"/>
        <v/>
      </c>
      <c r="E576" s="190" t="str">
        <f t="shared" si="51"/>
        <v/>
      </c>
      <c r="F576" s="196" t="str">
        <f t="shared" si="48"/>
        <v/>
      </c>
      <c r="G576" s="190" t="str">
        <f t="shared" si="52"/>
        <v/>
      </c>
      <c r="H576" s="503" t="str">
        <f t="shared" si="53"/>
        <v/>
      </c>
      <c r="I576" s="49"/>
    </row>
    <row r="577" spans="2:9" ht="20.100000000000001" customHeight="1" x14ac:dyDescent="0.3">
      <c r="B577" s="198">
        <v>569</v>
      </c>
      <c r="C577" s="501" t="str">
        <f t="shared" si="49"/>
        <v/>
      </c>
      <c r="D577" s="502" t="str">
        <f t="shared" si="50"/>
        <v/>
      </c>
      <c r="E577" s="190" t="str">
        <f t="shared" si="51"/>
        <v/>
      </c>
      <c r="F577" s="196" t="str">
        <f t="shared" si="48"/>
        <v/>
      </c>
      <c r="G577" s="190" t="str">
        <f t="shared" si="52"/>
        <v/>
      </c>
      <c r="H577" s="503" t="str">
        <f t="shared" si="53"/>
        <v/>
      </c>
      <c r="I577" s="49"/>
    </row>
    <row r="578" spans="2:9" ht="20.100000000000001" customHeight="1" x14ac:dyDescent="0.3">
      <c r="B578" s="198">
        <v>570</v>
      </c>
      <c r="C578" s="501" t="str">
        <f t="shared" si="49"/>
        <v/>
      </c>
      <c r="D578" s="502" t="str">
        <f t="shared" si="50"/>
        <v/>
      </c>
      <c r="E578" s="190" t="str">
        <f t="shared" si="51"/>
        <v/>
      </c>
      <c r="F578" s="196" t="str">
        <f t="shared" si="48"/>
        <v/>
      </c>
      <c r="G578" s="190" t="str">
        <f t="shared" si="52"/>
        <v/>
      </c>
      <c r="H578" s="503" t="str">
        <f t="shared" si="53"/>
        <v/>
      </c>
      <c r="I578" s="49"/>
    </row>
    <row r="579" spans="2:9" ht="20.100000000000001" customHeight="1" x14ac:dyDescent="0.3">
      <c r="B579" s="198">
        <v>571</v>
      </c>
      <c r="C579" s="501" t="str">
        <f t="shared" si="49"/>
        <v/>
      </c>
      <c r="D579" s="502" t="str">
        <f t="shared" si="50"/>
        <v/>
      </c>
      <c r="E579" s="190" t="str">
        <f t="shared" si="51"/>
        <v/>
      </c>
      <c r="F579" s="196" t="str">
        <f t="shared" si="48"/>
        <v/>
      </c>
      <c r="G579" s="190" t="str">
        <f t="shared" si="52"/>
        <v/>
      </c>
      <c r="H579" s="503" t="str">
        <f t="shared" si="53"/>
        <v/>
      </c>
      <c r="I579" s="49"/>
    </row>
    <row r="580" spans="2:9" ht="20.100000000000001" customHeight="1" x14ac:dyDescent="0.3">
      <c r="B580" s="198">
        <v>572</v>
      </c>
      <c r="C580" s="501" t="str">
        <f t="shared" si="49"/>
        <v/>
      </c>
      <c r="D580" s="502" t="str">
        <f t="shared" si="50"/>
        <v/>
      </c>
      <c r="E580" s="190" t="str">
        <f t="shared" si="51"/>
        <v/>
      </c>
      <c r="F580" s="196" t="str">
        <f t="shared" si="48"/>
        <v/>
      </c>
      <c r="G580" s="190" t="str">
        <f t="shared" si="52"/>
        <v/>
      </c>
      <c r="H580" s="503" t="str">
        <f t="shared" si="53"/>
        <v/>
      </c>
      <c r="I580" s="49"/>
    </row>
    <row r="581" spans="2:9" ht="20.100000000000001" customHeight="1" x14ac:dyDescent="0.3">
      <c r="B581" s="198">
        <v>573</v>
      </c>
      <c r="C581" s="501" t="str">
        <f t="shared" si="49"/>
        <v/>
      </c>
      <c r="D581" s="502" t="str">
        <f t="shared" si="50"/>
        <v/>
      </c>
      <c r="E581" s="190" t="str">
        <f t="shared" si="51"/>
        <v/>
      </c>
      <c r="F581" s="196" t="str">
        <f t="shared" si="48"/>
        <v/>
      </c>
      <c r="G581" s="190" t="str">
        <f t="shared" si="52"/>
        <v/>
      </c>
      <c r="H581" s="503" t="str">
        <f t="shared" si="53"/>
        <v/>
      </c>
      <c r="I581" s="49"/>
    </row>
    <row r="582" spans="2:9" ht="20.100000000000001" customHeight="1" x14ac:dyDescent="0.3">
      <c r="B582" s="198">
        <v>574</v>
      </c>
      <c r="C582" s="501" t="str">
        <f t="shared" si="49"/>
        <v/>
      </c>
      <c r="D582" s="502" t="str">
        <f t="shared" si="50"/>
        <v/>
      </c>
      <c r="E582" s="190" t="str">
        <f t="shared" si="51"/>
        <v/>
      </c>
      <c r="F582" s="196" t="str">
        <f t="shared" si="48"/>
        <v/>
      </c>
      <c r="G582" s="190" t="str">
        <f t="shared" si="52"/>
        <v/>
      </c>
      <c r="H582" s="503" t="str">
        <f t="shared" si="53"/>
        <v/>
      </c>
      <c r="I582" s="49"/>
    </row>
    <row r="583" spans="2:9" ht="20.100000000000001" customHeight="1" x14ac:dyDescent="0.3">
      <c r="B583" s="198">
        <v>575</v>
      </c>
      <c r="C583" s="501" t="str">
        <f t="shared" si="49"/>
        <v/>
      </c>
      <c r="D583" s="502" t="str">
        <f t="shared" si="50"/>
        <v/>
      </c>
      <c r="E583" s="190" t="str">
        <f t="shared" si="51"/>
        <v/>
      </c>
      <c r="F583" s="196" t="str">
        <f t="shared" si="48"/>
        <v/>
      </c>
      <c r="G583" s="190" t="str">
        <f t="shared" si="52"/>
        <v/>
      </c>
      <c r="H583" s="503" t="str">
        <f t="shared" si="53"/>
        <v/>
      </c>
      <c r="I583" s="49"/>
    </row>
    <row r="584" spans="2:9" ht="20.100000000000001" customHeight="1" x14ac:dyDescent="0.3">
      <c r="B584" s="198">
        <v>576</v>
      </c>
      <c r="C584" s="501" t="str">
        <f t="shared" si="49"/>
        <v/>
      </c>
      <c r="D584" s="502" t="str">
        <f t="shared" si="50"/>
        <v/>
      </c>
      <c r="E584" s="190" t="str">
        <f t="shared" si="51"/>
        <v/>
      </c>
      <c r="F584" s="196" t="str">
        <f t="shared" si="48"/>
        <v/>
      </c>
      <c r="G584" s="190" t="str">
        <f t="shared" si="52"/>
        <v/>
      </c>
      <c r="H584" s="503" t="str">
        <f t="shared" si="53"/>
        <v/>
      </c>
      <c r="I584" s="49"/>
    </row>
    <row r="585" spans="2:9" ht="20.100000000000001" customHeight="1" x14ac:dyDescent="0.3">
      <c r="B585" s="198">
        <v>577</v>
      </c>
      <c r="C585" s="501" t="str">
        <f t="shared" si="49"/>
        <v/>
      </c>
      <c r="D585" s="502" t="str">
        <f t="shared" si="50"/>
        <v/>
      </c>
      <c r="E585" s="190" t="str">
        <f t="shared" si="51"/>
        <v/>
      </c>
      <c r="F585" s="196" t="str">
        <f t="shared" si="48"/>
        <v/>
      </c>
      <c r="G585" s="190" t="str">
        <f t="shared" si="52"/>
        <v/>
      </c>
      <c r="H585" s="503" t="str">
        <f t="shared" si="53"/>
        <v/>
      </c>
      <c r="I585" s="49"/>
    </row>
    <row r="586" spans="2:9" ht="20.100000000000001" customHeight="1" x14ac:dyDescent="0.3">
      <c r="B586" s="198">
        <v>578</v>
      </c>
      <c r="C586" s="501" t="str">
        <f t="shared" si="49"/>
        <v/>
      </c>
      <c r="D586" s="502" t="str">
        <f t="shared" si="50"/>
        <v/>
      </c>
      <c r="E586" s="190" t="str">
        <f t="shared" si="51"/>
        <v/>
      </c>
      <c r="F586" s="196" t="str">
        <f t="shared" ref="F586:F608" si="54">IF($H$4="","",IF($F$4="원리금균등상환",IFERROR(D586+E586,""),IF($F$4="원금균등상환",D586+E586,"")))</f>
        <v/>
      </c>
      <c r="G586" s="190" t="str">
        <f t="shared" si="52"/>
        <v/>
      </c>
      <c r="H586" s="503" t="str">
        <f t="shared" si="53"/>
        <v/>
      </c>
      <c r="I586" s="49"/>
    </row>
    <row r="587" spans="2:9" ht="20.100000000000001" customHeight="1" x14ac:dyDescent="0.3">
      <c r="B587" s="198">
        <v>579</v>
      </c>
      <c r="C587" s="501" t="str">
        <f t="shared" ref="C587:C608" si="55">IF($H$4="","",IF(B587&gt;($B$6),"",IF(B587&lt;=($B$6),DATE(YEAR($G$4),MONTH($G$4)+B586,DAY($G$4)),"")))</f>
        <v/>
      </c>
      <c r="D587" s="502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190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196" t="str">
        <f t="shared" si="54"/>
        <v/>
      </c>
      <c r="G587" s="190" t="str">
        <f t="shared" ref="G587:G608" si="58">IFERROR(IF(B587&gt;(($D$6+$B$6)*12),"",IF(B587=1,D587,D587+G586)),"")</f>
        <v/>
      </c>
      <c r="H587" s="503" t="str">
        <f t="shared" ref="H587:H608" si="59">IFERROR(IF($H$4="","",H586-D587),"")</f>
        <v/>
      </c>
      <c r="I587" s="49"/>
    </row>
    <row r="588" spans="2:9" ht="20.100000000000001" customHeight="1" x14ac:dyDescent="0.3">
      <c r="B588" s="198">
        <v>580</v>
      </c>
      <c r="C588" s="501" t="str">
        <f t="shared" si="55"/>
        <v/>
      </c>
      <c r="D588" s="502" t="str">
        <f t="shared" si="56"/>
        <v/>
      </c>
      <c r="E588" s="190" t="str">
        <f t="shared" si="57"/>
        <v/>
      </c>
      <c r="F588" s="196" t="str">
        <f t="shared" si="54"/>
        <v/>
      </c>
      <c r="G588" s="190" t="str">
        <f t="shared" si="58"/>
        <v/>
      </c>
      <c r="H588" s="503" t="str">
        <f t="shared" si="59"/>
        <v/>
      </c>
      <c r="I588" s="49"/>
    </row>
    <row r="589" spans="2:9" ht="20.100000000000001" customHeight="1" x14ac:dyDescent="0.3">
      <c r="B589" s="198">
        <v>581</v>
      </c>
      <c r="C589" s="501" t="str">
        <f t="shared" si="55"/>
        <v/>
      </c>
      <c r="D589" s="502" t="str">
        <f t="shared" si="56"/>
        <v/>
      </c>
      <c r="E589" s="190" t="str">
        <f t="shared" si="57"/>
        <v/>
      </c>
      <c r="F589" s="196" t="str">
        <f t="shared" si="54"/>
        <v/>
      </c>
      <c r="G589" s="190" t="str">
        <f t="shared" si="58"/>
        <v/>
      </c>
      <c r="H589" s="503" t="str">
        <f t="shared" si="59"/>
        <v/>
      </c>
      <c r="I589" s="49"/>
    </row>
    <row r="590" spans="2:9" ht="20.100000000000001" customHeight="1" x14ac:dyDescent="0.3">
      <c r="B590" s="198">
        <v>582</v>
      </c>
      <c r="C590" s="501" t="str">
        <f t="shared" si="55"/>
        <v/>
      </c>
      <c r="D590" s="502" t="str">
        <f t="shared" si="56"/>
        <v/>
      </c>
      <c r="E590" s="190" t="str">
        <f t="shared" si="57"/>
        <v/>
      </c>
      <c r="F590" s="196" t="str">
        <f t="shared" si="54"/>
        <v/>
      </c>
      <c r="G590" s="190" t="str">
        <f t="shared" si="58"/>
        <v/>
      </c>
      <c r="H590" s="503" t="str">
        <f t="shared" si="59"/>
        <v/>
      </c>
      <c r="I590" s="49"/>
    </row>
    <row r="591" spans="2:9" ht="20.100000000000001" customHeight="1" x14ac:dyDescent="0.3">
      <c r="B591" s="198">
        <v>583</v>
      </c>
      <c r="C591" s="501" t="str">
        <f t="shared" si="55"/>
        <v/>
      </c>
      <c r="D591" s="502" t="str">
        <f t="shared" si="56"/>
        <v/>
      </c>
      <c r="E591" s="190" t="str">
        <f t="shared" si="57"/>
        <v/>
      </c>
      <c r="F591" s="196" t="str">
        <f t="shared" si="54"/>
        <v/>
      </c>
      <c r="G591" s="190" t="str">
        <f t="shared" si="58"/>
        <v/>
      </c>
      <c r="H591" s="503" t="str">
        <f t="shared" si="59"/>
        <v/>
      </c>
      <c r="I591" s="49"/>
    </row>
    <row r="592" spans="2:9" ht="20.100000000000001" customHeight="1" x14ac:dyDescent="0.3">
      <c r="B592" s="198">
        <v>584</v>
      </c>
      <c r="C592" s="501" t="str">
        <f t="shared" si="55"/>
        <v/>
      </c>
      <c r="D592" s="502" t="str">
        <f t="shared" si="56"/>
        <v/>
      </c>
      <c r="E592" s="190" t="str">
        <f t="shared" si="57"/>
        <v/>
      </c>
      <c r="F592" s="196" t="str">
        <f t="shared" si="54"/>
        <v/>
      </c>
      <c r="G592" s="190" t="str">
        <f t="shared" si="58"/>
        <v/>
      </c>
      <c r="H592" s="503" t="str">
        <f t="shared" si="59"/>
        <v/>
      </c>
      <c r="I592" s="49"/>
    </row>
    <row r="593" spans="2:9" ht="20.100000000000001" customHeight="1" x14ac:dyDescent="0.3">
      <c r="B593" s="198">
        <v>585</v>
      </c>
      <c r="C593" s="501" t="str">
        <f t="shared" si="55"/>
        <v/>
      </c>
      <c r="D593" s="502" t="str">
        <f t="shared" si="56"/>
        <v/>
      </c>
      <c r="E593" s="190" t="str">
        <f t="shared" si="57"/>
        <v/>
      </c>
      <c r="F593" s="196" t="str">
        <f t="shared" si="54"/>
        <v/>
      </c>
      <c r="G593" s="190" t="str">
        <f t="shared" si="58"/>
        <v/>
      </c>
      <c r="H593" s="503" t="str">
        <f t="shared" si="59"/>
        <v/>
      </c>
      <c r="I593" s="49"/>
    </row>
    <row r="594" spans="2:9" ht="20.100000000000001" customHeight="1" x14ac:dyDescent="0.3">
      <c r="B594" s="198">
        <v>586</v>
      </c>
      <c r="C594" s="501" t="str">
        <f t="shared" si="55"/>
        <v/>
      </c>
      <c r="D594" s="502" t="str">
        <f t="shared" si="56"/>
        <v/>
      </c>
      <c r="E594" s="190" t="str">
        <f t="shared" si="57"/>
        <v/>
      </c>
      <c r="F594" s="196" t="str">
        <f t="shared" si="54"/>
        <v/>
      </c>
      <c r="G594" s="190" t="str">
        <f t="shared" si="58"/>
        <v/>
      </c>
      <c r="H594" s="503" t="str">
        <f t="shared" si="59"/>
        <v/>
      </c>
      <c r="I594" s="49"/>
    </row>
    <row r="595" spans="2:9" ht="20.100000000000001" customHeight="1" x14ac:dyDescent="0.3">
      <c r="B595" s="198">
        <v>587</v>
      </c>
      <c r="C595" s="501" t="str">
        <f t="shared" si="55"/>
        <v/>
      </c>
      <c r="D595" s="502" t="str">
        <f t="shared" si="56"/>
        <v/>
      </c>
      <c r="E595" s="190" t="str">
        <f t="shared" si="57"/>
        <v/>
      </c>
      <c r="F595" s="196" t="str">
        <f t="shared" si="54"/>
        <v/>
      </c>
      <c r="G595" s="190" t="str">
        <f t="shared" si="58"/>
        <v/>
      </c>
      <c r="H595" s="503" t="str">
        <f t="shared" si="59"/>
        <v/>
      </c>
      <c r="I595" s="49"/>
    </row>
    <row r="596" spans="2:9" ht="20.100000000000001" customHeight="1" x14ac:dyDescent="0.3">
      <c r="B596" s="198">
        <v>588</v>
      </c>
      <c r="C596" s="501" t="str">
        <f t="shared" si="55"/>
        <v/>
      </c>
      <c r="D596" s="502" t="str">
        <f t="shared" si="56"/>
        <v/>
      </c>
      <c r="E596" s="190" t="str">
        <f t="shared" si="57"/>
        <v/>
      </c>
      <c r="F596" s="196" t="str">
        <f t="shared" si="54"/>
        <v/>
      </c>
      <c r="G596" s="190" t="str">
        <f t="shared" si="58"/>
        <v/>
      </c>
      <c r="H596" s="503" t="str">
        <f t="shared" si="59"/>
        <v/>
      </c>
      <c r="I596" s="49"/>
    </row>
    <row r="597" spans="2:9" ht="20.100000000000001" customHeight="1" x14ac:dyDescent="0.3">
      <c r="B597" s="198">
        <v>589</v>
      </c>
      <c r="C597" s="501" t="str">
        <f t="shared" si="55"/>
        <v/>
      </c>
      <c r="D597" s="502" t="str">
        <f t="shared" si="56"/>
        <v/>
      </c>
      <c r="E597" s="190" t="str">
        <f t="shared" si="57"/>
        <v/>
      </c>
      <c r="F597" s="196" t="str">
        <f t="shared" si="54"/>
        <v/>
      </c>
      <c r="G597" s="190" t="str">
        <f t="shared" si="58"/>
        <v/>
      </c>
      <c r="H597" s="503" t="str">
        <f t="shared" si="59"/>
        <v/>
      </c>
      <c r="I597" s="49"/>
    </row>
    <row r="598" spans="2:9" ht="20.100000000000001" customHeight="1" x14ac:dyDescent="0.3">
      <c r="B598" s="198">
        <v>590</v>
      </c>
      <c r="C598" s="501" t="str">
        <f t="shared" si="55"/>
        <v/>
      </c>
      <c r="D598" s="502" t="str">
        <f t="shared" si="56"/>
        <v/>
      </c>
      <c r="E598" s="190" t="str">
        <f t="shared" si="57"/>
        <v/>
      </c>
      <c r="F598" s="196" t="str">
        <f t="shared" si="54"/>
        <v/>
      </c>
      <c r="G598" s="190" t="str">
        <f t="shared" si="58"/>
        <v/>
      </c>
      <c r="H598" s="503" t="str">
        <f t="shared" si="59"/>
        <v/>
      </c>
      <c r="I598" s="49"/>
    </row>
    <row r="599" spans="2:9" ht="20.100000000000001" customHeight="1" x14ac:dyDescent="0.3">
      <c r="B599" s="198">
        <v>591</v>
      </c>
      <c r="C599" s="501" t="str">
        <f t="shared" si="55"/>
        <v/>
      </c>
      <c r="D599" s="502" t="str">
        <f t="shared" si="56"/>
        <v/>
      </c>
      <c r="E599" s="190" t="str">
        <f t="shared" si="57"/>
        <v/>
      </c>
      <c r="F599" s="196" t="str">
        <f t="shared" si="54"/>
        <v/>
      </c>
      <c r="G599" s="190" t="str">
        <f t="shared" si="58"/>
        <v/>
      </c>
      <c r="H599" s="503" t="str">
        <f t="shared" si="59"/>
        <v/>
      </c>
      <c r="I599" s="49"/>
    </row>
    <row r="600" spans="2:9" ht="20.100000000000001" customHeight="1" x14ac:dyDescent="0.3">
      <c r="B600" s="198">
        <v>592</v>
      </c>
      <c r="C600" s="501" t="str">
        <f t="shared" si="55"/>
        <v/>
      </c>
      <c r="D600" s="502" t="str">
        <f t="shared" si="56"/>
        <v/>
      </c>
      <c r="E600" s="190" t="str">
        <f t="shared" si="57"/>
        <v/>
      </c>
      <c r="F600" s="196" t="str">
        <f t="shared" si="54"/>
        <v/>
      </c>
      <c r="G600" s="190" t="str">
        <f t="shared" si="58"/>
        <v/>
      </c>
      <c r="H600" s="503" t="str">
        <f t="shared" si="59"/>
        <v/>
      </c>
      <c r="I600" s="49"/>
    </row>
    <row r="601" spans="2:9" ht="20.100000000000001" customHeight="1" x14ac:dyDescent="0.3">
      <c r="B601" s="198">
        <v>593</v>
      </c>
      <c r="C601" s="501" t="str">
        <f t="shared" si="55"/>
        <v/>
      </c>
      <c r="D601" s="502" t="str">
        <f t="shared" si="56"/>
        <v/>
      </c>
      <c r="E601" s="190" t="str">
        <f t="shared" si="57"/>
        <v/>
      </c>
      <c r="F601" s="196" t="str">
        <f t="shared" si="54"/>
        <v/>
      </c>
      <c r="G601" s="190" t="str">
        <f t="shared" si="58"/>
        <v/>
      </c>
      <c r="H601" s="503" t="str">
        <f t="shared" si="59"/>
        <v/>
      </c>
      <c r="I601" s="49"/>
    </row>
    <row r="602" spans="2:9" ht="20.100000000000001" customHeight="1" x14ac:dyDescent="0.3">
      <c r="B602" s="198">
        <v>594</v>
      </c>
      <c r="C602" s="501" t="str">
        <f t="shared" si="55"/>
        <v/>
      </c>
      <c r="D602" s="502" t="str">
        <f t="shared" si="56"/>
        <v/>
      </c>
      <c r="E602" s="190" t="str">
        <f t="shared" si="57"/>
        <v/>
      </c>
      <c r="F602" s="196" t="str">
        <f t="shared" si="54"/>
        <v/>
      </c>
      <c r="G602" s="190" t="str">
        <f t="shared" si="58"/>
        <v/>
      </c>
      <c r="H602" s="503" t="str">
        <f t="shared" si="59"/>
        <v/>
      </c>
      <c r="I602" s="49"/>
    </row>
    <row r="603" spans="2:9" ht="20.100000000000001" customHeight="1" x14ac:dyDescent="0.3">
      <c r="B603" s="198">
        <v>595</v>
      </c>
      <c r="C603" s="501" t="str">
        <f t="shared" si="55"/>
        <v/>
      </c>
      <c r="D603" s="502" t="str">
        <f t="shared" si="56"/>
        <v/>
      </c>
      <c r="E603" s="190" t="str">
        <f t="shared" si="57"/>
        <v/>
      </c>
      <c r="F603" s="196" t="str">
        <f t="shared" si="54"/>
        <v/>
      </c>
      <c r="G603" s="190" t="str">
        <f t="shared" si="58"/>
        <v/>
      </c>
      <c r="H603" s="503" t="str">
        <f t="shared" si="59"/>
        <v/>
      </c>
      <c r="I603" s="49"/>
    </row>
    <row r="604" spans="2:9" ht="20.100000000000001" customHeight="1" x14ac:dyDescent="0.3">
      <c r="B604" s="198">
        <v>596</v>
      </c>
      <c r="C604" s="501" t="str">
        <f t="shared" si="55"/>
        <v/>
      </c>
      <c r="D604" s="502" t="str">
        <f t="shared" si="56"/>
        <v/>
      </c>
      <c r="E604" s="190" t="str">
        <f t="shared" si="57"/>
        <v/>
      </c>
      <c r="F604" s="196" t="str">
        <f t="shared" si="54"/>
        <v/>
      </c>
      <c r="G604" s="190" t="str">
        <f t="shared" si="58"/>
        <v/>
      </c>
      <c r="H604" s="503" t="str">
        <f t="shared" si="59"/>
        <v/>
      </c>
      <c r="I604" s="49"/>
    </row>
    <row r="605" spans="2:9" ht="20.100000000000001" customHeight="1" x14ac:dyDescent="0.3">
      <c r="B605" s="198">
        <v>597</v>
      </c>
      <c r="C605" s="501" t="str">
        <f t="shared" si="55"/>
        <v/>
      </c>
      <c r="D605" s="502" t="str">
        <f t="shared" si="56"/>
        <v/>
      </c>
      <c r="E605" s="190" t="str">
        <f t="shared" si="57"/>
        <v/>
      </c>
      <c r="F605" s="196" t="str">
        <f t="shared" si="54"/>
        <v/>
      </c>
      <c r="G605" s="190" t="str">
        <f t="shared" si="58"/>
        <v/>
      </c>
      <c r="H605" s="503" t="str">
        <f t="shared" si="59"/>
        <v/>
      </c>
      <c r="I605" s="49"/>
    </row>
    <row r="606" spans="2:9" ht="20.100000000000001" customHeight="1" x14ac:dyDescent="0.3">
      <c r="B606" s="198">
        <v>598</v>
      </c>
      <c r="C606" s="501" t="str">
        <f t="shared" si="55"/>
        <v/>
      </c>
      <c r="D606" s="502" t="str">
        <f t="shared" si="56"/>
        <v/>
      </c>
      <c r="E606" s="190" t="str">
        <f t="shared" si="57"/>
        <v/>
      </c>
      <c r="F606" s="196" t="str">
        <f t="shared" si="54"/>
        <v/>
      </c>
      <c r="G606" s="190" t="str">
        <f t="shared" si="58"/>
        <v/>
      </c>
      <c r="H606" s="503" t="str">
        <f t="shared" si="59"/>
        <v/>
      </c>
      <c r="I606" s="49"/>
    </row>
    <row r="607" spans="2:9" ht="20.100000000000001" customHeight="1" x14ac:dyDescent="0.3">
      <c r="B607" s="198">
        <v>599</v>
      </c>
      <c r="C607" s="501" t="str">
        <f t="shared" si="55"/>
        <v/>
      </c>
      <c r="D607" s="502" t="str">
        <f t="shared" si="56"/>
        <v/>
      </c>
      <c r="E607" s="190" t="str">
        <f t="shared" si="57"/>
        <v/>
      </c>
      <c r="F607" s="196" t="str">
        <f t="shared" si="54"/>
        <v/>
      </c>
      <c r="G607" s="190" t="str">
        <f t="shared" si="58"/>
        <v/>
      </c>
      <c r="H607" s="503" t="str">
        <f t="shared" si="59"/>
        <v/>
      </c>
      <c r="I607" s="49"/>
    </row>
    <row r="608" spans="2:9" ht="20.100000000000001" customHeight="1" x14ac:dyDescent="0.3">
      <c r="B608" s="198">
        <v>600</v>
      </c>
      <c r="C608" s="501" t="str">
        <f t="shared" si="55"/>
        <v/>
      </c>
      <c r="D608" s="502" t="str">
        <f t="shared" si="56"/>
        <v/>
      </c>
      <c r="E608" s="190" t="str">
        <f t="shared" si="57"/>
        <v/>
      </c>
      <c r="F608" s="196" t="str">
        <f t="shared" si="54"/>
        <v/>
      </c>
      <c r="G608" s="190" t="str">
        <f t="shared" si="58"/>
        <v/>
      </c>
      <c r="H608" s="503" t="str">
        <f t="shared" si="59"/>
        <v/>
      </c>
      <c r="I608" s="49"/>
    </row>
    <row r="609" spans="2:8" x14ac:dyDescent="0.3">
      <c r="B609" s="67"/>
      <c r="C609" s="67"/>
      <c r="D609" s="64"/>
      <c r="E609" s="422"/>
      <c r="F609" s="422"/>
      <c r="G609" s="422"/>
      <c r="H609" s="504"/>
    </row>
    <row r="610" spans="2:8" x14ac:dyDescent="0.3">
      <c r="B610" s="47"/>
      <c r="C610" s="47"/>
      <c r="D610" s="44"/>
      <c r="E610" s="122"/>
      <c r="F610" s="122"/>
      <c r="G610" s="122"/>
      <c r="H610" s="505"/>
    </row>
    <row r="611" spans="2:8" x14ac:dyDescent="0.3">
      <c r="B611" s="47"/>
      <c r="C611" s="47"/>
      <c r="D611" s="44"/>
      <c r="E611" s="122"/>
      <c r="F611" s="122"/>
      <c r="G611" s="122"/>
      <c r="H611" s="505"/>
    </row>
    <row r="612" spans="2:8" x14ac:dyDescent="0.3">
      <c r="B612" s="47"/>
      <c r="C612" s="47"/>
      <c r="D612" s="44"/>
      <c r="E612" s="122"/>
      <c r="F612" s="122"/>
      <c r="G612" s="122"/>
      <c r="H612" s="505"/>
    </row>
    <row r="613" spans="2:8" x14ac:dyDescent="0.3">
      <c r="B613" s="47"/>
      <c r="C613" s="47"/>
      <c r="D613" s="44"/>
      <c r="E613" s="122"/>
      <c r="F613" s="122"/>
      <c r="G613" s="122"/>
      <c r="H613" s="505"/>
    </row>
    <row r="614" spans="2:8" x14ac:dyDescent="0.3">
      <c r="B614" s="47"/>
      <c r="C614" s="47"/>
      <c r="D614" s="44"/>
      <c r="E614" s="122"/>
      <c r="F614" s="122"/>
      <c r="G614" s="122"/>
      <c r="H614" s="505"/>
    </row>
    <row r="615" spans="2:8" x14ac:dyDescent="0.3">
      <c r="B615" s="47"/>
      <c r="C615" s="47"/>
      <c r="D615" s="44"/>
      <c r="E615" s="122"/>
      <c r="F615" s="122"/>
      <c r="G615" s="122"/>
      <c r="H615" s="505"/>
    </row>
    <row r="616" spans="2:8" x14ac:dyDescent="0.3">
      <c r="B616" s="47"/>
      <c r="C616" s="47"/>
      <c r="D616" s="44"/>
      <c r="E616" s="122"/>
      <c r="F616" s="122"/>
      <c r="G616" s="122"/>
      <c r="H616" s="505"/>
    </row>
    <row r="617" spans="2:8" x14ac:dyDescent="0.3">
      <c r="B617" s="47"/>
      <c r="C617" s="47"/>
      <c r="D617" s="44"/>
      <c r="E617" s="122"/>
      <c r="F617" s="122"/>
      <c r="G617" s="122"/>
      <c r="H617" s="505"/>
    </row>
    <row r="618" spans="2:8" x14ac:dyDescent="0.3">
      <c r="B618" s="47"/>
      <c r="C618" s="47"/>
      <c r="D618" s="44"/>
      <c r="E618" s="122"/>
      <c r="F618" s="122"/>
      <c r="G618" s="122"/>
      <c r="H618" s="505"/>
    </row>
    <row r="619" spans="2:8" x14ac:dyDescent="0.3">
      <c r="B619" s="47"/>
      <c r="C619" s="47"/>
      <c r="D619" s="44"/>
      <c r="E619" s="122"/>
      <c r="F619" s="122"/>
      <c r="G619" s="122"/>
      <c r="H619" s="505"/>
    </row>
    <row r="620" spans="2:8" x14ac:dyDescent="0.3">
      <c r="B620" s="47"/>
      <c r="C620" s="47"/>
      <c r="D620" s="44"/>
      <c r="E620" s="122"/>
      <c r="F620" s="122"/>
      <c r="G620" s="122"/>
      <c r="H620" s="505"/>
    </row>
    <row r="621" spans="2:8" x14ac:dyDescent="0.3">
      <c r="B621" s="47"/>
      <c r="C621" s="47"/>
      <c r="D621" s="44"/>
      <c r="E621" s="122"/>
      <c r="F621" s="122"/>
      <c r="G621" s="122"/>
      <c r="H621" s="505"/>
    </row>
    <row r="622" spans="2:8" x14ac:dyDescent="0.3">
      <c r="B622" s="47"/>
      <c r="C622" s="47"/>
      <c r="D622" s="44"/>
      <c r="E622" s="122"/>
      <c r="F622" s="122"/>
      <c r="G622" s="122"/>
      <c r="H622" s="505"/>
    </row>
    <row r="623" spans="2:8" x14ac:dyDescent="0.3">
      <c r="B623" s="47"/>
      <c r="C623" s="47"/>
      <c r="D623" s="44"/>
      <c r="E623" s="122"/>
      <c r="F623" s="122"/>
      <c r="G623" s="122"/>
      <c r="H623" s="505"/>
    </row>
    <row r="624" spans="2:8" x14ac:dyDescent="0.3">
      <c r="B624" s="47"/>
      <c r="C624" s="47"/>
      <c r="D624" s="44"/>
      <c r="E624" s="122"/>
      <c r="F624" s="122"/>
      <c r="G624" s="122"/>
      <c r="H624" s="505"/>
    </row>
    <row r="625" spans="2:8" x14ac:dyDescent="0.3">
      <c r="B625" s="47"/>
      <c r="C625" s="47"/>
      <c r="D625" s="44"/>
      <c r="E625" s="122"/>
      <c r="F625" s="122"/>
      <c r="G625" s="122"/>
      <c r="H625" s="505"/>
    </row>
    <row r="626" spans="2:8" x14ac:dyDescent="0.3">
      <c r="B626" s="47"/>
      <c r="C626" s="47"/>
      <c r="D626" s="44"/>
      <c r="E626" s="122"/>
      <c r="F626" s="122"/>
      <c r="G626" s="122"/>
      <c r="H626" s="505"/>
    </row>
    <row r="627" spans="2:8" x14ac:dyDescent="0.3">
      <c r="B627" s="47"/>
      <c r="C627" s="47"/>
      <c r="D627" s="44"/>
      <c r="E627" s="122"/>
      <c r="F627" s="122"/>
      <c r="G627" s="122"/>
      <c r="H627" s="505"/>
    </row>
    <row r="628" spans="2:8" x14ac:dyDescent="0.3">
      <c r="B628" s="47"/>
      <c r="C628" s="47"/>
      <c r="D628" s="44"/>
      <c r="E628" s="122"/>
      <c r="F628" s="122"/>
      <c r="G628" s="122"/>
      <c r="H628" s="505"/>
    </row>
    <row r="629" spans="2:8" x14ac:dyDescent="0.3">
      <c r="B629" s="47"/>
      <c r="C629" s="47"/>
      <c r="D629" s="44"/>
      <c r="E629" s="122"/>
      <c r="F629" s="122"/>
      <c r="G629" s="122"/>
      <c r="H629" s="505"/>
    </row>
    <row r="630" spans="2:8" x14ac:dyDescent="0.3">
      <c r="B630" s="47"/>
      <c r="C630" s="47"/>
      <c r="D630" s="44"/>
      <c r="E630" s="122"/>
      <c r="F630" s="122"/>
      <c r="G630" s="122"/>
      <c r="H630" s="505"/>
    </row>
    <row r="631" spans="2:8" x14ac:dyDescent="0.3">
      <c r="B631" s="47"/>
      <c r="C631" s="47"/>
      <c r="D631" s="44"/>
      <c r="E631" s="122"/>
      <c r="F631" s="122"/>
      <c r="G631" s="122"/>
      <c r="H631" s="505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count="2">
    <dataValidation type="list" allowBlank="1" showInputMessage="1" showErrorMessage="1" sqref="F4">
      <formula1>"원리금균등상환, 원금균등상환,만기일시상환"</formula1>
    </dataValidation>
    <dataValidation allowBlank="1" showInputMessage="1" showErrorMessage="1" prompt="년-월-일 형식으로 입력" sqref="G4:H4"/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-0.499984740745262"/>
  </sheetPr>
  <dimension ref="A1:AB631"/>
  <sheetViews>
    <sheetView showGridLines="0" workbookViewId="0">
      <selection activeCell="M10" sqref="M10"/>
    </sheetView>
  </sheetViews>
  <sheetFormatPr defaultRowHeight="16.5" x14ac:dyDescent="0.3"/>
  <cols>
    <col min="1" max="1" width="4.75" customWidth="1"/>
    <col min="2" max="7" width="10.625" style="25" customWidth="1"/>
    <col min="8" max="8" width="10.625" customWidth="1"/>
    <col min="9" max="9" width="4.75" customWidth="1"/>
    <col min="10" max="28" width="9.375" customWidth="1"/>
    <col min="29" max="29" width="4.75" customWidth="1"/>
  </cols>
  <sheetData>
    <row r="1" spans="1:17" ht="40.5" customHeight="1" x14ac:dyDescent="0.3">
      <c r="A1" s="10"/>
      <c r="B1" s="543" t="s">
        <v>348</v>
      </c>
      <c r="C1" s="543"/>
      <c r="D1" s="543"/>
      <c r="E1" s="543"/>
      <c r="F1" s="543"/>
      <c r="G1" s="543"/>
      <c r="H1" s="543"/>
      <c r="I1" s="10"/>
    </row>
    <row r="2" spans="1:17" ht="16.5" customHeight="1" thickBot="1" x14ac:dyDescent="0.35"/>
    <row r="3" spans="1:17" ht="24.95" customHeight="1" thickBot="1" x14ac:dyDescent="0.35">
      <c r="B3" s="29" t="s">
        <v>326</v>
      </c>
      <c r="C3" s="30" t="s">
        <v>327</v>
      </c>
      <c r="D3" s="30" t="s">
        <v>329</v>
      </c>
      <c r="E3" s="30" t="s">
        <v>333</v>
      </c>
      <c r="F3" s="30" t="s">
        <v>334</v>
      </c>
      <c r="G3" s="30" t="s">
        <v>328</v>
      </c>
      <c r="H3" s="31" t="s">
        <v>335</v>
      </c>
    </row>
    <row r="4" spans="1:17" ht="24.95" customHeight="1" thickBot="1" x14ac:dyDescent="0.35">
      <c r="B4" s="491"/>
      <c r="C4" s="492"/>
      <c r="D4" s="493"/>
      <c r="E4" s="494"/>
      <c r="F4" s="515"/>
      <c r="G4" s="495"/>
      <c r="H4" s="496"/>
    </row>
    <row r="5" spans="1:17" ht="24.95" customHeight="1" thickBot="1" x14ac:dyDescent="0.35">
      <c r="B5" s="29" t="s">
        <v>337</v>
      </c>
      <c r="C5" s="30" t="s">
        <v>338</v>
      </c>
      <c r="D5" s="30" t="s">
        <v>339</v>
      </c>
      <c r="E5" s="30" t="s">
        <v>330</v>
      </c>
      <c r="F5" s="30" t="s">
        <v>331</v>
      </c>
      <c r="G5" s="30" t="s">
        <v>324</v>
      </c>
      <c r="H5" s="31" t="s">
        <v>325</v>
      </c>
    </row>
    <row r="6" spans="1:17" ht="24.95" customHeight="1" x14ac:dyDescent="0.3">
      <c r="B6" s="497" t="str">
        <f>IF(H4="","",DATEDIF(G4,H4,"M")+D6)</f>
        <v/>
      </c>
      <c r="C6" s="498" t="str">
        <f ca="1">IF(H4="","",IF(H4&lt;TODAY(),0,DATEDIF(TODAY(),H4,"M")))</f>
        <v/>
      </c>
      <c r="D6" s="499"/>
      <c r="E6" s="190">
        <f>SUM($E$9:$E$697)</f>
        <v>0</v>
      </c>
      <c r="F6" s="190">
        <f>SUM($F$9:$F$697)</f>
        <v>0</v>
      </c>
      <c r="G6" s="190" t="str">
        <f ca="1">IF($H$4="","",VLOOKUP(TODAY(),$C$8:$H$697,5,TRUE))</f>
        <v/>
      </c>
      <c r="H6" s="196" t="str">
        <f ca="1">IF($H$4="","",VLOOKUP(TODAY(),$C$8:$H$697,6,TRUE))</f>
        <v/>
      </c>
    </row>
    <row r="7" spans="1:17" ht="16.5" customHeight="1" thickBot="1" x14ac:dyDescent="0.35">
      <c r="B7" s="27"/>
      <c r="C7" s="27"/>
      <c r="D7" s="27"/>
      <c r="E7" s="27"/>
      <c r="F7" s="27"/>
      <c r="G7" s="27"/>
      <c r="H7" s="500"/>
      <c r="Q7" s="43"/>
    </row>
    <row r="8" spans="1:17" ht="30" customHeight="1" thickBot="1" x14ac:dyDescent="0.35">
      <c r="B8" s="29" t="s">
        <v>340</v>
      </c>
      <c r="C8" s="29" t="s">
        <v>341</v>
      </c>
      <c r="D8" s="30" t="s">
        <v>342</v>
      </c>
      <c r="E8" s="30" t="s">
        <v>343</v>
      </c>
      <c r="F8" s="31" t="s">
        <v>344</v>
      </c>
      <c r="G8" s="30" t="s">
        <v>345</v>
      </c>
      <c r="H8" s="31" t="s">
        <v>346</v>
      </c>
      <c r="I8" s="49"/>
    </row>
    <row r="9" spans="1:17" ht="20.100000000000001" customHeight="1" x14ac:dyDescent="0.3">
      <c r="B9" s="197">
        <v>1</v>
      </c>
      <c r="C9" s="501" t="str">
        <f>IF($H$4="","",IF(B9&gt;($B$6),"",IF(B9&lt;=($B$6),DATE(YEAR($G$4),MONTH($G$4),DAY($G$4)),"")))</f>
        <v/>
      </c>
      <c r="D9" s="502" t="str">
        <f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190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196" t="str">
        <f>IF($H$4="","",IF($F$4="원리금균등상환",IFERROR(D9+E9,""),IF($F$4="원금균등상환",D9+E9,"")))</f>
        <v/>
      </c>
      <c r="G9" s="190" t="str">
        <f>IFERROR(IF(B9&gt;(($D$6+$B$6)*12),"",IF(B9=1,D9,D9+G8)),"")</f>
        <v/>
      </c>
      <c r="H9" s="503" t="str">
        <f>IFERROR(IF($H$4="","",D4-D9),"")</f>
        <v/>
      </c>
      <c r="I9" s="49"/>
    </row>
    <row r="10" spans="1:17" ht="20.100000000000001" customHeight="1" x14ac:dyDescent="0.3">
      <c r="B10" s="198">
        <v>2</v>
      </c>
      <c r="C10" s="501" t="str">
        <f>IF($H$4="","",IF(B10&gt;($B$6),"",IF(B10&lt;=($B$6),DATE(YEAR($G$4),MONTH($G$4)+B9,DAY($G$4)),"")))</f>
        <v/>
      </c>
      <c r="D10" s="502" t="str">
        <f>IF($H$4="","",IF($F$4="원리금균등상환",IFERROR(IF(B10&lt;=$D$6,0,-PPMT($E$4/12,B10-$D$6,($B$6-$D$6),$D$4)),""),IF($F$4="원금균등상환",IF(B10&lt;($D$6+1),0,IF(B10&gt;$B$6,0,$D$4/($B$6-$D$6))),IF($F$4="만기일시상환",0,""))))</f>
        <v/>
      </c>
      <c r="E10" s="190" t="str">
        <f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196" t="str">
        <f t="shared" ref="F10:F73" si="0">IF($H$4="","",IF($F$4="원리금균등상환",IFERROR(D10+E10,""),IF($F$4="원금균등상환",D10+E10,"")))</f>
        <v/>
      </c>
      <c r="G10" s="190" t="str">
        <f>IFERROR(IF(B10&gt;(($D$6+$B$6)*12),"",IF(B10=1,D10,D10+G9)),"")</f>
        <v/>
      </c>
      <c r="H10" s="503" t="str">
        <f>IFERROR(IF($H$4="","",H9-D10),"")</f>
        <v/>
      </c>
      <c r="I10" s="49"/>
    </row>
    <row r="11" spans="1:17" ht="20.100000000000001" customHeight="1" x14ac:dyDescent="0.3">
      <c r="B11" s="198">
        <v>3</v>
      </c>
      <c r="C11" s="501" t="str">
        <f t="shared" ref="C11:C74" si="1">IF($H$4="","",IF(B11&gt;($B$6),"",IF(B11&lt;=($B$6),DATE(YEAR($G$4),MONTH($G$4)+B10,DAY($G$4)),"")))</f>
        <v/>
      </c>
      <c r="D11" s="502" t="str">
        <f t="shared" ref="D11:D74" si="2">IF($H$4="","",IF($F$4="원리금균등상환",IFERROR(IF(B11&lt;=$D$6,0,-PPMT($E$4/12,B11-$D$6,($B$6-$D$6),$D$4)),""),IF($F$4="원금균등상환",IF(B11&lt;($D$6+1),0,IF(B11&gt;$B$6,0,$D$4/($B$6-$D$6))),IF($F$4="만기일시상환",0,""))))</f>
        <v/>
      </c>
      <c r="E11" s="190" t="str">
        <f t="shared" ref="E11:E74" si="3">IF($H$4="","",IF($F$4="원리금균등상환",IFERROR(IF(B11&lt;=$D$6,$H10*($E$4/12),-IPMT($E$4/12,B11-$D$6,($B$6-$D$6),$D$4)),""),IF($F$4="원금균등상환",(H10-D11)*$E$4/12,IF($F$4="만기일시상환",IFERROR(IF(B11&lt;=$B$6,$D$4*($E$4/12),""),"")))))</f>
        <v/>
      </c>
      <c r="F11" s="196" t="str">
        <f t="shared" si="0"/>
        <v/>
      </c>
      <c r="G11" s="190" t="str">
        <f t="shared" ref="G11:G74" si="4">IFERROR(IF(B11&gt;(($D$6+$B$6)*12),"",IF(B11=1,D11,D11+G10)),"")</f>
        <v/>
      </c>
      <c r="H11" s="503" t="str">
        <f t="shared" ref="H11:H74" si="5">IFERROR(IF($H$4="","",H10-D11),"")</f>
        <v/>
      </c>
      <c r="I11" s="49"/>
    </row>
    <row r="12" spans="1:17" ht="20.100000000000001" customHeight="1" x14ac:dyDescent="0.3">
      <c r="B12" s="198">
        <v>4</v>
      </c>
      <c r="C12" s="501" t="str">
        <f t="shared" si="1"/>
        <v/>
      </c>
      <c r="D12" s="502" t="str">
        <f t="shared" si="2"/>
        <v/>
      </c>
      <c r="E12" s="190" t="str">
        <f t="shared" si="3"/>
        <v/>
      </c>
      <c r="F12" s="196" t="str">
        <f t="shared" si="0"/>
        <v/>
      </c>
      <c r="G12" s="190" t="str">
        <f t="shared" si="4"/>
        <v/>
      </c>
      <c r="H12" s="503" t="str">
        <f t="shared" si="5"/>
        <v/>
      </c>
      <c r="I12" s="49"/>
    </row>
    <row r="13" spans="1:17" ht="20.100000000000001" customHeight="1" x14ac:dyDescent="0.3">
      <c r="B13" s="198">
        <v>5</v>
      </c>
      <c r="C13" s="501" t="str">
        <f t="shared" si="1"/>
        <v/>
      </c>
      <c r="D13" s="502" t="str">
        <f t="shared" si="2"/>
        <v/>
      </c>
      <c r="E13" s="190" t="str">
        <f t="shared" si="3"/>
        <v/>
      </c>
      <c r="F13" s="196" t="str">
        <f t="shared" si="0"/>
        <v/>
      </c>
      <c r="G13" s="190" t="str">
        <f t="shared" si="4"/>
        <v/>
      </c>
      <c r="H13" s="503" t="str">
        <f t="shared" si="5"/>
        <v/>
      </c>
      <c r="I13" s="49"/>
    </row>
    <row r="14" spans="1:17" ht="20.100000000000001" customHeight="1" x14ac:dyDescent="0.3">
      <c r="B14" s="198">
        <v>6</v>
      </c>
      <c r="C14" s="501" t="str">
        <f t="shared" si="1"/>
        <v/>
      </c>
      <c r="D14" s="502" t="str">
        <f t="shared" si="2"/>
        <v/>
      </c>
      <c r="E14" s="190" t="str">
        <f t="shared" si="3"/>
        <v/>
      </c>
      <c r="F14" s="196" t="str">
        <f t="shared" si="0"/>
        <v/>
      </c>
      <c r="G14" s="190" t="str">
        <f t="shared" si="4"/>
        <v/>
      </c>
      <c r="H14" s="503" t="str">
        <f t="shared" si="5"/>
        <v/>
      </c>
      <c r="I14" s="49"/>
    </row>
    <row r="15" spans="1:17" ht="20.100000000000001" customHeight="1" x14ac:dyDescent="0.3">
      <c r="B15" s="198">
        <v>7</v>
      </c>
      <c r="C15" s="501" t="str">
        <f t="shared" si="1"/>
        <v/>
      </c>
      <c r="D15" s="502" t="str">
        <f t="shared" si="2"/>
        <v/>
      </c>
      <c r="E15" s="190" t="str">
        <f t="shared" si="3"/>
        <v/>
      </c>
      <c r="F15" s="196" t="str">
        <f t="shared" si="0"/>
        <v/>
      </c>
      <c r="G15" s="190" t="str">
        <f t="shared" si="4"/>
        <v/>
      </c>
      <c r="H15" s="503" t="str">
        <f t="shared" si="5"/>
        <v/>
      </c>
      <c r="I15" s="49"/>
    </row>
    <row r="16" spans="1:17" ht="20.100000000000001" customHeight="1" x14ac:dyDescent="0.3">
      <c r="B16" s="198">
        <v>8</v>
      </c>
      <c r="C16" s="501" t="str">
        <f t="shared" si="1"/>
        <v/>
      </c>
      <c r="D16" s="502" t="str">
        <f t="shared" si="2"/>
        <v/>
      </c>
      <c r="E16" s="190" t="str">
        <f t="shared" si="3"/>
        <v/>
      </c>
      <c r="F16" s="196" t="str">
        <f t="shared" si="0"/>
        <v/>
      </c>
      <c r="G16" s="190" t="str">
        <f t="shared" si="4"/>
        <v/>
      </c>
      <c r="H16" s="503" t="str">
        <f t="shared" si="5"/>
        <v/>
      </c>
      <c r="I16" s="49"/>
    </row>
    <row r="17" spans="2:9" ht="20.100000000000001" customHeight="1" x14ac:dyDescent="0.3">
      <c r="B17" s="198">
        <v>9</v>
      </c>
      <c r="C17" s="501" t="str">
        <f t="shared" si="1"/>
        <v/>
      </c>
      <c r="D17" s="502" t="str">
        <f t="shared" si="2"/>
        <v/>
      </c>
      <c r="E17" s="190" t="str">
        <f t="shared" si="3"/>
        <v/>
      </c>
      <c r="F17" s="196" t="str">
        <f t="shared" si="0"/>
        <v/>
      </c>
      <c r="G17" s="190" t="str">
        <f t="shared" si="4"/>
        <v/>
      </c>
      <c r="H17" s="503" t="str">
        <f t="shared" si="5"/>
        <v/>
      </c>
      <c r="I17" s="49"/>
    </row>
    <row r="18" spans="2:9" ht="20.100000000000001" customHeight="1" x14ac:dyDescent="0.3">
      <c r="B18" s="198">
        <v>10</v>
      </c>
      <c r="C18" s="501" t="str">
        <f t="shared" si="1"/>
        <v/>
      </c>
      <c r="D18" s="502" t="str">
        <f t="shared" si="2"/>
        <v/>
      </c>
      <c r="E18" s="190" t="str">
        <f t="shared" si="3"/>
        <v/>
      </c>
      <c r="F18" s="196" t="str">
        <f t="shared" si="0"/>
        <v/>
      </c>
      <c r="G18" s="190" t="str">
        <f t="shared" si="4"/>
        <v/>
      </c>
      <c r="H18" s="503" t="str">
        <f t="shared" si="5"/>
        <v/>
      </c>
      <c r="I18" s="49"/>
    </row>
    <row r="19" spans="2:9" ht="20.100000000000001" customHeight="1" x14ac:dyDescent="0.3">
      <c r="B19" s="198">
        <v>11</v>
      </c>
      <c r="C19" s="501" t="str">
        <f t="shared" si="1"/>
        <v/>
      </c>
      <c r="D19" s="502" t="str">
        <f t="shared" si="2"/>
        <v/>
      </c>
      <c r="E19" s="190" t="str">
        <f t="shared" si="3"/>
        <v/>
      </c>
      <c r="F19" s="196" t="str">
        <f t="shared" si="0"/>
        <v/>
      </c>
      <c r="G19" s="190" t="str">
        <f t="shared" si="4"/>
        <v/>
      </c>
      <c r="H19" s="503" t="str">
        <f t="shared" si="5"/>
        <v/>
      </c>
      <c r="I19" s="49"/>
    </row>
    <row r="20" spans="2:9" ht="20.100000000000001" customHeight="1" x14ac:dyDescent="0.3">
      <c r="B20" s="198">
        <v>12</v>
      </c>
      <c r="C20" s="501" t="str">
        <f t="shared" si="1"/>
        <v/>
      </c>
      <c r="D20" s="502" t="str">
        <f t="shared" si="2"/>
        <v/>
      </c>
      <c r="E20" s="190" t="str">
        <f t="shared" si="3"/>
        <v/>
      </c>
      <c r="F20" s="196" t="str">
        <f t="shared" si="0"/>
        <v/>
      </c>
      <c r="G20" s="190" t="str">
        <f t="shared" si="4"/>
        <v/>
      </c>
      <c r="H20" s="503" t="str">
        <f t="shared" si="5"/>
        <v/>
      </c>
      <c r="I20" s="49"/>
    </row>
    <row r="21" spans="2:9" ht="20.100000000000001" customHeight="1" x14ac:dyDescent="0.3">
      <c r="B21" s="197">
        <v>13</v>
      </c>
      <c r="C21" s="501" t="str">
        <f t="shared" si="1"/>
        <v/>
      </c>
      <c r="D21" s="502" t="str">
        <f t="shared" si="2"/>
        <v/>
      </c>
      <c r="E21" s="190" t="str">
        <f t="shared" si="3"/>
        <v/>
      </c>
      <c r="F21" s="196" t="str">
        <f t="shared" si="0"/>
        <v/>
      </c>
      <c r="G21" s="190" t="str">
        <f t="shared" si="4"/>
        <v/>
      </c>
      <c r="H21" s="503" t="str">
        <f t="shared" si="5"/>
        <v/>
      </c>
      <c r="I21" s="49"/>
    </row>
    <row r="22" spans="2:9" ht="20.100000000000001" customHeight="1" x14ac:dyDescent="0.3">
      <c r="B22" s="198">
        <v>14</v>
      </c>
      <c r="C22" s="501" t="str">
        <f t="shared" si="1"/>
        <v/>
      </c>
      <c r="D22" s="502" t="str">
        <f t="shared" si="2"/>
        <v/>
      </c>
      <c r="E22" s="190" t="str">
        <f t="shared" si="3"/>
        <v/>
      </c>
      <c r="F22" s="196" t="str">
        <f t="shared" si="0"/>
        <v/>
      </c>
      <c r="G22" s="190" t="str">
        <f t="shared" si="4"/>
        <v/>
      </c>
      <c r="H22" s="503" t="str">
        <f t="shared" si="5"/>
        <v/>
      </c>
      <c r="I22" s="49"/>
    </row>
    <row r="23" spans="2:9" ht="20.100000000000001" customHeight="1" x14ac:dyDescent="0.3">
      <c r="B23" s="198">
        <v>15</v>
      </c>
      <c r="C23" s="501" t="str">
        <f t="shared" si="1"/>
        <v/>
      </c>
      <c r="D23" s="502" t="str">
        <f t="shared" si="2"/>
        <v/>
      </c>
      <c r="E23" s="190" t="str">
        <f t="shared" si="3"/>
        <v/>
      </c>
      <c r="F23" s="196" t="str">
        <f t="shared" si="0"/>
        <v/>
      </c>
      <c r="G23" s="190" t="str">
        <f t="shared" si="4"/>
        <v/>
      </c>
      <c r="H23" s="503" t="str">
        <f t="shared" si="5"/>
        <v/>
      </c>
      <c r="I23" s="49"/>
    </row>
    <row r="24" spans="2:9" ht="20.100000000000001" customHeight="1" x14ac:dyDescent="0.3">
      <c r="B24" s="198">
        <v>16</v>
      </c>
      <c r="C24" s="501" t="str">
        <f t="shared" si="1"/>
        <v/>
      </c>
      <c r="D24" s="502" t="str">
        <f t="shared" si="2"/>
        <v/>
      </c>
      <c r="E24" s="190" t="str">
        <f t="shared" si="3"/>
        <v/>
      </c>
      <c r="F24" s="196" t="str">
        <f t="shared" si="0"/>
        <v/>
      </c>
      <c r="G24" s="190" t="str">
        <f t="shared" si="4"/>
        <v/>
      </c>
      <c r="H24" s="503" t="str">
        <f t="shared" si="5"/>
        <v/>
      </c>
      <c r="I24" s="49"/>
    </row>
    <row r="25" spans="2:9" ht="20.100000000000001" customHeight="1" x14ac:dyDescent="0.3">
      <c r="B25" s="198">
        <v>17</v>
      </c>
      <c r="C25" s="501" t="str">
        <f t="shared" si="1"/>
        <v/>
      </c>
      <c r="D25" s="502" t="str">
        <f t="shared" si="2"/>
        <v/>
      </c>
      <c r="E25" s="190" t="str">
        <f t="shared" si="3"/>
        <v/>
      </c>
      <c r="F25" s="196" t="str">
        <f t="shared" si="0"/>
        <v/>
      </c>
      <c r="G25" s="190" t="str">
        <f t="shared" si="4"/>
        <v/>
      </c>
      <c r="H25" s="503" t="str">
        <f t="shared" si="5"/>
        <v/>
      </c>
      <c r="I25" s="49"/>
    </row>
    <row r="26" spans="2:9" ht="20.100000000000001" customHeight="1" x14ac:dyDescent="0.3">
      <c r="B26" s="198">
        <v>18</v>
      </c>
      <c r="C26" s="501" t="str">
        <f t="shared" si="1"/>
        <v/>
      </c>
      <c r="D26" s="502" t="str">
        <f t="shared" si="2"/>
        <v/>
      </c>
      <c r="E26" s="190" t="str">
        <f t="shared" si="3"/>
        <v/>
      </c>
      <c r="F26" s="196" t="str">
        <f t="shared" si="0"/>
        <v/>
      </c>
      <c r="G26" s="190" t="str">
        <f t="shared" si="4"/>
        <v/>
      </c>
      <c r="H26" s="503" t="str">
        <f t="shared" si="5"/>
        <v/>
      </c>
      <c r="I26" s="49"/>
    </row>
    <row r="27" spans="2:9" ht="20.100000000000001" customHeight="1" x14ac:dyDescent="0.3">
      <c r="B27" s="198">
        <v>19</v>
      </c>
      <c r="C27" s="501" t="str">
        <f t="shared" si="1"/>
        <v/>
      </c>
      <c r="D27" s="502" t="str">
        <f t="shared" si="2"/>
        <v/>
      </c>
      <c r="E27" s="190" t="str">
        <f t="shared" si="3"/>
        <v/>
      </c>
      <c r="F27" s="196" t="str">
        <f t="shared" si="0"/>
        <v/>
      </c>
      <c r="G27" s="190" t="str">
        <f t="shared" si="4"/>
        <v/>
      </c>
      <c r="H27" s="503" t="str">
        <f t="shared" si="5"/>
        <v/>
      </c>
      <c r="I27" s="49"/>
    </row>
    <row r="28" spans="2:9" ht="20.100000000000001" customHeight="1" x14ac:dyDescent="0.3">
      <c r="B28" s="198">
        <v>20</v>
      </c>
      <c r="C28" s="501" t="str">
        <f t="shared" si="1"/>
        <v/>
      </c>
      <c r="D28" s="502" t="str">
        <f t="shared" si="2"/>
        <v/>
      </c>
      <c r="E28" s="190" t="str">
        <f t="shared" si="3"/>
        <v/>
      </c>
      <c r="F28" s="196" t="str">
        <f t="shared" si="0"/>
        <v/>
      </c>
      <c r="G28" s="190" t="str">
        <f t="shared" si="4"/>
        <v/>
      </c>
      <c r="H28" s="503" t="str">
        <f t="shared" si="5"/>
        <v/>
      </c>
      <c r="I28" s="49"/>
    </row>
    <row r="29" spans="2:9" ht="20.100000000000001" customHeight="1" x14ac:dyDescent="0.3">
      <c r="B29" s="198">
        <v>21</v>
      </c>
      <c r="C29" s="501" t="str">
        <f t="shared" si="1"/>
        <v/>
      </c>
      <c r="D29" s="502" t="str">
        <f t="shared" si="2"/>
        <v/>
      </c>
      <c r="E29" s="190" t="str">
        <f t="shared" si="3"/>
        <v/>
      </c>
      <c r="F29" s="196" t="str">
        <f t="shared" si="0"/>
        <v/>
      </c>
      <c r="G29" s="190" t="str">
        <f t="shared" si="4"/>
        <v/>
      </c>
      <c r="H29" s="503" t="str">
        <f t="shared" si="5"/>
        <v/>
      </c>
      <c r="I29" s="49"/>
    </row>
    <row r="30" spans="2:9" ht="20.100000000000001" customHeight="1" x14ac:dyDescent="0.3">
      <c r="B30" s="198">
        <v>22</v>
      </c>
      <c r="C30" s="501" t="str">
        <f t="shared" si="1"/>
        <v/>
      </c>
      <c r="D30" s="502" t="str">
        <f t="shared" si="2"/>
        <v/>
      </c>
      <c r="E30" s="190" t="str">
        <f t="shared" si="3"/>
        <v/>
      </c>
      <c r="F30" s="196" t="str">
        <f t="shared" si="0"/>
        <v/>
      </c>
      <c r="G30" s="190" t="str">
        <f t="shared" si="4"/>
        <v/>
      </c>
      <c r="H30" s="503" t="str">
        <f t="shared" si="5"/>
        <v/>
      </c>
      <c r="I30" s="49"/>
    </row>
    <row r="31" spans="2:9" ht="20.100000000000001" customHeight="1" x14ac:dyDescent="0.3">
      <c r="B31" s="198">
        <v>23</v>
      </c>
      <c r="C31" s="501" t="str">
        <f t="shared" si="1"/>
        <v/>
      </c>
      <c r="D31" s="502" t="str">
        <f t="shared" si="2"/>
        <v/>
      </c>
      <c r="E31" s="190" t="str">
        <f t="shared" si="3"/>
        <v/>
      </c>
      <c r="F31" s="196" t="str">
        <f t="shared" si="0"/>
        <v/>
      </c>
      <c r="G31" s="190" t="str">
        <f t="shared" si="4"/>
        <v/>
      </c>
      <c r="H31" s="503" t="str">
        <f t="shared" si="5"/>
        <v/>
      </c>
      <c r="I31" s="49"/>
    </row>
    <row r="32" spans="2:9" ht="20.100000000000001" customHeight="1" x14ac:dyDescent="0.3">
      <c r="B32" s="198">
        <v>24</v>
      </c>
      <c r="C32" s="501" t="str">
        <f t="shared" si="1"/>
        <v/>
      </c>
      <c r="D32" s="502" t="str">
        <f t="shared" si="2"/>
        <v/>
      </c>
      <c r="E32" s="190" t="str">
        <f t="shared" si="3"/>
        <v/>
      </c>
      <c r="F32" s="196" t="str">
        <f t="shared" si="0"/>
        <v/>
      </c>
      <c r="G32" s="190" t="str">
        <f t="shared" si="4"/>
        <v/>
      </c>
      <c r="H32" s="503" t="str">
        <f t="shared" si="5"/>
        <v/>
      </c>
      <c r="I32" s="49"/>
    </row>
    <row r="33" spans="2:9" ht="20.100000000000001" customHeight="1" x14ac:dyDescent="0.3">
      <c r="B33" s="197">
        <v>25</v>
      </c>
      <c r="C33" s="501" t="str">
        <f t="shared" si="1"/>
        <v/>
      </c>
      <c r="D33" s="502" t="str">
        <f t="shared" si="2"/>
        <v/>
      </c>
      <c r="E33" s="190" t="str">
        <f t="shared" si="3"/>
        <v/>
      </c>
      <c r="F33" s="196" t="str">
        <f t="shared" si="0"/>
        <v/>
      </c>
      <c r="G33" s="190" t="str">
        <f t="shared" si="4"/>
        <v/>
      </c>
      <c r="H33" s="503" t="str">
        <f t="shared" si="5"/>
        <v/>
      </c>
      <c r="I33" s="49"/>
    </row>
    <row r="34" spans="2:9" ht="20.100000000000001" customHeight="1" x14ac:dyDescent="0.3">
      <c r="B34" s="198">
        <v>26</v>
      </c>
      <c r="C34" s="501" t="str">
        <f t="shared" si="1"/>
        <v/>
      </c>
      <c r="D34" s="502" t="str">
        <f t="shared" si="2"/>
        <v/>
      </c>
      <c r="E34" s="190" t="str">
        <f t="shared" si="3"/>
        <v/>
      </c>
      <c r="F34" s="196" t="str">
        <f t="shared" si="0"/>
        <v/>
      </c>
      <c r="G34" s="190" t="str">
        <f t="shared" si="4"/>
        <v/>
      </c>
      <c r="H34" s="503" t="str">
        <f t="shared" si="5"/>
        <v/>
      </c>
      <c r="I34" s="49"/>
    </row>
    <row r="35" spans="2:9" ht="20.100000000000001" customHeight="1" x14ac:dyDescent="0.3">
      <c r="B35" s="198">
        <v>27</v>
      </c>
      <c r="C35" s="501" t="str">
        <f t="shared" si="1"/>
        <v/>
      </c>
      <c r="D35" s="502" t="str">
        <f t="shared" si="2"/>
        <v/>
      </c>
      <c r="E35" s="190" t="str">
        <f t="shared" si="3"/>
        <v/>
      </c>
      <c r="F35" s="196" t="str">
        <f t="shared" si="0"/>
        <v/>
      </c>
      <c r="G35" s="190" t="str">
        <f t="shared" si="4"/>
        <v/>
      </c>
      <c r="H35" s="503" t="str">
        <f t="shared" si="5"/>
        <v/>
      </c>
      <c r="I35" s="49"/>
    </row>
    <row r="36" spans="2:9" ht="20.100000000000001" customHeight="1" x14ac:dyDescent="0.3">
      <c r="B36" s="198">
        <v>28</v>
      </c>
      <c r="C36" s="501" t="str">
        <f t="shared" si="1"/>
        <v/>
      </c>
      <c r="D36" s="502" t="str">
        <f t="shared" si="2"/>
        <v/>
      </c>
      <c r="E36" s="190" t="str">
        <f t="shared" si="3"/>
        <v/>
      </c>
      <c r="F36" s="196" t="str">
        <f t="shared" si="0"/>
        <v/>
      </c>
      <c r="G36" s="190" t="str">
        <f t="shared" si="4"/>
        <v/>
      </c>
      <c r="H36" s="503" t="str">
        <f t="shared" si="5"/>
        <v/>
      </c>
      <c r="I36" s="49"/>
    </row>
    <row r="37" spans="2:9" ht="20.100000000000001" customHeight="1" x14ac:dyDescent="0.3">
      <c r="B37" s="198">
        <v>29</v>
      </c>
      <c r="C37" s="501" t="str">
        <f t="shared" si="1"/>
        <v/>
      </c>
      <c r="D37" s="502" t="str">
        <f t="shared" si="2"/>
        <v/>
      </c>
      <c r="E37" s="190" t="str">
        <f t="shared" si="3"/>
        <v/>
      </c>
      <c r="F37" s="196" t="str">
        <f t="shared" si="0"/>
        <v/>
      </c>
      <c r="G37" s="190" t="str">
        <f t="shared" si="4"/>
        <v/>
      </c>
      <c r="H37" s="503" t="str">
        <f t="shared" si="5"/>
        <v/>
      </c>
      <c r="I37" s="49"/>
    </row>
    <row r="38" spans="2:9" ht="20.100000000000001" customHeight="1" x14ac:dyDescent="0.3">
      <c r="B38" s="198">
        <v>30</v>
      </c>
      <c r="C38" s="501" t="str">
        <f t="shared" si="1"/>
        <v/>
      </c>
      <c r="D38" s="502" t="str">
        <f t="shared" si="2"/>
        <v/>
      </c>
      <c r="E38" s="190" t="str">
        <f t="shared" si="3"/>
        <v/>
      </c>
      <c r="F38" s="196" t="str">
        <f t="shared" si="0"/>
        <v/>
      </c>
      <c r="G38" s="190" t="str">
        <f t="shared" si="4"/>
        <v/>
      </c>
      <c r="H38" s="503" t="str">
        <f t="shared" si="5"/>
        <v/>
      </c>
      <c r="I38" s="49"/>
    </row>
    <row r="39" spans="2:9" ht="20.100000000000001" customHeight="1" x14ac:dyDescent="0.3">
      <c r="B39" s="198">
        <v>31</v>
      </c>
      <c r="C39" s="501" t="str">
        <f t="shared" si="1"/>
        <v/>
      </c>
      <c r="D39" s="502" t="str">
        <f t="shared" si="2"/>
        <v/>
      </c>
      <c r="E39" s="190" t="str">
        <f t="shared" si="3"/>
        <v/>
      </c>
      <c r="F39" s="196" t="str">
        <f t="shared" si="0"/>
        <v/>
      </c>
      <c r="G39" s="190" t="str">
        <f t="shared" si="4"/>
        <v/>
      </c>
      <c r="H39" s="503" t="str">
        <f t="shared" si="5"/>
        <v/>
      </c>
      <c r="I39" s="49"/>
    </row>
    <row r="40" spans="2:9" ht="20.100000000000001" customHeight="1" x14ac:dyDescent="0.3">
      <c r="B40" s="198">
        <v>32</v>
      </c>
      <c r="C40" s="501" t="str">
        <f t="shared" si="1"/>
        <v/>
      </c>
      <c r="D40" s="502" t="str">
        <f t="shared" si="2"/>
        <v/>
      </c>
      <c r="E40" s="190" t="str">
        <f t="shared" si="3"/>
        <v/>
      </c>
      <c r="F40" s="196" t="str">
        <f t="shared" si="0"/>
        <v/>
      </c>
      <c r="G40" s="190" t="str">
        <f t="shared" si="4"/>
        <v/>
      </c>
      <c r="H40" s="503" t="str">
        <f t="shared" si="5"/>
        <v/>
      </c>
      <c r="I40" s="49"/>
    </row>
    <row r="41" spans="2:9" ht="20.100000000000001" customHeight="1" x14ac:dyDescent="0.3">
      <c r="B41" s="198">
        <v>33</v>
      </c>
      <c r="C41" s="501" t="str">
        <f t="shared" si="1"/>
        <v/>
      </c>
      <c r="D41" s="502" t="str">
        <f t="shared" si="2"/>
        <v/>
      </c>
      <c r="E41" s="190" t="str">
        <f t="shared" si="3"/>
        <v/>
      </c>
      <c r="F41" s="196" t="str">
        <f t="shared" si="0"/>
        <v/>
      </c>
      <c r="G41" s="190" t="str">
        <f t="shared" si="4"/>
        <v/>
      </c>
      <c r="H41" s="503" t="str">
        <f t="shared" si="5"/>
        <v/>
      </c>
      <c r="I41" s="49"/>
    </row>
    <row r="42" spans="2:9" ht="20.100000000000001" customHeight="1" x14ac:dyDescent="0.3">
      <c r="B42" s="198">
        <v>34</v>
      </c>
      <c r="C42" s="501" t="str">
        <f t="shared" si="1"/>
        <v/>
      </c>
      <c r="D42" s="502" t="str">
        <f t="shared" si="2"/>
        <v/>
      </c>
      <c r="E42" s="190" t="str">
        <f t="shared" si="3"/>
        <v/>
      </c>
      <c r="F42" s="196" t="str">
        <f t="shared" si="0"/>
        <v/>
      </c>
      <c r="G42" s="190" t="str">
        <f t="shared" si="4"/>
        <v/>
      </c>
      <c r="H42" s="503" t="str">
        <f t="shared" si="5"/>
        <v/>
      </c>
      <c r="I42" s="49"/>
    </row>
    <row r="43" spans="2:9" ht="20.100000000000001" customHeight="1" x14ac:dyDescent="0.3">
      <c r="B43" s="198">
        <v>35</v>
      </c>
      <c r="C43" s="501" t="str">
        <f t="shared" si="1"/>
        <v/>
      </c>
      <c r="D43" s="502" t="str">
        <f t="shared" si="2"/>
        <v/>
      </c>
      <c r="E43" s="190" t="str">
        <f t="shared" si="3"/>
        <v/>
      </c>
      <c r="F43" s="196" t="str">
        <f t="shared" si="0"/>
        <v/>
      </c>
      <c r="G43" s="190" t="str">
        <f t="shared" si="4"/>
        <v/>
      </c>
      <c r="H43" s="503" t="str">
        <f t="shared" si="5"/>
        <v/>
      </c>
      <c r="I43" s="49"/>
    </row>
    <row r="44" spans="2:9" ht="20.100000000000001" customHeight="1" x14ac:dyDescent="0.3">
      <c r="B44" s="198">
        <v>36</v>
      </c>
      <c r="C44" s="501" t="str">
        <f t="shared" si="1"/>
        <v/>
      </c>
      <c r="D44" s="502" t="str">
        <f t="shared" si="2"/>
        <v/>
      </c>
      <c r="E44" s="190" t="str">
        <f t="shared" si="3"/>
        <v/>
      </c>
      <c r="F44" s="196" t="str">
        <f t="shared" si="0"/>
        <v/>
      </c>
      <c r="G44" s="190" t="str">
        <f t="shared" si="4"/>
        <v/>
      </c>
      <c r="H44" s="503" t="str">
        <f t="shared" si="5"/>
        <v/>
      </c>
      <c r="I44" s="49"/>
    </row>
    <row r="45" spans="2:9" ht="20.100000000000001" customHeight="1" x14ac:dyDescent="0.3">
      <c r="B45" s="198">
        <v>37</v>
      </c>
      <c r="C45" s="501" t="str">
        <f t="shared" si="1"/>
        <v/>
      </c>
      <c r="D45" s="502" t="str">
        <f t="shared" si="2"/>
        <v/>
      </c>
      <c r="E45" s="190" t="str">
        <f t="shared" si="3"/>
        <v/>
      </c>
      <c r="F45" s="196" t="str">
        <f t="shared" si="0"/>
        <v/>
      </c>
      <c r="G45" s="190" t="str">
        <f t="shared" si="4"/>
        <v/>
      </c>
      <c r="H45" s="503" t="str">
        <f t="shared" si="5"/>
        <v/>
      </c>
      <c r="I45" s="49"/>
    </row>
    <row r="46" spans="2:9" ht="20.100000000000001" customHeight="1" x14ac:dyDescent="0.3">
      <c r="B46" s="198">
        <v>38</v>
      </c>
      <c r="C46" s="501" t="str">
        <f t="shared" si="1"/>
        <v/>
      </c>
      <c r="D46" s="502" t="str">
        <f t="shared" si="2"/>
        <v/>
      </c>
      <c r="E46" s="190" t="str">
        <f t="shared" si="3"/>
        <v/>
      </c>
      <c r="F46" s="196" t="str">
        <f t="shared" si="0"/>
        <v/>
      </c>
      <c r="G46" s="190" t="str">
        <f t="shared" si="4"/>
        <v/>
      </c>
      <c r="H46" s="503" t="str">
        <f t="shared" si="5"/>
        <v/>
      </c>
      <c r="I46" s="49"/>
    </row>
    <row r="47" spans="2:9" ht="20.100000000000001" customHeight="1" x14ac:dyDescent="0.3">
      <c r="B47" s="198">
        <v>39</v>
      </c>
      <c r="C47" s="501" t="str">
        <f t="shared" si="1"/>
        <v/>
      </c>
      <c r="D47" s="502" t="str">
        <f t="shared" si="2"/>
        <v/>
      </c>
      <c r="E47" s="190" t="str">
        <f t="shared" si="3"/>
        <v/>
      </c>
      <c r="F47" s="196" t="str">
        <f t="shared" si="0"/>
        <v/>
      </c>
      <c r="G47" s="190" t="str">
        <f t="shared" si="4"/>
        <v/>
      </c>
      <c r="H47" s="503" t="str">
        <f t="shared" si="5"/>
        <v/>
      </c>
      <c r="I47" s="49"/>
    </row>
    <row r="48" spans="2:9" ht="20.100000000000001" customHeight="1" x14ac:dyDescent="0.3">
      <c r="B48" s="198">
        <v>40</v>
      </c>
      <c r="C48" s="501" t="str">
        <f t="shared" si="1"/>
        <v/>
      </c>
      <c r="D48" s="502" t="str">
        <f t="shared" si="2"/>
        <v/>
      </c>
      <c r="E48" s="190" t="str">
        <f t="shared" si="3"/>
        <v/>
      </c>
      <c r="F48" s="196" t="str">
        <f t="shared" si="0"/>
        <v/>
      </c>
      <c r="G48" s="190" t="str">
        <f t="shared" si="4"/>
        <v/>
      </c>
      <c r="H48" s="503" t="str">
        <f t="shared" si="5"/>
        <v/>
      </c>
      <c r="I48" s="49"/>
    </row>
    <row r="49" spans="2:28" ht="20.100000000000001" customHeight="1" x14ac:dyDescent="0.3">
      <c r="B49" s="198">
        <v>41</v>
      </c>
      <c r="C49" s="501" t="str">
        <f t="shared" si="1"/>
        <v/>
      </c>
      <c r="D49" s="502" t="str">
        <f t="shared" si="2"/>
        <v/>
      </c>
      <c r="E49" s="190" t="str">
        <f t="shared" si="3"/>
        <v/>
      </c>
      <c r="F49" s="196" t="str">
        <f t="shared" si="0"/>
        <v/>
      </c>
      <c r="G49" s="190" t="str">
        <f t="shared" si="4"/>
        <v/>
      </c>
      <c r="H49" s="503" t="str">
        <f t="shared" si="5"/>
        <v/>
      </c>
      <c r="I49" s="49"/>
    </row>
    <row r="50" spans="2:28" ht="20.100000000000001" customHeight="1" x14ac:dyDescent="0.3">
      <c r="B50" s="198">
        <v>42</v>
      </c>
      <c r="C50" s="501" t="str">
        <f t="shared" si="1"/>
        <v/>
      </c>
      <c r="D50" s="502" t="str">
        <f t="shared" si="2"/>
        <v/>
      </c>
      <c r="E50" s="190" t="str">
        <f t="shared" si="3"/>
        <v/>
      </c>
      <c r="F50" s="196" t="str">
        <f t="shared" si="0"/>
        <v/>
      </c>
      <c r="G50" s="190" t="str">
        <f t="shared" si="4"/>
        <v/>
      </c>
      <c r="H50" s="503" t="str">
        <f t="shared" si="5"/>
        <v/>
      </c>
      <c r="I50" s="49"/>
    </row>
    <row r="51" spans="2:28" ht="20.100000000000001" customHeight="1" x14ac:dyDescent="0.3">
      <c r="B51" s="198">
        <v>43</v>
      </c>
      <c r="C51" s="501" t="str">
        <f t="shared" si="1"/>
        <v/>
      </c>
      <c r="D51" s="502" t="str">
        <f t="shared" si="2"/>
        <v/>
      </c>
      <c r="E51" s="190" t="str">
        <f t="shared" si="3"/>
        <v/>
      </c>
      <c r="F51" s="196" t="str">
        <f t="shared" si="0"/>
        <v/>
      </c>
      <c r="G51" s="190" t="str">
        <f t="shared" si="4"/>
        <v/>
      </c>
      <c r="H51" s="503" t="str">
        <f t="shared" si="5"/>
        <v/>
      </c>
      <c r="I51" s="49"/>
    </row>
    <row r="52" spans="2:28" ht="20.100000000000001" customHeight="1" x14ac:dyDescent="0.3">
      <c r="B52" s="198">
        <v>44</v>
      </c>
      <c r="C52" s="501" t="str">
        <f t="shared" si="1"/>
        <v/>
      </c>
      <c r="D52" s="502" t="str">
        <f t="shared" si="2"/>
        <v/>
      </c>
      <c r="E52" s="190" t="str">
        <f t="shared" si="3"/>
        <v/>
      </c>
      <c r="F52" s="196" t="str">
        <f t="shared" si="0"/>
        <v/>
      </c>
      <c r="G52" s="190" t="str">
        <f t="shared" si="4"/>
        <v/>
      </c>
      <c r="H52" s="503" t="str">
        <f t="shared" si="5"/>
        <v/>
      </c>
      <c r="I52" s="49"/>
    </row>
    <row r="53" spans="2:28" ht="20.100000000000001" customHeight="1" x14ac:dyDescent="0.3">
      <c r="B53" s="198">
        <v>45</v>
      </c>
      <c r="C53" s="501" t="str">
        <f t="shared" si="1"/>
        <v/>
      </c>
      <c r="D53" s="502" t="str">
        <f t="shared" si="2"/>
        <v/>
      </c>
      <c r="E53" s="190" t="str">
        <f t="shared" si="3"/>
        <v/>
      </c>
      <c r="F53" s="196" t="str">
        <f t="shared" si="0"/>
        <v/>
      </c>
      <c r="G53" s="190" t="str">
        <f t="shared" si="4"/>
        <v/>
      </c>
      <c r="H53" s="503" t="str">
        <f t="shared" si="5"/>
        <v/>
      </c>
      <c r="I53" s="49"/>
    </row>
    <row r="54" spans="2:28" ht="20.100000000000001" customHeight="1" x14ac:dyDescent="0.3">
      <c r="B54" s="198">
        <v>46</v>
      </c>
      <c r="C54" s="501" t="str">
        <f t="shared" si="1"/>
        <v/>
      </c>
      <c r="D54" s="502" t="str">
        <f t="shared" si="2"/>
        <v/>
      </c>
      <c r="E54" s="190" t="str">
        <f t="shared" si="3"/>
        <v/>
      </c>
      <c r="F54" s="196" t="str">
        <f t="shared" si="0"/>
        <v/>
      </c>
      <c r="G54" s="190" t="str">
        <f t="shared" si="4"/>
        <v/>
      </c>
      <c r="H54" s="503" t="str">
        <f t="shared" si="5"/>
        <v/>
      </c>
      <c r="I54" s="49"/>
    </row>
    <row r="55" spans="2:28" ht="20.100000000000001" customHeight="1" x14ac:dyDescent="0.3">
      <c r="B55" s="198">
        <v>47</v>
      </c>
      <c r="C55" s="501" t="str">
        <f t="shared" si="1"/>
        <v/>
      </c>
      <c r="D55" s="502" t="str">
        <f t="shared" si="2"/>
        <v/>
      </c>
      <c r="E55" s="190" t="str">
        <f t="shared" si="3"/>
        <v/>
      </c>
      <c r="F55" s="196" t="str">
        <f t="shared" si="0"/>
        <v/>
      </c>
      <c r="G55" s="190" t="str">
        <f t="shared" si="4"/>
        <v/>
      </c>
      <c r="H55" s="503" t="str">
        <f t="shared" si="5"/>
        <v/>
      </c>
      <c r="I55" s="49"/>
    </row>
    <row r="56" spans="2:28" ht="20.100000000000001" customHeight="1" x14ac:dyDescent="0.3">
      <c r="B56" s="198">
        <v>48</v>
      </c>
      <c r="C56" s="501" t="str">
        <f t="shared" si="1"/>
        <v/>
      </c>
      <c r="D56" s="502" t="str">
        <f t="shared" si="2"/>
        <v/>
      </c>
      <c r="E56" s="190" t="str">
        <f t="shared" si="3"/>
        <v/>
      </c>
      <c r="F56" s="196" t="str">
        <f t="shared" si="0"/>
        <v/>
      </c>
      <c r="G56" s="190" t="str">
        <f t="shared" si="4"/>
        <v/>
      </c>
      <c r="H56" s="503" t="str">
        <f t="shared" si="5"/>
        <v/>
      </c>
      <c r="I56" s="49"/>
    </row>
    <row r="57" spans="2:28" ht="20.100000000000001" customHeight="1" x14ac:dyDescent="0.3">
      <c r="B57" s="198">
        <v>49</v>
      </c>
      <c r="C57" s="501" t="str">
        <f t="shared" si="1"/>
        <v/>
      </c>
      <c r="D57" s="502" t="str">
        <f t="shared" si="2"/>
        <v/>
      </c>
      <c r="E57" s="190" t="str">
        <f t="shared" si="3"/>
        <v/>
      </c>
      <c r="F57" s="196" t="str">
        <f t="shared" si="0"/>
        <v/>
      </c>
      <c r="G57" s="190" t="str">
        <f t="shared" si="4"/>
        <v/>
      </c>
      <c r="H57" s="503" t="str">
        <f t="shared" si="5"/>
        <v/>
      </c>
      <c r="I57" s="49"/>
    </row>
    <row r="58" spans="2:28" ht="20.100000000000001" customHeight="1" x14ac:dyDescent="0.3">
      <c r="B58" s="198">
        <v>50</v>
      </c>
      <c r="C58" s="501" t="str">
        <f t="shared" si="1"/>
        <v/>
      </c>
      <c r="D58" s="502" t="str">
        <f t="shared" si="2"/>
        <v/>
      </c>
      <c r="E58" s="190" t="str">
        <f t="shared" si="3"/>
        <v/>
      </c>
      <c r="F58" s="196" t="str">
        <f t="shared" si="0"/>
        <v/>
      </c>
      <c r="G58" s="190" t="str">
        <f t="shared" si="4"/>
        <v/>
      </c>
      <c r="H58" s="503" t="str">
        <f t="shared" si="5"/>
        <v/>
      </c>
      <c r="I58" s="49"/>
    </row>
    <row r="59" spans="2:28" ht="20.100000000000001" customHeight="1" x14ac:dyDescent="0.3">
      <c r="B59" s="198">
        <v>51</v>
      </c>
      <c r="C59" s="501" t="str">
        <f t="shared" si="1"/>
        <v/>
      </c>
      <c r="D59" s="502" t="str">
        <f t="shared" si="2"/>
        <v/>
      </c>
      <c r="E59" s="190" t="str">
        <f t="shared" si="3"/>
        <v/>
      </c>
      <c r="F59" s="196" t="str">
        <f t="shared" si="0"/>
        <v/>
      </c>
      <c r="G59" s="190" t="str">
        <f t="shared" si="4"/>
        <v/>
      </c>
      <c r="H59" s="503" t="str">
        <f t="shared" si="5"/>
        <v/>
      </c>
      <c r="I59" s="49"/>
    </row>
    <row r="60" spans="2:28" ht="20.100000000000001" customHeight="1" x14ac:dyDescent="0.3">
      <c r="B60" s="198">
        <v>52</v>
      </c>
      <c r="C60" s="501" t="str">
        <f t="shared" si="1"/>
        <v/>
      </c>
      <c r="D60" s="502" t="str">
        <f t="shared" si="2"/>
        <v/>
      </c>
      <c r="E60" s="190" t="str">
        <f t="shared" si="3"/>
        <v/>
      </c>
      <c r="F60" s="196" t="str">
        <f t="shared" si="0"/>
        <v/>
      </c>
      <c r="G60" s="190" t="str">
        <f t="shared" si="4"/>
        <v/>
      </c>
      <c r="H60" s="503" t="str">
        <f t="shared" si="5"/>
        <v/>
      </c>
      <c r="I60" s="49"/>
    </row>
    <row r="61" spans="2:28" ht="20.100000000000001" customHeight="1" x14ac:dyDescent="0.3">
      <c r="B61" s="198">
        <v>53</v>
      </c>
      <c r="C61" s="501" t="str">
        <f t="shared" si="1"/>
        <v/>
      </c>
      <c r="D61" s="502" t="str">
        <f t="shared" si="2"/>
        <v/>
      </c>
      <c r="E61" s="190" t="str">
        <f t="shared" si="3"/>
        <v/>
      </c>
      <c r="F61" s="196" t="str">
        <f t="shared" si="0"/>
        <v/>
      </c>
      <c r="G61" s="190" t="str">
        <f t="shared" si="4"/>
        <v/>
      </c>
      <c r="H61" s="503" t="str">
        <f t="shared" si="5"/>
        <v/>
      </c>
      <c r="I61" s="49"/>
      <c r="K61" s="1"/>
      <c r="L61" s="1"/>
      <c r="M61" s="1"/>
      <c r="T61" s="45"/>
      <c r="U61" s="1"/>
      <c r="V61" s="1"/>
      <c r="Z61" s="1"/>
      <c r="AA61" s="1"/>
      <c r="AB61" s="1"/>
    </row>
    <row r="62" spans="2:28" ht="20.100000000000001" customHeight="1" x14ac:dyDescent="0.3">
      <c r="B62" s="198">
        <v>54</v>
      </c>
      <c r="C62" s="501" t="str">
        <f t="shared" si="1"/>
        <v/>
      </c>
      <c r="D62" s="502" t="str">
        <f t="shared" si="2"/>
        <v/>
      </c>
      <c r="E62" s="190" t="str">
        <f t="shared" si="3"/>
        <v/>
      </c>
      <c r="F62" s="196" t="str">
        <f t="shared" si="0"/>
        <v/>
      </c>
      <c r="G62" s="190" t="str">
        <f t="shared" si="4"/>
        <v/>
      </c>
      <c r="H62" s="503" t="str">
        <f t="shared" si="5"/>
        <v/>
      </c>
      <c r="I62" s="44"/>
      <c r="K62" s="44"/>
      <c r="N62" s="44"/>
      <c r="Q62" s="44"/>
      <c r="T62" s="44"/>
      <c r="W62" s="44"/>
      <c r="Z62" s="44"/>
    </row>
    <row r="63" spans="2:28" ht="20.100000000000001" customHeight="1" x14ac:dyDescent="0.3">
      <c r="B63" s="198">
        <v>55</v>
      </c>
      <c r="C63" s="501" t="str">
        <f t="shared" si="1"/>
        <v/>
      </c>
      <c r="D63" s="502" t="str">
        <f t="shared" si="2"/>
        <v/>
      </c>
      <c r="E63" s="190" t="str">
        <f t="shared" si="3"/>
        <v/>
      </c>
      <c r="F63" s="196" t="str">
        <f t="shared" si="0"/>
        <v/>
      </c>
      <c r="G63" s="190" t="str">
        <f t="shared" si="4"/>
        <v/>
      </c>
      <c r="H63" s="503" t="str">
        <f t="shared" si="5"/>
        <v/>
      </c>
      <c r="I63" s="452"/>
      <c r="K63" s="578"/>
      <c r="L63" s="578"/>
      <c r="M63" s="46"/>
      <c r="N63" s="578"/>
      <c r="O63" s="578"/>
      <c r="P63" s="46"/>
      <c r="Q63" s="578"/>
      <c r="R63" s="578"/>
      <c r="S63" s="46"/>
      <c r="T63" s="578"/>
      <c r="U63" s="578"/>
      <c r="V63" s="46"/>
      <c r="W63" s="578"/>
      <c r="X63" s="578"/>
      <c r="Y63" s="46"/>
      <c r="Z63" s="578"/>
      <c r="AA63" s="578"/>
      <c r="AB63" s="46"/>
    </row>
    <row r="64" spans="2:28" ht="20.100000000000001" customHeight="1" x14ac:dyDescent="0.3">
      <c r="B64" s="198">
        <v>56</v>
      </c>
      <c r="C64" s="501" t="str">
        <f t="shared" si="1"/>
        <v/>
      </c>
      <c r="D64" s="502" t="str">
        <f t="shared" si="2"/>
        <v/>
      </c>
      <c r="E64" s="190" t="str">
        <f t="shared" si="3"/>
        <v/>
      </c>
      <c r="F64" s="196" t="str">
        <f t="shared" si="0"/>
        <v/>
      </c>
      <c r="G64" s="190" t="str">
        <f t="shared" si="4"/>
        <v/>
      </c>
      <c r="H64" s="503" t="str">
        <f t="shared" si="5"/>
        <v/>
      </c>
      <c r="I64" s="49"/>
    </row>
    <row r="65" spans="2:9" ht="20.100000000000001" customHeight="1" x14ac:dyDescent="0.3">
      <c r="B65" s="198">
        <v>57</v>
      </c>
      <c r="C65" s="501" t="str">
        <f t="shared" si="1"/>
        <v/>
      </c>
      <c r="D65" s="502" t="str">
        <f t="shared" si="2"/>
        <v/>
      </c>
      <c r="E65" s="190" t="str">
        <f t="shared" si="3"/>
        <v/>
      </c>
      <c r="F65" s="196" t="str">
        <f t="shared" si="0"/>
        <v/>
      </c>
      <c r="G65" s="190" t="str">
        <f t="shared" si="4"/>
        <v/>
      </c>
      <c r="H65" s="503" t="str">
        <f t="shared" si="5"/>
        <v/>
      </c>
      <c r="I65" s="49"/>
    </row>
    <row r="66" spans="2:9" ht="20.100000000000001" customHeight="1" x14ac:dyDescent="0.3">
      <c r="B66" s="198">
        <v>58</v>
      </c>
      <c r="C66" s="501" t="str">
        <f t="shared" si="1"/>
        <v/>
      </c>
      <c r="D66" s="502" t="str">
        <f t="shared" si="2"/>
        <v/>
      </c>
      <c r="E66" s="190" t="str">
        <f t="shared" si="3"/>
        <v/>
      </c>
      <c r="F66" s="196" t="str">
        <f t="shared" si="0"/>
        <v/>
      </c>
      <c r="G66" s="190" t="str">
        <f t="shared" si="4"/>
        <v/>
      </c>
      <c r="H66" s="503" t="str">
        <f t="shared" si="5"/>
        <v/>
      </c>
      <c r="I66" s="49"/>
    </row>
    <row r="67" spans="2:9" ht="20.100000000000001" customHeight="1" x14ac:dyDescent="0.3">
      <c r="B67" s="198">
        <v>59</v>
      </c>
      <c r="C67" s="501" t="str">
        <f t="shared" si="1"/>
        <v/>
      </c>
      <c r="D67" s="502" t="str">
        <f t="shared" si="2"/>
        <v/>
      </c>
      <c r="E67" s="190" t="str">
        <f t="shared" si="3"/>
        <v/>
      </c>
      <c r="F67" s="196" t="str">
        <f t="shared" si="0"/>
        <v/>
      </c>
      <c r="G67" s="190" t="str">
        <f t="shared" si="4"/>
        <v/>
      </c>
      <c r="H67" s="503" t="str">
        <f t="shared" si="5"/>
        <v/>
      </c>
      <c r="I67" s="49"/>
    </row>
    <row r="68" spans="2:9" ht="20.100000000000001" customHeight="1" x14ac:dyDescent="0.3">
      <c r="B68" s="198">
        <v>60</v>
      </c>
      <c r="C68" s="501" t="str">
        <f t="shared" si="1"/>
        <v/>
      </c>
      <c r="D68" s="502" t="str">
        <f t="shared" si="2"/>
        <v/>
      </c>
      <c r="E68" s="190" t="str">
        <f t="shared" si="3"/>
        <v/>
      </c>
      <c r="F68" s="196" t="str">
        <f t="shared" si="0"/>
        <v/>
      </c>
      <c r="G68" s="190" t="str">
        <f t="shared" si="4"/>
        <v/>
      </c>
      <c r="H68" s="503" t="str">
        <f t="shared" si="5"/>
        <v/>
      </c>
      <c r="I68" s="49"/>
    </row>
    <row r="69" spans="2:9" ht="20.100000000000001" customHeight="1" x14ac:dyDescent="0.3">
      <c r="B69" s="198">
        <v>61</v>
      </c>
      <c r="C69" s="501" t="str">
        <f t="shared" si="1"/>
        <v/>
      </c>
      <c r="D69" s="502" t="str">
        <f t="shared" si="2"/>
        <v/>
      </c>
      <c r="E69" s="190" t="str">
        <f t="shared" si="3"/>
        <v/>
      </c>
      <c r="F69" s="196" t="str">
        <f t="shared" si="0"/>
        <v/>
      </c>
      <c r="G69" s="190" t="str">
        <f t="shared" si="4"/>
        <v/>
      </c>
      <c r="H69" s="503" t="str">
        <f t="shared" si="5"/>
        <v/>
      </c>
      <c r="I69" s="49"/>
    </row>
    <row r="70" spans="2:9" ht="20.100000000000001" customHeight="1" x14ac:dyDescent="0.3">
      <c r="B70" s="198">
        <v>62</v>
      </c>
      <c r="C70" s="501" t="str">
        <f t="shared" si="1"/>
        <v/>
      </c>
      <c r="D70" s="502" t="str">
        <f t="shared" si="2"/>
        <v/>
      </c>
      <c r="E70" s="190" t="str">
        <f t="shared" si="3"/>
        <v/>
      </c>
      <c r="F70" s="196" t="str">
        <f t="shared" si="0"/>
        <v/>
      </c>
      <c r="G70" s="190" t="str">
        <f t="shared" si="4"/>
        <v/>
      </c>
      <c r="H70" s="503" t="str">
        <f t="shared" si="5"/>
        <v/>
      </c>
      <c r="I70" s="49"/>
    </row>
    <row r="71" spans="2:9" ht="20.100000000000001" customHeight="1" x14ac:dyDescent="0.3">
      <c r="B71" s="198">
        <v>63</v>
      </c>
      <c r="C71" s="501" t="str">
        <f t="shared" si="1"/>
        <v/>
      </c>
      <c r="D71" s="502" t="str">
        <f t="shared" si="2"/>
        <v/>
      </c>
      <c r="E71" s="190" t="str">
        <f t="shared" si="3"/>
        <v/>
      </c>
      <c r="F71" s="196" t="str">
        <f t="shared" si="0"/>
        <v/>
      </c>
      <c r="G71" s="190" t="str">
        <f t="shared" si="4"/>
        <v/>
      </c>
      <c r="H71" s="503" t="str">
        <f t="shared" si="5"/>
        <v/>
      </c>
      <c r="I71" s="49"/>
    </row>
    <row r="72" spans="2:9" ht="20.100000000000001" customHeight="1" x14ac:dyDescent="0.3">
      <c r="B72" s="198">
        <v>64</v>
      </c>
      <c r="C72" s="501" t="str">
        <f t="shared" si="1"/>
        <v/>
      </c>
      <c r="D72" s="502" t="str">
        <f t="shared" si="2"/>
        <v/>
      </c>
      <c r="E72" s="190" t="str">
        <f t="shared" si="3"/>
        <v/>
      </c>
      <c r="F72" s="196" t="str">
        <f t="shared" si="0"/>
        <v/>
      </c>
      <c r="G72" s="190" t="str">
        <f t="shared" si="4"/>
        <v/>
      </c>
      <c r="H72" s="503" t="str">
        <f t="shared" si="5"/>
        <v/>
      </c>
      <c r="I72" s="49"/>
    </row>
    <row r="73" spans="2:9" ht="20.100000000000001" customHeight="1" x14ac:dyDescent="0.3">
      <c r="B73" s="198">
        <v>65</v>
      </c>
      <c r="C73" s="501" t="str">
        <f t="shared" si="1"/>
        <v/>
      </c>
      <c r="D73" s="502" t="str">
        <f t="shared" si="2"/>
        <v/>
      </c>
      <c r="E73" s="190" t="str">
        <f t="shared" si="3"/>
        <v/>
      </c>
      <c r="F73" s="196" t="str">
        <f t="shared" si="0"/>
        <v/>
      </c>
      <c r="G73" s="190" t="str">
        <f t="shared" si="4"/>
        <v/>
      </c>
      <c r="H73" s="503" t="str">
        <f t="shared" si="5"/>
        <v/>
      </c>
      <c r="I73" s="49"/>
    </row>
    <row r="74" spans="2:9" ht="20.100000000000001" customHeight="1" x14ac:dyDescent="0.3">
      <c r="B74" s="198">
        <v>66</v>
      </c>
      <c r="C74" s="501" t="str">
        <f t="shared" si="1"/>
        <v/>
      </c>
      <c r="D74" s="502" t="str">
        <f t="shared" si="2"/>
        <v/>
      </c>
      <c r="E74" s="190" t="str">
        <f t="shared" si="3"/>
        <v/>
      </c>
      <c r="F74" s="196" t="str">
        <f t="shared" ref="F74:F137" si="6">IF($H$4="","",IF($F$4="원리금균등상환",IFERROR(D74+E74,""),IF($F$4="원금균등상환",D74+E74,"")))</f>
        <v/>
      </c>
      <c r="G74" s="190" t="str">
        <f t="shared" si="4"/>
        <v/>
      </c>
      <c r="H74" s="503" t="str">
        <f t="shared" si="5"/>
        <v/>
      </c>
      <c r="I74" s="49"/>
    </row>
    <row r="75" spans="2:9" ht="20.100000000000001" customHeight="1" x14ac:dyDescent="0.3">
      <c r="B75" s="198">
        <v>67</v>
      </c>
      <c r="C75" s="501" t="str">
        <f t="shared" ref="C75:C138" si="7">IF($H$4="","",IF(B75&gt;($B$6),"",IF(B75&lt;=($B$6),DATE(YEAR($G$4),MONTH($G$4)+B74,DAY($G$4)),"")))</f>
        <v/>
      </c>
      <c r="D75" s="502" t="str">
        <f t="shared" ref="D75:D138" si="8">IF($H$4="","",IF($F$4="원리금균등상환",IFERROR(IF(B75&lt;=$D$6,0,-PPMT($E$4/12,B75-$D$6,($B$6-$D$6),$D$4)),""),IF($F$4="원금균등상환",IF(B75&lt;($D$6+1),0,IF(B75&gt;$B$6,0,$D$4/($B$6-$D$6))),IF($F$4="만기일시상환",0,""))))</f>
        <v/>
      </c>
      <c r="E75" s="190" t="str">
        <f t="shared" ref="E75:E138" si="9">IF($H$4="","",IF($F$4="원리금균등상환",IFERROR(IF(B75&lt;=$D$6,$H74*($E$4/12),-IPMT($E$4/12,B75-$D$6,($B$6-$D$6),$D$4)),""),IF($F$4="원금균등상환",(H74-D75)*$E$4/12,IF($F$4="만기일시상환",IFERROR(IF(B75&lt;=$B$6,$D$4*($E$4/12),""),"")))))</f>
        <v/>
      </c>
      <c r="F75" s="196" t="str">
        <f t="shared" si="6"/>
        <v/>
      </c>
      <c r="G75" s="190" t="str">
        <f t="shared" ref="G75:G138" si="10">IFERROR(IF(B75&gt;(($D$6+$B$6)*12),"",IF(B75=1,D75,D75+G74)),"")</f>
        <v/>
      </c>
      <c r="H75" s="503" t="str">
        <f t="shared" ref="H75:H138" si="11">IFERROR(IF($H$4="","",H74-D75),"")</f>
        <v/>
      </c>
      <c r="I75" s="49"/>
    </row>
    <row r="76" spans="2:9" ht="20.100000000000001" customHeight="1" x14ac:dyDescent="0.3">
      <c r="B76" s="198">
        <v>68</v>
      </c>
      <c r="C76" s="501" t="str">
        <f t="shared" si="7"/>
        <v/>
      </c>
      <c r="D76" s="502" t="str">
        <f t="shared" si="8"/>
        <v/>
      </c>
      <c r="E76" s="190" t="str">
        <f t="shared" si="9"/>
        <v/>
      </c>
      <c r="F76" s="196" t="str">
        <f t="shared" si="6"/>
        <v/>
      </c>
      <c r="G76" s="190" t="str">
        <f t="shared" si="10"/>
        <v/>
      </c>
      <c r="H76" s="503" t="str">
        <f t="shared" si="11"/>
        <v/>
      </c>
      <c r="I76" s="49"/>
    </row>
    <row r="77" spans="2:9" ht="20.100000000000001" customHeight="1" x14ac:dyDescent="0.3">
      <c r="B77" s="198">
        <v>69</v>
      </c>
      <c r="C77" s="501" t="str">
        <f t="shared" si="7"/>
        <v/>
      </c>
      <c r="D77" s="502" t="str">
        <f t="shared" si="8"/>
        <v/>
      </c>
      <c r="E77" s="190" t="str">
        <f t="shared" si="9"/>
        <v/>
      </c>
      <c r="F77" s="196" t="str">
        <f t="shared" si="6"/>
        <v/>
      </c>
      <c r="G77" s="190" t="str">
        <f t="shared" si="10"/>
        <v/>
      </c>
      <c r="H77" s="503" t="str">
        <f t="shared" si="11"/>
        <v/>
      </c>
      <c r="I77" s="49"/>
    </row>
    <row r="78" spans="2:9" ht="20.100000000000001" customHeight="1" x14ac:dyDescent="0.3">
      <c r="B78" s="198">
        <v>70</v>
      </c>
      <c r="C78" s="501" t="str">
        <f t="shared" si="7"/>
        <v/>
      </c>
      <c r="D78" s="502" t="str">
        <f t="shared" si="8"/>
        <v/>
      </c>
      <c r="E78" s="190" t="str">
        <f t="shared" si="9"/>
        <v/>
      </c>
      <c r="F78" s="196" t="str">
        <f t="shared" si="6"/>
        <v/>
      </c>
      <c r="G78" s="190" t="str">
        <f t="shared" si="10"/>
        <v/>
      </c>
      <c r="H78" s="503" t="str">
        <f t="shared" si="11"/>
        <v/>
      </c>
      <c r="I78" s="49"/>
    </row>
    <row r="79" spans="2:9" ht="20.100000000000001" customHeight="1" x14ac:dyDescent="0.3">
      <c r="B79" s="198">
        <v>71</v>
      </c>
      <c r="C79" s="501" t="str">
        <f t="shared" si="7"/>
        <v/>
      </c>
      <c r="D79" s="502" t="str">
        <f t="shared" si="8"/>
        <v/>
      </c>
      <c r="E79" s="190" t="str">
        <f t="shared" si="9"/>
        <v/>
      </c>
      <c r="F79" s="196" t="str">
        <f t="shared" si="6"/>
        <v/>
      </c>
      <c r="G79" s="190" t="str">
        <f t="shared" si="10"/>
        <v/>
      </c>
      <c r="H79" s="503" t="str">
        <f t="shared" si="11"/>
        <v/>
      </c>
      <c r="I79" s="49"/>
    </row>
    <row r="80" spans="2:9" ht="20.100000000000001" customHeight="1" x14ac:dyDescent="0.3">
      <c r="B80" s="198">
        <v>72</v>
      </c>
      <c r="C80" s="501" t="str">
        <f t="shared" si="7"/>
        <v/>
      </c>
      <c r="D80" s="502" t="str">
        <f t="shared" si="8"/>
        <v/>
      </c>
      <c r="E80" s="190" t="str">
        <f t="shared" si="9"/>
        <v/>
      </c>
      <c r="F80" s="196" t="str">
        <f t="shared" si="6"/>
        <v/>
      </c>
      <c r="G80" s="190" t="str">
        <f t="shared" si="10"/>
        <v/>
      </c>
      <c r="H80" s="503" t="str">
        <f t="shared" si="11"/>
        <v/>
      </c>
      <c r="I80" s="49"/>
    </row>
    <row r="81" spans="2:9" ht="20.100000000000001" customHeight="1" x14ac:dyDescent="0.3">
      <c r="B81" s="198">
        <v>73</v>
      </c>
      <c r="C81" s="501" t="str">
        <f t="shared" si="7"/>
        <v/>
      </c>
      <c r="D81" s="502" t="str">
        <f t="shared" si="8"/>
        <v/>
      </c>
      <c r="E81" s="190" t="str">
        <f t="shared" si="9"/>
        <v/>
      </c>
      <c r="F81" s="196" t="str">
        <f t="shared" si="6"/>
        <v/>
      </c>
      <c r="G81" s="190" t="str">
        <f t="shared" si="10"/>
        <v/>
      </c>
      <c r="H81" s="503" t="str">
        <f t="shared" si="11"/>
        <v/>
      </c>
      <c r="I81" s="49"/>
    </row>
    <row r="82" spans="2:9" ht="20.100000000000001" customHeight="1" x14ac:dyDescent="0.3">
      <c r="B82" s="198">
        <v>74</v>
      </c>
      <c r="C82" s="501" t="str">
        <f t="shared" si="7"/>
        <v/>
      </c>
      <c r="D82" s="502" t="str">
        <f t="shared" si="8"/>
        <v/>
      </c>
      <c r="E82" s="190" t="str">
        <f t="shared" si="9"/>
        <v/>
      </c>
      <c r="F82" s="196" t="str">
        <f t="shared" si="6"/>
        <v/>
      </c>
      <c r="G82" s="190" t="str">
        <f t="shared" si="10"/>
        <v/>
      </c>
      <c r="H82" s="503" t="str">
        <f t="shared" si="11"/>
        <v/>
      </c>
      <c r="I82" s="49"/>
    </row>
    <row r="83" spans="2:9" ht="20.100000000000001" customHeight="1" x14ac:dyDescent="0.3">
      <c r="B83" s="198">
        <v>75</v>
      </c>
      <c r="C83" s="501" t="str">
        <f t="shared" si="7"/>
        <v/>
      </c>
      <c r="D83" s="502" t="str">
        <f t="shared" si="8"/>
        <v/>
      </c>
      <c r="E83" s="190" t="str">
        <f t="shared" si="9"/>
        <v/>
      </c>
      <c r="F83" s="196" t="str">
        <f t="shared" si="6"/>
        <v/>
      </c>
      <c r="G83" s="190" t="str">
        <f t="shared" si="10"/>
        <v/>
      </c>
      <c r="H83" s="503" t="str">
        <f t="shared" si="11"/>
        <v/>
      </c>
      <c r="I83" s="49"/>
    </row>
    <row r="84" spans="2:9" ht="20.100000000000001" customHeight="1" x14ac:dyDescent="0.3">
      <c r="B84" s="198">
        <v>76</v>
      </c>
      <c r="C84" s="501" t="str">
        <f t="shared" si="7"/>
        <v/>
      </c>
      <c r="D84" s="502" t="str">
        <f t="shared" si="8"/>
        <v/>
      </c>
      <c r="E84" s="190" t="str">
        <f t="shared" si="9"/>
        <v/>
      </c>
      <c r="F84" s="196" t="str">
        <f t="shared" si="6"/>
        <v/>
      </c>
      <c r="G84" s="190" t="str">
        <f t="shared" si="10"/>
        <v/>
      </c>
      <c r="H84" s="503" t="str">
        <f t="shared" si="11"/>
        <v/>
      </c>
      <c r="I84" s="49"/>
    </row>
    <row r="85" spans="2:9" ht="20.100000000000001" customHeight="1" x14ac:dyDescent="0.3">
      <c r="B85" s="198">
        <v>77</v>
      </c>
      <c r="C85" s="501" t="str">
        <f t="shared" si="7"/>
        <v/>
      </c>
      <c r="D85" s="502" t="str">
        <f t="shared" si="8"/>
        <v/>
      </c>
      <c r="E85" s="190" t="str">
        <f t="shared" si="9"/>
        <v/>
      </c>
      <c r="F85" s="196" t="str">
        <f t="shared" si="6"/>
        <v/>
      </c>
      <c r="G85" s="190" t="str">
        <f t="shared" si="10"/>
        <v/>
      </c>
      <c r="H85" s="503" t="str">
        <f t="shared" si="11"/>
        <v/>
      </c>
      <c r="I85" s="49"/>
    </row>
    <row r="86" spans="2:9" ht="20.100000000000001" customHeight="1" x14ac:dyDescent="0.3">
      <c r="B86" s="198">
        <v>78</v>
      </c>
      <c r="C86" s="501" t="str">
        <f t="shared" si="7"/>
        <v/>
      </c>
      <c r="D86" s="502" t="str">
        <f t="shared" si="8"/>
        <v/>
      </c>
      <c r="E86" s="190" t="str">
        <f t="shared" si="9"/>
        <v/>
      </c>
      <c r="F86" s="196" t="str">
        <f t="shared" si="6"/>
        <v/>
      </c>
      <c r="G86" s="190" t="str">
        <f t="shared" si="10"/>
        <v/>
      </c>
      <c r="H86" s="503" t="str">
        <f t="shared" si="11"/>
        <v/>
      </c>
      <c r="I86" s="49"/>
    </row>
    <row r="87" spans="2:9" ht="20.100000000000001" customHeight="1" x14ac:dyDescent="0.3">
      <c r="B87" s="198">
        <v>79</v>
      </c>
      <c r="C87" s="501" t="str">
        <f t="shared" si="7"/>
        <v/>
      </c>
      <c r="D87" s="502" t="str">
        <f t="shared" si="8"/>
        <v/>
      </c>
      <c r="E87" s="190" t="str">
        <f t="shared" si="9"/>
        <v/>
      </c>
      <c r="F87" s="196" t="str">
        <f t="shared" si="6"/>
        <v/>
      </c>
      <c r="G87" s="190" t="str">
        <f t="shared" si="10"/>
        <v/>
      </c>
      <c r="H87" s="503" t="str">
        <f t="shared" si="11"/>
        <v/>
      </c>
      <c r="I87" s="49"/>
    </row>
    <row r="88" spans="2:9" ht="20.100000000000001" customHeight="1" x14ac:dyDescent="0.3">
      <c r="B88" s="198">
        <v>80</v>
      </c>
      <c r="C88" s="501" t="str">
        <f t="shared" si="7"/>
        <v/>
      </c>
      <c r="D88" s="502" t="str">
        <f t="shared" si="8"/>
        <v/>
      </c>
      <c r="E88" s="190" t="str">
        <f t="shared" si="9"/>
        <v/>
      </c>
      <c r="F88" s="196" t="str">
        <f t="shared" si="6"/>
        <v/>
      </c>
      <c r="G88" s="190" t="str">
        <f t="shared" si="10"/>
        <v/>
      </c>
      <c r="H88" s="503" t="str">
        <f t="shared" si="11"/>
        <v/>
      </c>
      <c r="I88" s="49"/>
    </row>
    <row r="89" spans="2:9" ht="20.100000000000001" customHeight="1" x14ac:dyDescent="0.3">
      <c r="B89" s="198">
        <v>81</v>
      </c>
      <c r="C89" s="501" t="str">
        <f t="shared" si="7"/>
        <v/>
      </c>
      <c r="D89" s="502" t="str">
        <f t="shared" si="8"/>
        <v/>
      </c>
      <c r="E89" s="190" t="str">
        <f t="shared" si="9"/>
        <v/>
      </c>
      <c r="F89" s="196" t="str">
        <f t="shared" si="6"/>
        <v/>
      </c>
      <c r="G89" s="190" t="str">
        <f t="shared" si="10"/>
        <v/>
      </c>
      <c r="H89" s="503" t="str">
        <f t="shared" si="11"/>
        <v/>
      </c>
      <c r="I89" s="49"/>
    </row>
    <row r="90" spans="2:9" ht="20.100000000000001" customHeight="1" x14ac:dyDescent="0.3">
      <c r="B90" s="198">
        <v>82</v>
      </c>
      <c r="C90" s="501" t="str">
        <f t="shared" si="7"/>
        <v/>
      </c>
      <c r="D90" s="502" t="str">
        <f t="shared" si="8"/>
        <v/>
      </c>
      <c r="E90" s="190" t="str">
        <f t="shared" si="9"/>
        <v/>
      </c>
      <c r="F90" s="196" t="str">
        <f t="shared" si="6"/>
        <v/>
      </c>
      <c r="G90" s="190" t="str">
        <f t="shared" si="10"/>
        <v/>
      </c>
      <c r="H90" s="503" t="str">
        <f t="shared" si="11"/>
        <v/>
      </c>
      <c r="I90" s="49"/>
    </row>
    <row r="91" spans="2:9" ht="20.100000000000001" customHeight="1" x14ac:dyDescent="0.3">
      <c r="B91" s="198">
        <v>83</v>
      </c>
      <c r="C91" s="501" t="str">
        <f t="shared" si="7"/>
        <v/>
      </c>
      <c r="D91" s="502" t="str">
        <f t="shared" si="8"/>
        <v/>
      </c>
      <c r="E91" s="190" t="str">
        <f t="shared" si="9"/>
        <v/>
      </c>
      <c r="F91" s="196" t="str">
        <f t="shared" si="6"/>
        <v/>
      </c>
      <c r="G91" s="190" t="str">
        <f t="shared" si="10"/>
        <v/>
      </c>
      <c r="H91" s="503" t="str">
        <f t="shared" si="11"/>
        <v/>
      </c>
      <c r="I91" s="49"/>
    </row>
    <row r="92" spans="2:9" ht="20.100000000000001" customHeight="1" x14ac:dyDescent="0.3">
      <c r="B92" s="198">
        <v>84</v>
      </c>
      <c r="C92" s="501" t="str">
        <f t="shared" si="7"/>
        <v/>
      </c>
      <c r="D92" s="502" t="str">
        <f t="shared" si="8"/>
        <v/>
      </c>
      <c r="E92" s="190" t="str">
        <f t="shared" si="9"/>
        <v/>
      </c>
      <c r="F92" s="196" t="str">
        <f t="shared" si="6"/>
        <v/>
      </c>
      <c r="G92" s="190" t="str">
        <f t="shared" si="10"/>
        <v/>
      </c>
      <c r="H92" s="503" t="str">
        <f t="shared" si="11"/>
        <v/>
      </c>
      <c r="I92" s="49"/>
    </row>
    <row r="93" spans="2:9" ht="20.100000000000001" customHeight="1" x14ac:dyDescent="0.3">
      <c r="B93" s="198">
        <v>85</v>
      </c>
      <c r="C93" s="501" t="str">
        <f t="shared" si="7"/>
        <v/>
      </c>
      <c r="D93" s="502" t="str">
        <f t="shared" si="8"/>
        <v/>
      </c>
      <c r="E93" s="190" t="str">
        <f t="shared" si="9"/>
        <v/>
      </c>
      <c r="F93" s="196" t="str">
        <f t="shared" si="6"/>
        <v/>
      </c>
      <c r="G93" s="190" t="str">
        <f t="shared" si="10"/>
        <v/>
      </c>
      <c r="H93" s="503" t="str">
        <f t="shared" si="11"/>
        <v/>
      </c>
      <c r="I93" s="49"/>
    </row>
    <row r="94" spans="2:9" ht="20.100000000000001" customHeight="1" x14ac:dyDescent="0.3">
      <c r="B94" s="198">
        <v>86</v>
      </c>
      <c r="C94" s="501" t="str">
        <f t="shared" si="7"/>
        <v/>
      </c>
      <c r="D94" s="502" t="str">
        <f t="shared" si="8"/>
        <v/>
      </c>
      <c r="E94" s="190" t="str">
        <f t="shared" si="9"/>
        <v/>
      </c>
      <c r="F94" s="196" t="str">
        <f t="shared" si="6"/>
        <v/>
      </c>
      <c r="G94" s="190" t="str">
        <f t="shared" si="10"/>
        <v/>
      </c>
      <c r="H94" s="503" t="str">
        <f t="shared" si="11"/>
        <v/>
      </c>
      <c r="I94" s="49"/>
    </row>
    <row r="95" spans="2:9" ht="20.100000000000001" customHeight="1" x14ac:dyDescent="0.3">
      <c r="B95" s="198">
        <v>87</v>
      </c>
      <c r="C95" s="501" t="str">
        <f t="shared" si="7"/>
        <v/>
      </c>
      <c r="D95" s="502" t="str">
        <f t="shared" si="8"/>
        <v/>
      </c>
      <c r="E95" s="190" t="str">
        <f t="shared" si="9"/>
        <v/>
      </c>
      <c r="F95" s="196" t="str">
        <f t="shared" si="6"/>
        <v/>
      </c>
      <c r="G95" s="190" t="str">
        <f t="shared" si="10"/>
        <v/>
      </c>
      <c r="H95" s="503" t="str">
        <f t="shared" si="11"/>
        <v/>
      </c>
      <c r="I95" s="49"/>
    </row>
    <row r="96" spans="2:9" ht="20.100000000000001" customHeight="1" x14ac:dyDescent="0.3">
      <c r="B96" s="198">
        <v>88</v>
      </c>
      <c r="C96" s="501" t="str">
        <f t="shared" si="7"/>
        <v/>
      </c>
      <c r="D96" s="502" t="str">
        <f t="shared" si="8"/>
        <v/>
      </c>
      <c r="E96" s="190" t="str">
        <f t="shared" si="9"/>
        <v/>
      </c>
      <c r="F96" s="196" t="str">
        <f t="shared" si="6"/>
        <v/>
      </c>
      <c r="G96" s="190" t="str">
        <f t="shared" si="10"/>
        <v/>
      </c>
      <c r="H96" s="503" t="str">
        <f t="shared" si="11"/>
        <v/>
      </c>
      <c r="I96" s="49"/>
    </row>
    <row r="97" spans="2:9" ht="20.100000000000001" customHeight="1" x14ac:dyDescent="0.3">
      <c r="B97" s="198">
        <v>89</v>
      </c>
      <c r="C97" s="501" t="str">
        <f t="shared" si="7"/>
        <v/>
      </c>
      <c r="D97" s="502" t="str">
        <f t="shared" si="8"/>
        <v/>
      </c>
      <c r="E97" s="190" t="str">
        <f t="shared" si="9"/>
        <v/>
      </c>
      <c r="F97" s="196" t="str">
        <f t="shared" si="6"/>
        <v/>
      </c>
      <c r="G97" s="190" t="str">
        <f t="shared" si="10"/>
        <v/>
      </c>
      <c r="H97" s="503" t="str">
        <f t="shared" si="11"/>
        <v/>
      </c>
      <c r="I97" s="49"/>
    </row>
    <row r="98" spans="2:9" ht="20.100000000000001" customHeight="1" x14ac:dyDescent="0.3">
      <c r="B98" s="198">
        <v>90</v>
      </c>
      <c r="C98" s="501" t="str">
        <f t="shared" si="7"/>
        <v/>
      </c>
      <c r="D98" s="502" t="str">
        <f t="shared" si="8"/>
        <v/>
      </c>
      <c r="E98" s="190" t="str">
        <f t="shared" si="9"/>
        <v/>
      </c>
      <c r="F98" s="196" t="str">
        <f t="shared" si="6"/>
        <v/>
      </c>
      <c r="G98" s="190" t="str">
        <f t="shared" si="10"/>
        <v/>
      </c>
      <c r="H98" s="503" t="str">
        <f t="shared" si="11"/>
        <v/>
      </c>
      <c r="I98" s="49"/>
    </row>
    <row r="99" spans="2:9" ht="20.100000000000001" customHeight="1" x14ac:dyDescent="0.3">
      <c r="B99" s="198">
        <v>91</v>
      </c>
      <c r="C99" s="501" t="str">
        <f t="shared" si="7"/>
        <v/>
      </c>
      <c r="D99" s="502" t="str">
        <f t="shared" si="8"/>
        <v/>
      </c>
      <c r="E99" s="190" t="str">
        <f t="shared" si="9"/>
        <v/>
      </c>
      <c r="F99" s="196" t="str">
        <f t="shared" si="6"/>
        <v/>
      </c>
      <c r="G99" s="190" t="str">
        <f t="shared" si="10"/>
        <v/>
      </c>
      <c r="H99" s="503" t="str">
        <f t="shared" si="11"/>
        <v/>
      </c>
      <c r="I99" s="49"/>
    </row>
    <row r="100" spans="2:9" ht="20.100000000000001" customHeight="1" x14ac:dyDescent="0.3">
      <c r="B100" s="198">
        <v>92</v>
      </c>
      <c r="C100" s="501" t="str">
        <f t="shared" si="7"/>
        <v/>
      </c>
      <c r="D100" s="502" t="str">
        <f t="shared" si="8"/>
        <v/>
      </c>
      <c r="E100" s="190" t="str">
        <f t="shared" si="9"/>
        <v/>
      </c>
      <c r="F100" s="196" t="str">
        <f t="shared" si="6"/>
        <v/>
      </c>
      <c r="G100" s="190" t="str">
        <f t="shared" si="10"/>
        <v/>
      </c>
      <c r="H100" s="503" t="str">
        <f t="shared" si="11"/>
        <v/>
      </c>
      <c r="I100" s="49"/>
    </row>
    <row r="101" spans="2:9" ht="20.100000000000001" customHeight="1" x14ac:dyDescent="0.3">
      <c r="B101" s="198">
        <v>93</v>
      </c>
      <c r="C101" s="501" t="str">
        <f t="shared" si="7"/>
        <v/>
      </c>
      <c r="D101" s="502" t="str">
        <f t="shared" si="8"/>
        <v/>
      </c>
      <c r="E101" s="190" t="str">
        <f t="shared" si="9"/>
        <v/>
      </c>
      <c r="F101" s="196" t="str">
        <f t="shared" si="6"/>
        <v/>
      </c>
      <c r="G101" s="190" t="str">
        <f t="shared" si="10"/>
        <v/>
      </c>
      <c r="H101" s="503" t="str">
        <f t="shared" si="11"/>
        <v/>
      </c>
      <c r="I101" s="49"/>
    </row>
    <row r="102" spans="2:9" ht="20.100000000000001" customHeight="1" x14ac:dyDescent="0.3">
      <c r="B102" s="198">
        <v>94</v>
      </c>
      <c r="C102" s="501" t="str">
        <f t="shared" si="7"/>
        <v/>
      </c>
      <c r="D102" s="502" t="str">
        <f t="shared" si="8"/>
        <v/>
      </c>
      <c r="E102" s="190" t="str">
        <f t="shared" si="9"/>
        <v/>
      </c>
      <c r="F102" s="196" t="str">
        <f t="shared" si="6"/>
        <v/>
      </c>
      <c r="G102" s="190" t="str">
        <f t="shared" si="10"/>
        <v/>
      </c>
      <c r="H102" s="503" t="str">
        <f t="shared" si="11"/>
        <v/>
      </c>
      <c r="I102" s="49"/>
    </row>
    <row r="103" spans="2:9" ht="20.100000000000001" customHeight="1" x14ac:dyDescent="0.3">
      <c r="B103" s="198">
        <v>95</v>
      </c>
      <c r="C103" s="501" t="str">
        <f t="shared" si="7"/>
        <v/>
      </c>
      <c r="D103" s="502" t="str">
        <f t="shared" si="8"/>
        <v/>
      </c>
      <c r="E103" s="190" t="str">
        <f t="shared" si="9"/>
        <v/>
      </c>
      <c r="F103" s="196" t="str">
        <f t="shared" si="6"/>
        <v/>
      </c>
      <c r="G103" s="190" t="str">
        <f t="shared" si="10"/>
        <v/>
      </c>
      <c r="H103" s="503" t="str">
        <f t="shared" si="11"/>
        <v/>
      </c>
      <c r="I103" s="49"/>
    </row>
    <row r="104" spans="2:9" ht="20.100000000000001" customHeight="1" x14ac:dyDescent="0.3">
      <c r="B104" s="198">
        <v>96</v>
      </c>
      <c r="C104" s="501" t="str">
        <f t="shared" si="7"/>
        <v/>
      </c>
      <c r="D104" s="502" t="str">
        <f t="shared" si="8"/>
        <v/>
      </c>
      <c r="E104" s="190" t="str">
        <f t="shared" si="9"/>
        <v/>
      </c>
      <c r="F104" s="196" t="str">
        <f t="shared" si="6"/>
        <v/>
      </c>
      <c r="G104" s="190" t="str">
        <f t="shared" si="10"/>
        <v/>
      </c>
      <c r="H104" s="503" t="str">
        <f t="shared" si="11"/>
        <v/>
      </c>
      <c r="I104" s="49"/>
    </row>
    <row r="105" spans="2:9" ht="20.100000000000001" customHeight="1" x14ac:dyDescent="0.3">
      <c r="B105" s="198">
        <v>97</v>
      </c>
      <c r="C105" s="501" t="str">
        <f t="shared" si="7"/>
        <v/>
      </c>
      <c r="D105" s="502" t="str">
        <f t="shared" si="8"/>
        <v/>
      </c>
      <c r="E105" s="190" t="str">
        <f t="shared" si="9"/>
        <v/>
      </c>
      <c r="F105" s="196" t="str">
        <f t="shared" si="6"/>
        <v/>
      </c>
      <c r="G105" s="190" t="str">
        <f t="shared" si="10"/>
        <v/>
      </c>
      <c r="H105" s="503" t="str">
        <f t="shared" si="11"/>
        <v/>
      </c>
      <c r="I105" s="49"/>
    </row>
    <row r="106" spans="2:9" ht="20.100000000000001" customHeight="1" x14ac:dyDescent="0.3">
      <c r="B106" s="198">
        <v>98</v>
      </c>
      <c r="C106" s="501" t="str">
        <f t="shared" si="7"/>
        <v/>
      </c>
      <c r="D106" s="502" t="str">
        <f t="shared" si="8"/>
        <v/>
      </c>
      <c r="E106" s="190" t="str">
        <f t="shared" si="9"/>
        <v/>
      </c>
      <c r="F106" s="196" t="str">
        <f t="shared" si="6"/>
        <v/>
      </c>
      <c r="G106" s="190" t="str">
        <f t="shared" si="10"/>
        <v/>
      </c>
      <c r="H106" s="503" t="str">
        <f t="shared" si="11"/>
        <v/>
      </c>
      <c r="I106" s="49"/>
    </row>
    <row r="107" spans="2:9" ht="20.100000000000001" customHeight="1" x14ac:dyDescent="0.3">
      <c r="B107" s="198">
        <v>99</v>
      </c>
      <c r="C107" s="501" t="str">
        <f t="shared" si="7"/>
        <v/>
      </c>
      <c r="D107" s="502" t="str">
        <f t="shared" si="8"/>
        <v/>
      </c>
      <c r="E107" s="190" t="str">
        <f t="shared" si="9"/>
        <v/>
      </c>
      <c r="F107" s="196" t="str">
        <f t="shared" si="6"/>
        <v/>
      </c>
      <c r="G107" s="190" t="str">
        <f t="shared" si="10"/>
        <v/>
      </c>
      <c r="H107" s="503" t="str">
        <f t="shared" si="11"/>
        <v/>
      </c>
      <c r="I107" s="49"/>
    </row>
    <row r="108" spans="2:9" ht="20.100000000000001" customHeight="1" x14ac:dyDescent="0.3">
      <c r="B108" s="198">
        <v>100</v>
      </c>
      <c r="C108" s="501" t="str">
        <f t="shared" si="7"/>
        <v/>
      </c>
      <c r="D108" s="502" t="str">
        <f t="shared" si="8"/>
        <v/>
      </c>
      <c r="E108" s="190" t="str">
        <f t="shared" si="9"/>
        <v/>
      </c>
      <c r="F108" s="196" t="str">
        <f t="shared" si="6"/>
        <v/>
      </c>
      <c r="G108" s="190" t="str">
        <f t="shared" si="10"/>
        <v/>
      </c>
      <c r="H108" s="503" t="str">
        <f t="shared" si="11"/>
        <v/>
      </c>
      <c r="I108" s="49"/>
    </row>
    <row r="109" spans="2:9" ht="20.100000000000001" customHeight="1" x14ac:dyDescent="0.3">
      <c r="B109" s="198">
        <v>101</v>
      </c>
      <c r="C109" s="501" t="str">
        <f t="shared" si="7"/>
        <v/>
      </c>
      <c r="D109" s="502" t="str">
        <f t="shared" si="8"/>
        <v/>
      </c>
      <c r="E109" s="190" t="str">
        <f t="shared" si="9"/>
        <v/>
      </c>
      <c r="F109" s="196" t="str">
        <f t="shared" si="6"/>
        <v/>
      </c>
      <c r="G109" s="190" t="str">
        <f t="shared" si="10"/>
        <v/>
      </c>
      <c r="H109" s="503" t="str">
        <f t="shared" si="11"/>
        <v/>
      </c>
      <c r="I109" s="49"/>
    </row>
    <row r="110" spans="2:9" ht="20.100000000000001" customHeight="1" x14ac:dyDescent="0.3">
      <c r="B110" s="198">
        <v>102</v>
      </c>
      <c r="C110" s="501" t="str">
        <f t="shared" si="7"/>
        <v/>
      </c>
      <c r="D110" s="502" t="str">
        <f t="shared" si="8"/>
        <v/>
      </c>
      <c r="E110" s="190" t="str">
        <f t="shared" si="9"/>
        <v/>
      </c>
      <c r="F110" s="196" t="str">
        <f t="shared" si="6"/>
        <v/>
      </c>
      <c r="G110" s="190" t="str">
        <f t="shared" si="10"/>
        <v/>
      </c>
      <c r="H110" s="503" t="str">
        <f t="shared" si="11"/>
        <v/>
      </c>
      <c r="I110" s="49"/>
    </row>
    <row r="111" spans="2:9" ht="20.100000000000001" customHeight="1" x14ac:dyDescent="0.3">
      <c r="B111" s="198">
        <v>103</v>
      </c>
      <c r="C111" s="501" t="str">
        <f t="shared" si="7"/>
        <v/>
      </c>
      <c r="D111" s="502" t="str">
        <f t="shared" si="8"/>
        <v/>
      </c>
      <c r="E111" s="190" t="str">
        <f t="shared" si="9"/>
        <v/>
      </c>
      <c r="F111" s="196" t="str">
        <f t="shared" si="6"/>
        <v/>
      </c>
      <c r="G111" s="190" t="str">
        <f t="shared" si="10"/>
        <v/>
      </c>
      <c r="H111" s="503" t="str">
        <f t="shared" si="11"/>
        <v/>
      </c>
      <c r="I111" s="49"/>
    </row>
    <row r="112" spans="2:9" ht="20.100000000000001" customHeight="1" x14ac:dyDescent="0.3">
      <c r="B112" s="198">
        <v>104</v>
      </c>
      <c r="C112" s="501" t="str">
        <f t="shared" si="7"/>
        <v/>
      </c>
      <c r="D112" s="502" t="str">
        <f t="shared" si="8"/>
        <v/>
      </c>
      <c r="E112" s="190" t="str">
        <f t="shared" si="9"/>
        <v/>
      </c>
      <c r="F112" s="196" t="str">
        <f t="shared" si="6"/>
        <v/>
      </c>
      <c r="G112" s="190" t="str">
        <f t="shared" si="10"/>
        <v/>
      </c>
      <c r="H112" s="503" t="str">
        <f t="shared" si="11"/>
        <v/>
      </c>
      <c r="I112" s="49"/>
    </row>
    <row r="113" spans="2:9" ht="20.100000000000001" customHeight="1" x14ac:dyDescent="0.3">
      <c r="B113" s="198">
        <v>105</v>
      </c>
      <c r="C113" s="501" t="str">
        <f t="shared" si="7"/>
        <v/>
      </c>
      <c r="D113" s="502" t="str">
        <f t="shared" si="8"/>
        <v/>
      </c>
      <c r="E113" s="190" t="str">
        <f t="shared" si="9"/>
        <v/>
      </c>
      <c r="F113" s="196" t="str">
        <f t="shared" si="6"/>
        <v/>
      </c>
      <c r="G113" s="190" t="str">
        <f t="shared" si="10"/>
        <v/>
      </c>
      <c r="H113" s="503" t="str">
        <f t="shared" si="11"/>
        <v/>
      </c>
      <c r="I113" s="49"/>
    </row>
    <row r="114" spans="2:9" ht="20.100000000000001" customHeight="1" x14ac:dyDescent="0.3">
      <c r="B114" s="198">
        <v>106</v>
      </c>
      <c r="C114" s="501" t="str">
        <f t="shared" si="7"/>
        <v/>
      </c>
      <c r="D114" s="502" t="str">
        <f t="shared" si="8"/>
        <v/>
      </c>
      <c r="E114" s="190" t="str">
        <f t="shared" si="9"/>
        <v/>
      </c>
      <c r="F114" s="196" t="str">
        <f t="shared" si="6"/>
        <v/>
      </c>
      <c r="G114" s="190" t="str">
        <f t="shared" si="10"/>
        <v/>
      </c>
      <c r="H114" s="503" t="str">
        <f t="shared" si="11"/>
        <v/>
      </c>
      <c r="I114" s="49"/>
    </row>
    <row r="115" spans="2:9" ht="20.100000000000001" customHeight="1" x14ac:dyDescent="0.3">
      <c r="B115" s="198">
        <v>107</v>
      </c>
      <c r="C115" s="501" t="str">
        <f t="shared" si="7"/>
        <v/>
      </c>
      <c r="D115" s="502" t="str">
        <f t="shared" si="8"/>
        <v/>
      </c>
      <c r="E115" s="190" t="str">
        <f t="shared" si="9"/>
        <v/>
      </c>
      <c r="F115" s="196" t="str">
        <f t="shared" si="6"/>
        <v/>
      </c>
      <c r="G115" s="190" t="str">
        <f t="shared" si="10"/>
        <v/>
      </c>
      <c r="H115" s="503" t="str">
        <f t="shared" si="11"/>
        <v/>
      </c>
      <c r="I115" s="49"/>
    </row>
    <row r="116" spans="2:9" ht="20.100000000000001" customHeight="1" x14ac:dyDescent="0.3">
      <c r="B116" s="198">
        <v>108</v>
      </c>
      <c r="C116" s="501" t="str">
        <f t="shared" si="7"/>
        <v/>
      </c>
      <c r="D116" s="502" t="str">
        <f t="shared" si="8"/>
        <v/>
      </c>
      <c r="E116" s="190" t="str">
        <f t="shared" si="9"/>
        <v/>
      </c>
      <c r="F116" s="196" t="str">
        <f t="shared" si="6"/>
        <v/>
      </c>
      <c r="G116" s="190" t="str">
        <f t="shared" si="10"/>
        <v/>
      </c>
      <c r="H116" s="503" t="str">
        <f t="shared" si="11"/>
        <v/>
      </c>
      <c r="I116" s="49"/>
    </row>
    <row r="117" spans="2:9" ht="20.100000000000001" customHeight="1" x14ac:dyDescent="0.3">
      <c r="B117" s="198">
        <v>109</v>
      </c>
      <c r="C117" s="501" t="str">
        <f t="shared" si="7"/>
        <v/>
      </c>
      <c r="D117" s="502" t="str">
        <f t="shared" si="8"/>
        <v/>
      </c>
      <c r="E117" s="190" t="str">
        <f t="shared" si="9"/>
        <v/>
      </c>
      <c r="F117" s="196" t="str">
        <f t="shared" si="6"/>
        <v/>
      </c>
      <c r="G117" s="190" t="str">
        <f t="shared" si="10"/>
        <v/>
      </c>
      <c r="H117" s="503" t="str">
        <f t="shared" si="11"/>
        <v/>
      </c>
      <c r="I117" s="49"/>
    </row>
    <row r="118" spans="2:9" ht="20.100000000000001" customHeight="1" x14ac:dyDescent="0.3">
      <c r="B118" s="198">
        <v>110</v>
      </c>
      <c r="C118" s="501" t="str">
        <f t="shared" si="7"/>
        <v/>
      </c>
      <c r="D118" s="502" t="str">
        <f t="shared" si="8"/>
        <v/>
      </c>
      <c r="E118" s="190" t="str">
        <f t="shared" si="9"/>
        <v/>
      </c>
      <c r="F118" s="196" t="str">
        <f t="shared" si="6"/>
        <v/>
      </c>
      <c r="G118" s="190" t="str">
        <f t="shared" si="10"/>
        <v/>
      </c>
      <c r="H118" s="503" t="str">
        <f t="shared" si="11"/>
        <v/>
      </c>
      <c r="I118" s="49"/>
    </row>
    <row r="119" spans="2:9" ht="20.100000000000001" customHeight="1" x14ac:dyDescent="0.3">
      <c r="B119" s="198">
        <v>111</v>
      </c>
      <c r="C119" s="501" t="str">
        <f t="shared" si="7"/>
        <v/>
      </c>
      <c r="D119" s="502" t="str">
        <f t="shared" si="8"/>
        <v/>
      </c>
      <c r="E119" s="190" t="str">
        <f t="shared" si="9"/>
        <v/>
      </c>
      <c r="F119" s="196" t="str">
        <f t="shared" si="6"/>
        <v/>
      </c>
      <c r="G119" s="190" t="str">
        <f t="shared" si="10"/>
        <v/>
      </c>
      <c r="H119" s="503" t="str">
        <f t="shared" si="11"/>
        <v/>
      </c>
      <c r="I119" s="49"/>
    </row>
    <row r="120" spans="2:9" ht="20.100000000000001" customHeight="1" x14ac:dyDescent="0.3">
      <c r="B120" s="198">
        <v>112</v>
      </c>
      <c r="C120" s="501" t="str">
        <f t="shared" si="7"/>
        <v/>
      </c>
      <c r="D120" s="502" t="str">
        <f t="shared" si="8"/>
        <v/>
      </c>
      <c r="E120" s="190" t="str">
        <f t="shared" si="9"/>
        <v/>
      </c>
      <c r="F120" s="196" t="str">
        <f t="shared" si="6"/>
        <v/>
      </c>
      <c r="G120" s="190" t="str">
        <f t="shared" si="10"/>
        <v/>
      </c>
      <c r="H120" s="503" t="str">
        <f t="shared" si="11"/>
        <v/>
      </c>
      <c r="I120" s="49"/>
    </row>
    <row r="121" spans="2:9" ht="20.100000000000001" customHeight="1" x14ac:dyDescent="0.3">
      <c r="B121" s="198">
        <v>113</v>
      </c>
      <c r="C121" s="501" t="str">
        <f t="shared" si="7"/>
        <v/>
      </c>
      <c r="D121" s="502" t="str">
        <f t="shared" si="8"/>
        <v/>
      </c>
      <c r="E121" s="190" t="str">
        <f t="shared" si="9"/>
        <v/>
      </c>
      <c r="F121" s="196" t="str">
        <f t="shared" si="6"/>
        <v/>
      </c>
      <c r="G121" s="190" t="str">
        <f t="shared" si="10"/>
        <v/>
      </c>
      <c r="H121" s="503" t="str">
        <f t="shared" si="11"/>
        <v/>
      </c>
      <c r="I121" s="49"/>
    </row>
    <row r="122" spans="2:9" ht="20.100000000000001" customHeight="1" x14ac:dyDescent="0.3">
      <c r="B122" s="198">
        <v>114</v>
      </c>
      <c r="C122" s="501" t="str">
        <f t="shared" si="7"/>
        <v/>
      </c>
      <c r="D122" s="502" t="str">
        <f t="shared" si="8"/>
        <v/>
      </c>
      <c r="E122" s="190" t="str">
        <f t="shared" si="9"/>
        <v/>
      </c>
      <c r="F122" s="196" t="str">
        <f t="shared" si="6"/>
        <v/>
      </c>
      <c r="G122" s="190" t="str">
        <f t="shared" si="10"/>
        <v/>
      </c>
      <c r="H122" s="503" t="str">
        <f t="shared" si="11"/>
        <v/>
      </c>
      <c r="I122" s="49"/>
    </row>
    <row r="123" spans="2:9" ht="20.100000000000001" customHeight="1" x14ac:dyDescent="0.3">
      <c r="B123" s="198">
        <v>115</v>
      </c>
      <c r="C123" s="501" t="str">
        <f t="shared" si="7"/>
        <v/>
      </c>
      <c r="D123" s="502" t="str">
        <f t="shared" si="8"/>
        <v/>
      </c>
      <c r="E123" s="190" t="str">
        <f t="shared" si="9"/>
        <v/>
      </c>
      <c r="F123" s="196" t="str">
        <f t="shared" si="6"/>
        <v/>
      </c>
      <c r="G123" s="190" t="str">
        <f t="shared" si="10"/>
        <v/>
      </c>
      <c r="H123" s="503" t="str">
        <f t="shared" si="11"/>
        <v/>
      </c>
      <c r="I123" s="49"/>
    </row>
    <row r="124" spans="2:9" ht="20.100000000000001" customHeight="1" x14ac:dyDescent="0.3">
      <c r="B124" s="198">
        <v>116</v>
      </c>
      <c r="C124" s="501" t="str">
        <f t="shared" si="7"/>
        <v/>
      </c>
      <c r="D124" s="502" t="str">
        <f t="shared" si="8"/>
        <v/>
      </c>
      <c r="E124" s="190" t="str">
        <f t="shared" si="9"/>
        <v/>
      </c>
      <c r="F124" s="196" t="str">
        <f t="shared" si="6"/>
        <v/>
      </c>
      <c r="G124" s="190" t="str">
        <f t="shared" si="10"/>
        <v/>
      </c>
      <c r="H124" s="503" t="str">
        <f t="shared" si="11"/>
        <v/>
      </c>
      <c r="I124" s="49"/>
    </row>
    <row r="125" spans="2:9" ht="20.100000000000001" customHeight="1" x14ac:dyDescent="0.3">
      <c r="B125" s="198">
        <v>117</v>
      </c>
      <c r="C125" s="501" t="str">
        <f t="shared" si="7"/>
        <v/>
      </c>
      <c r="D125" s="502" t="str">
        <f t="shared" si="8"/>
        <v/>
      </c>
      <c r="E125" s="190" t="str">
        <f t="shared" si="9"/>
        <v/>
      </c>
      <c r="F125" s="196" t="str">
        <f t="shared" si="6"/>
        <v/>
      </c>
      <c r="G125" s="190" t="str">
        <f t="shared" si="10"/>
        <v/>
      </c>
      <c r="H125" s="503" t="str">
        <f t="shared" si="11"/>
        <v/>
      </c>
      <c r="I125" s="49"/>
    </row>
    <row r="126" spans="2:9" ht="20.100000000000001" customHeight="1" x14ac:dyDescent="0.3">
      <c r="B126" s="198">
        <v>118</v>
      </c>
      <c r="C126" s="501" t="str">
        <f t="shared" si="7"/>
        <v/>
      </c>
      <c r="D126" s="502" t="str">
        <f t="shared" si="8"/>
        <v/>
      </c>
      <c r="E126" s="190" t="str">
        <f t="shared" si="9"/>
        <v/>
      </c>
      <c r="F126" s="196" t="str">
        <f t="shared" si="6"/>
        <v/>
      </c>
      <c r="G126" s="190" t="str">
        <f t="shared" si="10"/>
        <v/>
      </c>
      <c r="H126" s="503" t="str">
        <f t="shared" si="11"/>
        <v/>
      </c>
      <c r="I126" s="49"/>
    </row>
    <row r="127" spans="2:9" ht="20.100000000000001" customHeight="1" x14ac:dyDescent="0.3">
      <c r="B127" s="198">
        <v>119</v>
      </c>
      <c r="C127" s="501" t="str">
        <f t="shared" si="7"/>
        <v/>
      </c>
      <c r="D127" s="502" t="str">
        <f t="shared" si="8"/>
        <v/>
      </c>
      <c r="E127" s="190" t="str">
        <f t="shared" si="9"/>
        <v/>
      </c>
      <c r="F127" s="196" t="str">
        <f t="shared" si="6"/>
        <v/>
      </c>
      <c r="G127" s="190" t="str">
        <f t="shared" si="10"/>
        <v/>
      </c>
      <c r="H127" s="503" t="str">
        <f t="shared" si="11"/>
        <v/>
      </c>
      <c r="I127" s="49"/>
    </row>
    <row r="128" spans="2:9" ht="20.100000000000001" customHeight="1" x14ac:dyDescent="0.3">
      <c r="B128" s="198">
        <v>120</v>
      </c>
      <c r="C128" s="501" t="str">
        <f t="shared" si="7"/>
        <v/>
      </c>
      <c r="D128" s="502" t="str">
        <f t="shared" si="8"/>
        <v/>
      </c>
      <c r="E128" s="190" t="str">
        <f t="shared" si="9"/>
        <v/>
      </c>
      <c r="F128" s="196" t="str">
        <f t="shared" si="6"/>
        <v/>
      </c>
      <c r="G128" s="190" t="str">
        <f t="shared" si="10"/>
        <v/>
      </c>
      <c r="H128" s="503" t="str">
        <f t="shared" si="11"/>
        <v/>
      </c>
      <c r="I128" s="49"/>
    </row>
    <row r="129" spans="2:9" ht="20.100000000000001" customHeight="1" x14ac:dyDescent="0.3">
      <c r="B129" s="198">
        <v>121</v>
      </c>
      <c r="C129" s="501" t="str">
        <f t="shared" si="7"/>
        <v/>
      </c>
      <c r="D129" s="502" t="str">
        <f t="shared" si="8"/>
        <v/>
      </c>
      <c r="E129" s="190" t="str">
        <f t="shared" si="9"/>
        <v/>
      </c>
      <c r="F129" s="196" t="str">
        <f t="shared" si="6"/>
        <v/>
      </c>
      <c r="G129" s="190" t="str">
        <f t="shared" si="10"/>
        <v/>
      </c>
      <c r="H129" s="503" t="str">
        <f t="shared" si="11"/>
        <v/>
      </c>
      <c r="I129" s="49"/>
    </row>
    <row r="130" spans="2:9" ht="20.100000000000001" customHeight="1" x14ac:dyDescent="0.3">
      <c r="B130" s="198">
        <v>122</v>
      </c>
      <c r="C130" s="501" t="str">
        <f t="shared" si="7"/>
        <v/>
      </c>
      <c r="D130" s="502" t="str">
        <f t="shared" si="8"/>
        <v/>
      </c>
      <c r="E130" s="190" t="str">
        <f t="shared" si="9"/>
        <v/>
      </c>
      <c r="F130" s="196" t="str">
        <f t="shared" si="6"/>
        <v/>
      </c>
      <c r="G130" s="190" t="str">
        <f t="shared" si="10"/>
        <v/>
      </c>
      <c r="H130" s="503" t="str">
        <f t="shared" si="11"/>
        <v/>
      </c>
      <c r="I130" s="49"/>
    </row>
    <row r="131" spans="2:9" ht="20.100000000000001" customHeight="1" x14ac:dyDescent="0.3">
      <c r="B131" s="198">
        <v>123</v>
      </c>
      <c r="C131" s="501" t="str">
        <f t="shared" si="7"/>
        <v/>
      </c>
      <c r="D131" s="502" t="str">
        <f t="shared" si="8"/>
        <v/>
      </c>
      <c r="E131" s="190" t="str">
        <f t="shared" si="9"/>
        <v/>
      </c>
      <c r="F131" s="196" t="str">
        <f t="shared" si="6"/>
        <v/>
      </c>
      <c r="G131" s="190" t="str">
        <f t="shared" si="10"/>
        <v/>
      </c>
      <c r="H131" s="503" t="str">
        <f t="shared" si="11"/>
        <v/>
      </c>
      <c r="I131" s="49"/>
    </row>
    <row r="132" spans="2:9" ht="20.100000000000001" customHeight="1" x14ac:dyDescent="0.3">
      <c r="B132" s="198">
        <v>124</v>
      </c>
      <c r="C132" s="501" t="str">
        <f t="shared" si="7"/>
        <v/>
      </c>
      <c r="D132" s="502" t="str">
        <f t="shared" si="8"/>
        <v/>
      </c>
      <c r="E132" s="190" t="str">
        <f t="shared" si="9"/>
        <v/>
      </c>
      <c r="F132" s="196" t="str">
        <f t="shared" si="6"/>
        <v/>
      </c>
      <c r="G132" s="190" t="str">
        <f t="shared" si="10"/>
        <v/>
      </c>
      <c r="H132" s="503" t="str">
        <f t="shared" si="11"/>
        <v/>
      </c>
      <c r="I132" s="49"/>
    </row>
    <row r="133" spans="2:9" ht="20.100000000000001" customHeight="1" x14ac:dyDescent="0.3">
      <c r="B133" s="198">
        <v>125</v>
      </c>
      <c r="C133" s="501" t="str">
        <f t="shared" si="7"/>
        <v/>
      </c>
      <c r="D133" s="502" t="str">
        <f t="shared" si="8"/>
        <v/>
      </c>
      <c r="E133" s="190" t="str">
        <f t="shared" si="9"/>
        <v/>
      </c>
      <c r="F133" s="196" t="str">
        <f t="shared" si="6"/>
        <v/>
      </c>
      <c r="G133" s="190" t="str">
        <f t="shared" si="10"/>
        <v/>
      </c>
      <c r="H133" s="503" t="str">
        <f t="shared" si="11"/>
        <v/>
      </c>
      <c r="I133" s="49"/>
    </row>
    <row r="134" spans="2:9" ht="20.100000000000001" customHeight="1" x14ac:dyDescent="0.3">
      <c r="B134" s="198">
        <v>126</v>
      </c>
      <c r="C134" s="501" t="str">
        <f t="shared" si="7"/>
        <v/>
      </c>
      <c r="D134" s="502" t="str">
        <f t="shared" si="8"/>
        <v/>
      </c>
      <c r="E134" s="190" t="str">
        <f t="shared" si="9"/>
        <v/>
      </c>
      <c r="F134" s="196" t="str">
        <f t="shared" si="6"/>
        <v/>
      </c>
      <c r="G134" s="190" t="str">
        <f t="shared" si="10"/>
        <v/>
      </c>
      <c r="H134" s="503" t="str">
        <f t="shared" si="11"/>
        <v/>
      </c>
      <c r="I134" s="49"/>
    </row>
    <row r="135" spans="2:9" ht="20.100000000000001" customHeight="1" x14ac:dyDescent="0.3">
      <c r="B135" s="198">
        <v>127</v>
      </c>
      <c r="C135" s="501" t="str">
        <f t="shared" si="7"/>
        <v/>
      </c>
      <c r="D135" s="502" t="str">
        <f t="shared" si="8"/>
        <v/>
      </c>
      <c r="E135" s="190" t="str">
        <f t="shared" si="9"/>
        <v/>
      </c>
      <c r="F135" s="196" t="str">
        <f t="shared" si="6"/>
        <v/>
      </c>
      <c r="G135" s="190" t="str">
        <f t="shared" si="10"/>
        <v/>
      </c>
      <c r="H135" s="503" t="str">
        <f t="shared" si="11"/>
        <v/>
      </c>
      <c r="I135" s="49"/>
    </row>
    <row r="136" spans="2:9" ht="20.100000000000001" customHeight="1" x14ac:dyDescent="0.3">
      <c r="B136" s="198">
        <v>128</v>
      </c>
      <c r="C136" s="501" t="str">
        <f t="shared" si="7"/>
        <v/>
      </c>
      <c r="D136" s="502" t="str">
        <f t="shared" si="8"/>
        <v/>
      </c>
      <c r="E136" s="190" t="str">
        <f t="shared" si="9"/>
        <v/>
      </c>
      <c r="F136" s="196" t="str">
        <f t="shared" si="6"/>
        <v/>
      </c>
      <c r="G136" s="190" t="str">
        <f t="shared" si="10"/>
        <v/>
      </c>
      <c r="H136" s="503" t="str">
        <f t="shared" si="11"/>
        <v/>
      </c>
      <c r="I136" s="49"/>
    </row>
    <row r="137" spans="2:9" ht="20.100000000000001" customHeight="1" x14ac:dyDescent="0.3">
      <c r="B137" s="198">
        <v>129</v>
      </c>
      <c r="C137" s="501" t="str">
        <f t="shared" si="7"/>
        <v/>
      </c>
      <c r="D137" s="502" t="str">
        <f t="shared" si="8"/>
        <v/>
      </c>
      <c r="E137" s="190" t="str">
        <f t="shared" si="9"/>
        <v/>
      </c>
      <c r="F137" s="196" t="str">
        <f t="shared" si="6"/>
        <v/>
      </c>
      <c r="G137" s="190" t="str">
        <f t="shared" si="10"/>
        <v/>
      </c>
      <c r="H137" s="503" t="str">
        <f t="shared" si="11"/>
        <v/>
      </c>
      <c r="I137" s="49"/>
    </row>
    <row r="138" spans="2:9" ht="20.100000000000001" customHeight="1" x14ac:dyDescent="0.3">
      <c r="B138" s="198">
        <v>130</v>
      </c>
      <c r="C138" s="501" t="str">
        <f t="shared" si="7"/>
        <v/>
      </c>
      <c r="D138" s="502" t="str">
        <f t="shared" si="8"/>
        <v/>
      </c>
      <c r="E138" s="190" t="str">
        <f t="shared" si="9"/>
        <v/>
      </c>
      <c r="F138" s="196" t="str">
        <f t="shared" ref="F138:F201" si="12">IF($H$4="","",IF($F$4="원리금균등상환",IFERROR(D138+E138,""),IF($F$4="원금균등상환",D138+E138,"")))</f>
        <v/>
      </c>
      <c r="G138" s="190" t="str">
        <f t="shared" si="10"/>
        <v/>
      </c>
      <c r="H138" s="503" t="str">
        <f t="shared" si="11"/>
        <v/>
      </c>
      <c r="I138" s="49"/>
    </row>
    <row r="139" spans="2:9" ht="20.100000000000001" customHeight="1" x14ac:dyDescent="0.3">
      <c r="B139" s="198">
        <v>131</v>
      </c>
      <c r="C139" s="501" t="str">
        <f t="shared" ref="C139:C202" si="13">IF($H$4="","",IF(B139&gt;($B$6),"",IF(B139&lt;=($B$6),DATE(YEAR($G$4),MONTH($G$4)+B138,DAY($G$4)),"")))</f>
        <v/>
      </c>
      <c r="D139" s="502" t="str">
        <f t="shared" ref="D139:D202" si="14">IF($H$4="","",IF($F$4="원리금균등상환",IFERROR(IF(B139&lt;=$D$6,0,-PPMT($E$4/12,B139-$D$6,($B$6-$D$6),$D$4)),""),IF($F$4="원금균등상환",IF(B139&lt;($D$6+1),0,IF(B139&gt;$B$6,0,$D$4/($B$6-$D$6))),IF($F$4="만기일시상환",0,""))))</f>
        <v/>
      </c>
      <c r="E139" s="190" t="str">
        <f t="shared" ref="E139:E202" si="15">IF($H$4="","",IF($F$4="원리금균등상환",IFERROR(IF(B139&lt;=$D$6,$H138*($E$4/12),-IPMT($E$4/12,B139-$D$6,($B$6-$D$6),$D$4)),""),IF($F$4="원금균등상환",(H138-D139)*$E$4/12,IF($F$4="만기일시상환",IFERROR(IF(B139&lt;=$B$6,$D$4*($E$4/12),""),"")))))</f>
        <v/>
      </c>
      <c r="F139" s="196" t="str">
        <f t="shared" si="12"/>
        <v/>
      </c>
      <c r="G139" s="190" t="str">
        <f t="shared" ref="G139:G202" si="16">IFERROR(IF(B139&gt;(($D$6+$B$6)*12),"",IF(B139=1,D139,D139+G138)),"")</f>
        <v/>
      </c>
      <c r="H139" s="503" t="str">
        <f t="shared" ref="H139:H202" si="17">IFERROR(IF($H$4="","",H138-D139),"")</f>
        <v/>
      </c>
      <c r="I139" s="49"/>
    </row>
    <row r="140" spans="2:9" ht="20.100000000000001" customHeight="1" x14ac:dyDescent="0.3">
      <c r="B140" s="198">
        <v>132</v>
      </c>
      <c r="C140" s="501" t="str">
        <f t="shared" si="13"/>
        <v/>
      </c>
      <c r="D140" s="502" t="str">
        <f t="shared" si="14"/>
        <v/>
      </c>
      <c r="E140" s="190" t="str">
        <f t="shared" si="15"/>
        <v/>
      </c>
      <c r="F140" s="196" t="str">
        <f t="shared" si="12"/>
        <v/>
      </c>
      <c r="G140" s="190" t="str">
        <f t="shared" si="16"/>
        <v/>
      </c>
      <c r="H140" s="503" t="str">
        <f t="shared" si="17"/>
        <v/>
      </c>
      <c r="I140" s="49"/>
    </row>
    <row r="141" spans="2:9" ht="20.100000000000001" customHeight="1" x14ac:dyDescent="0.3">
      <c r="B141" s="198">
        <v>133</v>
      </c>
      <c r="C141" s="501" t="str">
        <f t="shared" si="13"/>
        <v/>
      </c>
      <c r="D141" s="502" t="str">
        <f t="shared" si="14"/>
        <v/>
      </c>
      <c r="E141" s="190" t="str">
        <f t="shared" si="15"/>
        <v/>
      </c>
      <c r="F141" s="196" t="str">
        <f t="shared" si="12"/>
        <v/>
      </c>
      <c r="G141" s="190" t="str">
        <f t="shared" si="16"/>
        <v/>
      </c>
      <c r="H141" s="503" t="str">
        <f t="shared" si="17"/>
        <v/>
      </c>
      <c r="I141" s="49"/>
    </row>
    <row r="142" spans="2:9" ht="20.100000000000001" customHeight="1" x14ac:dyDescent="0.3">
      <c r="B142" s="198">
        <v>134</v>
      </c>
      <c r="C142" s="501" t="str">
        <f t="shared" si="13"/>
        <v/>
      </c>
      <c r="D142" s="502" t="str">
        <f t="shared" si="14"/>
        <v/>
      </c>
      <c r="E142" s="190" t="str">
        <f t="shared" si="15"/>
        <v/>
      </c>
      <c r="F142" s="196" t="str">
        <f t="shared" si="12"/>
        <v/>
      </c>
      <c r="G142" s="190" t="str">
        <f t="shared" si="16"/>
        <v/>
      </c>
      <c r="H142" s="503" t="str">
        <f t="shared" si="17"/>
        <v/>
      </c>
      <c r="I142" s="49"/>
    </row>
    <row r="143" spans="2:9" ht="20.100000000000001" customHeight="1" x14ac:dyDescent="0.3">
      <c r="B143" s="198">
        <v>135</v>
      </c>
      <c r="C143" s="501" t="str">
        <f t="shared" si="13"/>
        <v/>
      </c>
      <c r="D143" s="502" t="str">
        <f t="shared" si="14"/>
        <v/>
      </c>
      <c r="E143" s="190" t="str">
        <f t="shared" si="15"/>
        <v/>
      </c>
      <c r="F143" s="196" t="str">
        <f t="shared" si="12"/>
        <v/>
      </c>
      <c r="G143" s="190" t="str">
        <f t="shared" si="16"/>
        <v/>
      </c>
      <c r="H143" s="503" t="str">
        <f t="shared" si="17"/>
        <v/>
      </c>
      <c r="I143" s="49"/>
    </row>
    <row r="144" spans="2:9" ht="20.100000000000001" customHeight="1" x14ac:dyDescent="0.3">
      <c r="B144" s="198">
        <v>136</v>
      </c>
      <c r="C144" s="501" t="str">
        <f t="shared" si="13"/>
        <v/>
      </c>
      <c r="D144" s="502" t="str">
        <f t="shared" si="14"/>
        <v/>
      </c>
      <c r="E144" s="190" t="str">
        <f t="shared" si="15"/>
        <v/>
      </c>
      <c r="F144" s="196" t="str">
        <f t="shared" si="12"/>
        <v/>
      </c>
      <c r="G144" s="190" t="str">
        <f t="shared" si="16"/>
        <v/>
      </c>
      <c r="H144" s="503" t="str">
        <f t="shared" si="17"/>
        <v/>
      </c>
      <c r="I144" s="49"/>
    </row>
    <row r="145" spans="2:9" ht="20.100000000000001" customHeight="1" x14ac:dyDescent="0.3">
      <c r="B145" s="198">
        <v>137</v>
      </c>
      <c r="C145" s="501" t="str">
        <f t="shared" si="13"/>
        <v/>
      </c>
      <c r="D145" s="502" t="str">
        <f t="shared" si="14"/>
        <v/>
      </c>
      <c r="E145" s="190" t="str">
        <f t="shared" si="15"/>
        <v/>
      </c>
      <c r="F145" s="196" t="str">
        <f t="shared" si="12"/>
        <v/>
      </c>
      <c r="G145" s="190" t="str">
        <f t="shared" si="16"/>
        <v/>
      </c>
      <c r="H145" s="503" t="str">
        <f t="shared" si="17"/>
        <v/>
      </c>
      <c r="I145" s="49"/>
    </row>
    <row r="146" spans="2:9" ht="20.100000000000001" customHeight="1" x14ac:dyDescent="0.3">
      <c r="B146" s="198">
        <v>138</v>
      </c>
      <c r="C146" s="501" t="str">
        <f t="shared" si="13"/>
        <v/>
      </c>
      <c r="D146" s="502" t="str">
        <f t="shared" si="14"/>
        <v/>
      </c>
      <c r="E146" s="190" t="str">
        <f t="shared" si="15"/>
        <v/>
      </c>
      <c r="F146" s="196" t="str">
        <f t="shared" si="12"/>
        <v/>
      </c>
      <c r="G146" s="190" t="str">
        <f t="shared" si="16"/>
        <v/>
      </c>
      <c r="H146" s="503" t="str">
        <f t="shared" si="17"/>
        <v/>
      </c>
      <c r="I146" s="49"/>
    </row>
    <row r="147" spans="2:9" ht="20.100000000000001" customHeight="1" x14ac:dyDescent="0.3">
      <c r="B147" s="198">
        <v>139</v>
      </c>
      <c r="C147" s="501" t="str">
        <f t="shared" si="13"/>
        <v/>
      </c>
      <c r="D147" s="502" t="str">
        <f t="shared" si="14"/>
        <v/>
      </c>
      <c r="E147" s="190" t="str">
        <f t="shared" si="15"/>
        <v/>
      </c>
      <c r="F147" s="196" t="str">
        <f t="shared" si="12"/>
        <v/>
      </c>
      <c r="G147" s="190" t="str">
        <f t="shared" si="16"/>
        <v/>
      </c>
      <c r="H147" s="503" t="str">
        <f t="shared" si="17"/>
        <v/>
      </c>
      <c r="I147" s="49"/>
    </row>
    <row r="148" spans="2:9" ht="20.100000000000001" customHeight="1" x14ac:dyDescent="0.3">
      <c r="B148" s="198">
        <v>140</v>
      </c>
      <c r="C148" s="501" t="str">
        <f t="shared" si="13"/>
        <v/>
      </c>
      <c r="D148" s="502" t="str">
        <f t="shared" si="14"/>
        <v/>
      </c>
      <c r="E148" s="190" t="str">
        <f t="shared" si="15"/>
        <v/>
      </c>
      <c r="F148" s="196" t="str">
        <f t="shared" si="12"/>
        <v/>
      </c>
      <c r="G148" s="190" t="str">
        <f t="shared" si="16"/>
        <v/>
      </c>
      <c r="H148" s="503" t="str">
        <f t="shared" si="17"/>
        <v/>
      </c>
      <c r="I148" s="49"/>
    </row>
    <row r="149" spans="2:9" ht="20.100000000000001" customHeight="1" x14ac:dyDescent="0.3">
      <c r="B149" s="198">
        <v>141</v>
      </c>
      <c r="C149" s="501" t="str">
        <f t="shared" si="13"/>
        <v/>
      </c>
      <c r="D149" s="502" t="str">
        <f t="shared" si="14"/>
        <v/>
      </c>
      <c r="E149" s="190" t="str">
        <f t="shared" si="15"/>
        <v/>
      </c>
      <c r="F149" s="196" t="str">
        <f t="shared" si="12"/>
        <v/>
      </c>
      <c r="G149" s="190" t="str">
        <f t="shared" si="16"/>
        <v/>
      </c>
      <c r="H149" s="503" t="str">
        <f t="shared" si="17"/>
        <v/>
      </c>
      <c r="I149" s="49"/>
    </row>
    <row r="150" spans="2:9" ht="20.100000000000001" customHeight="1" x14ac:dyDescent="0.3">
      <c r="B150" s="198">
        <v>142</v>
      </c>
      <c r="C150" s="501" t="str">
        <f t="shared" si="13"/>
        <v/>
      </c>
      <c r="D150" s="502" t="str">
        <f t="shared" si="14"/>
        <v/>
      </c>
      <c r="E150" s="190" t="str">
        <f t="shared" si="15"/>
        <v/>
      </c>
      <c r="F150" s="196" t="str">
        <f t="shared" si="12"/>
        <v/>
      </c>
      <c r="G150" s="190" t="str">
        <f t="shared" si="16"/>
        <v/>
      </c>
      <c r="H150" s="503" t="str">
        <f t="shared" si="17"/>
        <v/>
      </c>
      <c r="I150" s="49"/>
    </row>
    <row r="151" spans="2:9" ht="20.100000000000001" customHeight="1" x14ac:dyDescent="0.3">
      <c r="B151" s="198">
        <v>143</v>
      </c>
      <c r="C151" s="501" t="str">
        <f t="shared" si="13"/>
        <v/>
      </c>
      <c r="D151" s="502" t="str">
        <f t="shared" si="14"/>
        <v/>
      </c>
      <c r="E151" s="190" t="str">
        <f t="shared" si="15"/>
        <v/>
      </c>
      <c r="F151" s="196" t="str">
        <f t="shared" si="12"/>
        <v/>
      </c>
      <c r="G151" s="190" t="str">
        <f t="shared" si="16"/>
        <v/>
      </c>
      <c r="H151" s="503" t="str">
        <f t="shared" si="17"/>
        <v/>
      </c>
      <c r="I151" s="49"/>
    </row>
    <row r="152" spans="2:9" ht="20.100000000000001" customHeight="1" x14ac:dyDescent="0.3">
      <c r="B152" s="198">
        <v>144</v>
      </c>
      <c r="C152" s="501" t="str">
        <f t="shared" si="13"/>
        <v/>
      </c>
      <c r="D152" s="502" t="str">
        <f t="shared" si="14"/>
        <v/>
      </c>
      <c r="E152" s="190" t="str">
        <f t="shared" si="15"/>
        <v/>
      </c>
      <c r="F152" s="196" t="str">
        <f t="shared" si="12"/>
        <v/>
      </c>
      <c r="G152" s="190" t="str">
        <f t="shared" si="16"/>
        <v/>
      </c>
      <c r="H152" s="503" t="str">
        <f t="shared" si="17"/>
        <v/>
      </c>
      <c r="I152" s="49"/>
    </row>
    <row r="153" spans="2:9" ht="20.100000000000001" customHeight="1" x14ac:dyDescent="0.3">
      <c r="B153" s="198">
        <v>145</v>
      </c>
      <c r="C153" s="501" t="str">
        <f t="shared" si="13"/>
        <v/>
      </c>
      <c r="D153" s="502" t="str">
        <f t="shared" si="14"/>
        <v/>
      </c>
      <c r="E153" s="190" t="str">
        <f t="shared" si="15"/>
        <v/>
      </c>
      <c r="F153" s="196" t="str">
        <f t="shared" si="12"/>
        <v/>
      </c>
      <c r="G153" s="190" t="str">
        <f t="shared" si="16"/>
        <v/>
      </c>
      <c r="H153" s="503" t="str">
        <f t="shared" si="17"/>
        <v/>
      </c>
      <c r="I153" s="49"/>
    </row>
    <row r="154" spans="2:9" ht="20.100000000000001" customHeight="1" x14ac:dyDescent="0.3">
      <c r="B154" s="198">
        <v>146</v>
      </c>
      <c r="C154" s="501" t="str">
        <f t="shared" si="13"/>
        <v/>
      </c>
      <c r="D154" s="502" t="str">
        <f t="shared" si="14"/>
        <v/>
      </c>
      <c r="E154" s="190" t="str">
        <f t="shared" si="15"/>
        <v/>
      </c>
      <c r="F154" s="196" t="str">
        <f t="shared" si="12"/>
        <v/>
      </c>
      <c r="G154" s="190" t="str">
        <f t="shared" si="16"/>
        <v/>
      </c>
      <c r="H154" s="503" t="str">
        <f t="shared" si="17"/>
        <v/>
      </c>
      <c r="I154" s="49"/>
    </row>
    <row r="155" spans="2:9" ht="20.100000000000001" customHeight="1" x14ac:dyDescent="0.3">
      <c r="B155" s="198">
        <v>147</v>
      </c>
      <c r="C155" s="501" t="str">
        <f t="shared" si="13"/>
        <v/>
      </c>
      <c r="D155" s="502" t="str">
        <f t="shared" si="14"/>
        <v/>
      </c>
      <c r="E155" s="190" t="str">
        <f t="shared" si="15"/>
        <v/>
      </c>
      <c r="F155" s="196" t="str">
        <f t="shared" si="12"/>
        <v/>
      </c>
      <c r="G155" s="190" t="str">
        <f t="shared" si="16"/>
        <v/>
      </c>
      <c r="H155" s="503" t="str">
        <f t="shared" si="17"/>
        <v/>
      </c>
      <c r="I155" s="49"/>
    </row>
    <row r="156" spans="2:9" ht="20.100000000000001" customHeight="1" x14ac:dyDescent="0.3">
      <c r="B156" s="198">
        <v>148</v>
      </c>
      <c r="C156" s="501" t="str">
        <f t="shared" si="13"/>
        <v/>
      </c>
      <c r="D156" s="502" t="str">
        <f t="shared" si="14"/>
        <v/>
      </c>
      <c r="E156" s="190" t="str">
        <f t="shared" si="15"/>
        <v/>
      </c>
      <c r="F156" s="196" t="str">
        <f t="shared" si="12"/>
        <v/>
      </c>
      <c r="G156" s="190" t="str">
        <f t="shared" si="16"/>
        <v/>
      </c>
      <c r="H156" s="503" t="str">
        <f t="shared" si="17"/>
        <v/>
      </c>
      <c r="I156" s="49"/>
    </row>
    <row r="157" spans="2:9" ht="20.100000000000001" customHeight="1" x14ac:dyDescent="0.3">
      <c r="B157" s="198">
        <v>149</v>
      </c>
      <c r="C157" s="501" t="str">
        <f t="shared" si="13"/>
        <v/>
      </c>
      <c r="D157" s="502" t="str">
        <f t="shared" si="14"/>
        <v/>
      </c>
      <c r="E157" s="190" t="str">
        <f t="shared" si="15"/>
        <v/>
      </c>
      <c r="F157" s="196" t="str">
        <f t="shared" si="12"/>
        <v/>
      </c>
      <c r="G157" s="190" t="str">
        <f t="shared" si="16"/>
        <v/>
      </c>
      <c r="H157" s="503" t="str">
        <f t="shared" si="17"/>
        <v/>
      </c>
      <c r="I157" s="49"/>
    </row>
    <row r="158" spans="2:9" ht="20.100000000000001" customHeight="1" x14ac:dyDescent="0.3">
      <c r="B158" s="198">
        <v>150</v>
      </c>
      <c r="C158" s="501" t="str">
        <f t="shared" si="13"/>
        <v/>
      </c>
      <c r="D158" s="502" t="str">
        <f t="shared" si="14"/>
        <v/>
      </c>
      <c r="E158" s="190" t="str">
        <f t="shared" si="15"/>
        <v/>
      </c>
      <c r="F158" s="196" t="str">
        <f t="shared" si="12"/>
        <v/>
      </c>
      <c r="G158" s="190" t="str">
        <f t="shared" si="16"/>
        <v/>
      </c>
      <c r="H158" s="503" t="str">
        <f t="shared" si="17"/>
        <v/>
      </c>
      <c r="I158" s="49"/>
    </row>
    <row r="159" spans="2:9" ht="20.100000000000001" customHeight="1" x14ac:dyDescent="0.3">
      <c r="B159" s="198">
        <v>151</v>
      </c>
      <c r="C159" s="501" t="str">
        <f t="shared" si="13"/>
        <v/>
      </c>
      <c r="D159" s="502" t="str">
        <f t="shared" si="14"/>
        <v/>
      </c>
      <c r="E159" s="190" t="str">
        <f t="shared" si="15"/>
        <v/>
      </c>
      <c r="F159" s="196" t="str">
        <f t="shared" si="12"/>
        <v/>
      </c>
      <c r="G159" s="190" t="str">
        <f t="shared" si="16"/>
        <v/>
      </c>
      <c r="H159" s="503" t="str">
        <f t="shared" si="17"/>
        <v/>
      </c>
      <c r="I159" s="49"/>
    </row>
    <row r="160" spans="2:9" ht="20.100000000000001" customHeight="1" x14ac:dyDescent="0.3">
      <c r="B160" s="198">
        <v>152</v>
      </c>
      <c r="C160" s="501" t="str">
        <f t="shared" si="13"/>
        <v/>
      </c>
      <c r="D160" s="502" t="str">
        <f t="shared" si="14"/>
        <v/>
      </c>
      <c r="E160" s="190" t="str">
        <f t="shared" si="15"/>
        <v/>
      </c>
      <c r="F160" s="196" t="str">
        <f t="shared" si="12"/>
        <v/>
      </c>
      <c r="G160" s="190" t="str">
        <f t="shared" si="16"/>
        <v/>
      </c>
      <c r="H160" s="503" t="str">
        <f t="shared" si="17"/>
        <v/>
      </c>
      <c r="I160" s="49"/>
    </row>
    <row r="161" spans="2:9" ht="20.100000000000001" customHeight="1" x14ac:dyDescent="0.3">
      <c r="B161" s="198">
        <v>153</v>
      </c>
      <c r="C161" s="501" t="str">
        <f t="shared" si="13"/>
        <v/>
      </c>
      <c r="D161" s="502" t="str">
        <f t="shared" si="14"/>
        <v/>
      </c>
      <c r="E161" s="190" t="str">
        <f t="shared" si="15"/>
        <v/>
      </c>
      <c r="F161" s="196" t="str">
        <f t="shared" si="12"/>
        <v/>
      </c>
      <c r="G161" s="190" t="str">
        <f t="shared" si="16"/>
        <v/>
      </c>
      <c r="H161" s="503" t="str">
        <f t="shared" si="17"/>
        <v/>
      </c>
      <c r="I161" s="49"/>
    </row>
    <row r="162" spans="2:9" ht="20.100000000000001" customHeight="1" x14ac:dyDescent="0.3">
      <c r="B162" s="198">
        <v>154</v>
      </c>
      <c r="C162" s="501" t="str">
        <f t="shared" si="13"/>
        <v/>
      </c>
      <c r="D162" s="502" t="str">
        <f t="shared" si="14"/>
        <v/>
      </c>
      <c r="E162" s="190" t="str">
        <f t="shared" si="15"/>
        <v/>
      </c>
      <c r="F162" s="196" t="str">
        <f t="shared" si="12"/>
        <v/>
      </c>
      <c r="G162" s="190" t="str">
        <f t="shared" si="16"/>
        <v/>
      </c>
      <c r="H162" s="503" t="str">
        <f t="shared" si="17"/>
        <v/>
      </c>
      <c r="I162" s="49"/>
    </row>
    <row r="163" spans="2:9" ht="20.100000000000001" customHeight="1" x14ac:dyDescent="0.3">
      <c r="B163" s="198">
        <v>155</v>
      </c>
      <c r="C163" s="501" t="str">
        <f t="shared" si="13"/>
        <v/>
      </c>
      <c r="D163" s="502" t="str">
        <f t="shared" si="14"/>
        <v/>
      </c>
      <c r="E163" s="190" t="str">
        <f t="shared" si="15"/>
        <v/>
      </c>
      <c r="F163" s="196" t="str">
        <f t="shared" si="12"/>
        <v/>
      </c>
      <c r="G163" s="190" t="str">
        <f t="shared" si="16"/>
        <v/>
      </c>
      <c r="H163" s="503" t="str">
        <f t="shared" si="17"/>
        <v/>
      </c>
      <c r="I163" s="49"/>
    </row>
    <row r="164" spans="2:9" ht="20.100000000000001" customHeight="1" x14ac:dyDescent="0.3">
      <c r="B164" s="198">
        <v>156</v>
      </c>
      <c r="C164" s="501" t="str">
        <f t="shared" si="13"/>
        <v/>
      </c>
      <c r="D164" s="502" t="str">
        <f t="shared" si="14"/>
        <v/>
      </c>
      <c r="E164" s="190" t="str">
        <f t="shared" si="15"/>
        <v/>
      </c>
      <c r="F164" s="196" t="str">
        <f t="shared" si="12"/>
        <v/>
      </c>
      <c r="G164" s="190" t="str">
        <f t="shared" si="16"/>
        <v/>
      </c>
      <c r="H164" s="503" t="str">
        <f t="shared" si="17"/>
        <v/>
      </c>
      <c r="I164" s="49"/>
    </row>
    <row r="165" spans="2:9" ht="20.100000000000001" customHeight="1" x14ac:dyDescent="0.3">
      <c r="B165" s="198">
        <v>157</v>
      </c>
      <c r="C165" s="501" t="str">
        <f t="shared" si="13"/>
        <v/>
      </c>
      <c r="D165" s="502" t="str">
        <f t="shared" si="14"/>
        <v/>
      </c>
      <c r="E165" s="190" t="str">
        <f t="shared" si="15"/>
        <v/>
      </c>
      <c r="F165" s="196" t="str">
        <f t="shared" si="12"/>
        <v/>
      </c>
      <c r="G165" s="190" t="str">
        <f t="shared" si="16"/>
        <v/>
      </c>
      <c r="H165" s="503" t="str">
        <f t="shared" si="17"/>
        <v/>
      </c>
      <c r="I165" s="49"/>
    </row>
    <row r="166" spans="2:9" ht="20.100000000000001" customHeight="1" x14ac:dyDescent="0.3">
      <c r="B166" s="198">
        <v>158</v>
      </c>
      <c r="C166" s="501" t="str">
        <f t="shared" si="13"/>
        <v/>
      </c>
      <c r="D166" s="502" t="str">
        <f t="shared" si="14"/>
        <v/>
      </c>
      <c r="E166" s="190" t="str">
        <f t="shared" si="15"/>
        <v/>
      </c>
      <c r="F166" s="196" t="str">
        <f t="shared" si="12"/>
        <v/>
      </c>
      <c r="G166" s="190" t="str">
        <f t="shared" si="16"/>
        <v/>
      </c>
      <c r="H166" s="503" t="str">
        <f t="shared" si="17"/>
        <v/>
      </c>
      <c r="I166" s="49"/>
    </row>
    <row r="167" spans="2:9" ht="20.100000000000001" customHeight="1" x14ac:dyDescent="0.3">
      <c r="B167" s="198">
        <v>159</v>
      </c>
      <c r="C167" s="501" t="str">
        <f t="shared" si="13"/>
        <v/>
      </c>
      <c r="D167" s="502" t="str">
        <f t="shared" si="14"/>
        <v/>
      </c>
      <c r="E167" s="190" t="str">
        <f t="shared" si="15"/>
        <v/>
      </c>
      <c r="F167" s="196" t="str">
        <f t="shared" si="12"/>
        <v/>
      </c>
      <c r="G167" s="190" t="str">
        <f t="shared" si="16"/>
        <v/>
      </c>
      <c r="H167" s="503" t="str">
        <f t="shared" si="17"/>
        <v/>
      </c>
      <c r="I167" s="49"/>
    </row>
    <row r="168" spans="2:9" ht="20.100000000000001" customHeight="1" x14ac:dyDescent="0.3">
      <c r="B168" s="198">
        <v>160</v>
      </c>
      <c r="C168" s="501" t="str">
        <f t="shared" si="13"/>
        <v/>
      </c>
      <c r="D168" s="502" t="str">
        <f t="shared" si="14"/>
        <v/>
      </c>
      <c r="E168" s="190" t="str">
        <f t="shared" si="15"/>
        <v/>
      </c>
      <c r="F168" s="196" t="str">
        <f t="shared" si="12"/>
        <v/>
      </c>
      <c r="G168" s="190" t="str">
        <f t="shared" si="16"/>
        <v/>
      </c>
      <c r="H168" s="503" t="str">
        <f t="shared" si="17"/>
        <v/>
      </c>
      <c r="I168" s="49"/>
    </row>
    <row r="169" spans="2:9" ht="20.100000000000001" customHeight="1" x14ac:dyDescent="0.3">
      <c r="B169" s="198">
        <v>161</v>
      </c>
      <c r="C169" s="501" t="str">
        <f t="shared" si="13"/>
        <v/>
      </c>
      <c r="D169" s="502" t="str">
        <f t="shared" si="14"/>
        <v/>
      </c>
      <c r="E169" s="190" t="str">
        <f t="shared" si="15"/>
        <v/>
      </c>
      <c r="F169" s="196" t="str">
        <f t="shared" si="12"/>
        <v/>
      </c>
      <c r="G169" s="190" t="str">
        <f t="shared" si="16"/>
        <v/>
      </c>
      <c r="H169" s="503" t="str">
        <f t="shared" si="17"/>
        <v/>
      </c>
      <c r="I169" s="49"/>
    </row>
    <row r="170" spans="2:9" ht="20.100000000000001" customHeight="1" x14ac:dyDescent="0.3">
      <c r="B170" s="198">
        <v>162</v>
      </c>
      <c r="C170" s="501" t="str">
        <f t="shared" si="13"/>
        <v/>
      </c>
      <c r="D170" s="502" t="str">
        <f t="shared" si="14"/>
        <v/>
      </c>
      <c r="E170" s="190" t="str">
        <f t="shared" si="15"/>
        <v/>
      </c>
      <c r="F170" s="196" t="str">
        <f t="shared" si="12"/>
        <v/>
      </c>
      <c r="G170" s="190" t="str">
        <f t="shared" si="16"/>
        <v/>
      </c>
      <c r="H170" s="503" t="str">
        <f t="shared" si="17"/>
        <v/>
      </c>
      <c r="I170" s="49"/>
    </row>
    <row r="171" spans="2:9" ht="20.100000000000001" customHeight="1" x14ac:dyDescent="0.3">
      <c r="B171" s="198">
        <v>163</v>
      </c>
      <c r="C171" s="501" t="str">
        <f t="shared" si="13"/>
        <v/>
      </c>
      <c r="D171" s="502" t="str">
        <f t="shared" si="14"/>
        <v/>
      </c>
      <c r="E171" s="190" t="str">
        <f t="shared" si="15"/>
        <v/>
      </c>
      <c r="F171" s="196" t="str">
        <f t="shared" si="12"/>
        <v/>
      </c>
      <c r="G171" s="190" t="str">
        <f t="shared" si="16"/>
        <v/>
      </c>
      <c r="H171" s="503" t="str">
        <f t="shared" si="17"/>
        <v/>
      </c>
      <c r="I171" s="49"/>
    </row>
    <row r="172" spans="2:9" ht="20.100000000000001" customHeight="1" x14ac:dyDescent="0.3">
      <c r="B172" s="198">
        <v>164</v>
      </c>
      <c r="C172" s="501" t="str">
        <f t="shared" si="13"/>
        <v/>
      </c>
      <c r="D172" s="502" t="str">
        <f t="shared" si="14"/>
        <v/>
      </c>
      <c r="E172" s="190" t="str">
        <f t="shared" si="15"/>
        <v/>
      </c>
      <c r="F172" s="196" t="str">
        <f t="shared" si="12"/>
        <v/>
      </c>
      <c r="G172" s="190" t="str">
        <f t="shared" si="16"/>
        <v/>
      </c>
      <c r="H172" s="503" t="str">
        <f t="shared" si="17"/>
        <v/>
      </c>
      <c r="I172" s="49"/>
    </row>
    <row r="173" spans="2:9" ht="20.100000000000001" customHeight="1" x14ac:dyDescent="0.3">
      <c r="B173" s="198">
        <v>165</v>
      </c>
      <c r="C173" s="501" t="str">
        <f t="shared" si="13"/>
        <v/>
      </c>
      <c r="D173" s="502" t="str">
        <f t="shared" si="14"/>
        <v/>
      </c>
      <c r="E173" s="190" t="str">
        <f t="shared" si="15"/>
        <v/>
      </c>
      <c r="F173" s="196" t="str">
        <f t="shared" si="12"/>
        <v/>
      </c>
      <c r="G173" s="190" t="str">
        <f t="shared" si="16"/>
        <v/>
      </c>
      <c r="H173" s="503" t="str">
        <f t="shared" si="17"/>
        <v/>
      </c>
      <c r="I173" s="49"/>
    </row>
    <row r="174" spans="2:9" ht="20.100000000000001" customHeight="1" x14ac:dyDescent="0.3">
      <c r="B174" s="198">
        <v>166</v>
      </c>
      <c r="C174" s="501" t="str">
        <f t="shared" si="13"/>
        <v/>
      </c>
      <c r="D174" s="502" t="str">
        <f t="shared" si="14"/>
        <v/>
      </c>
      <c r="E174" s="190" t="str">
        <f t="shared" si="15"/>
        <v/>
      </c>
      <c r="F174" s="196" t="str">
        <f t="shared" si="12"/>
        <v/>
      </c>
      <c r="G174" s="190" t="str">
        <f t="shared" si="16"/>
        <v/>
      </c>
      <c r="H174" s="503" t="str">
        <f t="shared" si="17"/>
        <v/>
      </c>
      <c r="I174" s="49"/>
    </row>
    <row r="175" spans="2:9" ht="20.100000000000001" customHeight="1" x14ac:dyDescent="0.3">
      <c r="B175" s="198">
        <v>167</v>
      </c>
      <c r="C175" s="501" t="str">
        <f t="shared" si="13"/>
        <v/>
      </c>
      <c r="D175" s="502" t="str">
        <f t="shared" si="14"/>
        <v/>
      </c>
      <c r="E175" s="190" t="str">
        <f t="shared" si="15"/>
        <v/>
      </c>
      <c r="F175" s="196" t="str">
        <f t="shared" si="12"/>
        <v/>
      </c>
      <c r="G175" s="190" t="str">
        <f t="shared" si="16"/>
        <v/>
      </c>
      <c r="H175" s="503" t="str">
        <f t="shared" si="17"/>
        <v/>
      </c>
      <c r="I175" s="49"/>
    </row>
    <row r="176" spans="2:9" ht="20.100000000000001" customHeight="1" x14ac:dyDescent="0.3">
      <c r="B176" s="198">
        <v>168</v>
      </c>
      <c r="C176" s="501" t="str">
        <f t="shared" si="13"/>
        <v/>
      </c>
      <c r="D176" s="502" t="str">
        <f t="shared" si="14"/>
        <v/>
      </c>
      <c r="E176" s="190" t="str">
        <f t="shared" si="15"/>
        <v/>
      </c>
      <c r="F176" s="196" t="str">
        <f t="shared" si="12"/>
        <v/>
      </c>
      <c r="G176" s="190" t="str">
        <f t="shared" si="16"/>
        <v/>
      </c>
      <c r="H176" s="503" t="str">
        <f t="shared" si="17"/>
        <v/>
      </c>
      <c r="I176" s="49"/>
    </row>
    <row r="177" spans="2:9" ht="20.100000000000001" customHeight="1" x14ac:dyDescent="0.3">
      <c r="B177" s="198">
        <v>169</v>
      </c>
      <c r="C177" s="501" t="str">
        <f t="shared" si="13"/>
        <v/>
      </c>
      <c r="D177" s="502" t="str">
        <f t="shared" si="14"/>
        <v/>
      </c>
      <c r="E177" s="190" t="str">
        <f t="shared" si="15"/>
        <v/>
      </c>
      <c r="F177" s="196" t="str">
        <f t="shared" si="12"/>
        <v/>
      </c>
      <c r="G177" s="190" t="str">
        <f t="shared" si="16"/>
        <v/>
      </c>
      <c r="H177" s="503" t="str">
        <f t="shared" si="17"/>
        <v/>
      </c>
      <c r="I177" s="49"/>
    </row>
    <row r="178" spans="2:9" ht="20.100000000000001" customHeight="1" x14ac:dyDescent="0.3">
      <c r="B178" s="198">
        <v>170</v>
      </c>
      <c r="C178" s="501" t="str">
        <f t="shared" si="13"/>
        <v/>
      </c>
      <c r="D178" s="502" t="str">
        <f t="shared" si="14"/>
        <v/>
      </c>
      <c r="E178" s="190" t="str">
        <f t="shared" si="15"/>
        <v/>
      </c>
      <c r="F178" s="196" t="str">
        <f t="shared" si="12"/>
        <v/>
      </c>
      <c r="G178" s="190" t="str">
        <f t="shared" si="16"/>
        <v/>
      </c>
      <c r="H178" s="503" t="str">
        <f t="shared" si="17"/>
        <v/>
      </c>
      <c r="I178" s="49"/>
    </row>
    <row r="179" spans="2:9" ht="20.100000000000001" customHeight="1" x14ac:dyDescent="0.3">
      <c r="B179" s="198">
        <v>171</v>
      </c>
      <c r="C179" s="501" t="str">
        <f t="shared" si="13"/>
        <v/>
      </c>
      <c r="D179" s="502" t="str">
        <f t="shared" si="14"/>
        <v/>
      </c>
      <c r="E179" s="190" t="str">
        <f t="shared" si="15"/>
        <v/>
      </c>
      <c r="F179" s="196" t="str">
        <f t="shared" si="12"/>
        <v/>
      </c>
      <c r="G179" s="190" t="str">
        <f t="shared" si="16"/>
        <v/>
      </c>
      <c r="H179" s="503" t="str">
        <f t="shared" si="17"/>
        <v/>
      </c>
      <c r="I179" s="49"/>
    </row>
    <row r="180" spans="2:9" ht="20.100000000000001" customHeight="1" x14ac:dyDescent="0.3">
      <c r="B180" s="198">
        <v>172</v>
      </c>
      <c r="C180" s="501" t="str">
        <f t="shared" si="13"/>
        <v/>
      </c>
      <c r="D180" s="502" t="str">
        <f t="shared" si="14"/>
        <v/>
      </c>
      <c r="E180" s="190" t="str">
        <f t="shared" si="15"/>
        <v/>
      </c>
      <c r="F180" s="196" t="str">
        <f t="shared" si="12"/>
        <v/>
      </c>
      <c r="G180" s="190" t="str">
        <f t="shared" si="16"/>
        <v/>
      </c>
      <c r="H180" s="503" t="str">
        <f t="shared" si="17"/>
        <v/>
      </c>
      <c r="I180" s="49"/>
    </row>
    <row r="181" spans="2:9" ht="20.100000000000001" customHeight="1" x14ac:dyDescent="0.3">
      <c r="B181" s="198">
        <v>173</v>
      </c>
      <c r="C181" s="501" t="str">
        <f t="shared" si="13"/>
        <v/>
      </c>
      <c r="D181" s="502" t="str">
        <f t="shared" si="14"/>
        <v/>
      </c>
      <c r="E181" s="190" t="str">
        <f t="shared" si="15"/>
        <v/>
      </c>
      <c r="F181" s="196" t="str">
        <f t="shared" si="12"/>
        <v/>
      </c>
      <c r="G181" s="190" t="str">
        <f t="shared" si="16"/>
        <v/>
      </c>
      <c r="H181" s="503" t="str">
        <f t="shared" si="17"/>
        <v/>
      </c>
      <c r="I181" s="49"/>
    </row>
    <row r="182" spans="2:9" ht="20.100000000000001" customHeight="1" x14ac:dyDescent="0.3">
      <c r="B182" s="198">
        <v>174</v>
      </c>
      <c r="C182" s="501" t="str">
        <f t="shared" si="13"/>
        <v/>
      </c>
      <c r="D182" s="502" t="str">
        <f t="shared" si="14"/>
        <v/>
      </c>
      <c r="E182" s="190" t="str">
        <f t="shared" si="15"/>
        <v/>
      </c>
      <c r="F182" s="196" t="str">
        <f t="shared" si="12"/>
        <v/>
      </c>
      <c r="G182" s="190" t="str">
        <f t="shared" si="16"/>
        <v/>
      </c>
      <c r="H182" s="503" t="str">
        <f t="shared" si="17"/>
        <v/>
      </c>
      <c r="I182" s="49"/>
    </row>
    <row r="183" spans="2:9" ht="20.100000000000001" customHeight="1" x14ac:dyDescent="0.3">
      <c r="B183" s="198">
        <v>175</v>
      </c>
      <c r="C183" s="501" t="str">
        <f t="shared" si="13"/>
        <v/>
      </c>
      <c r="D183" s="502" t="str">
        <f t="shared" si="14"/>
        <v/>
      </c>
      <c r="E183" s="190" t="str">
        <f t="shared" si="15"/>
        <v/>
      </c>
      <c r="F183" s="196" t="str">
        <f t="shared" si="12"/>
        <v/>
      </c>
      <c r="G183" s="190" t="str">
        <f t="shared" si="16"/>
        <v/>
      </c>
      <c r="H183" s="503" t="str">
        <f t="shared" si="17"/>
        <v/>
      </c>
      <c r="I183" s="49"/>
    </row>
    <row r="184" spans="2:9" ht="20.100000000000001" customHeight="1" x14ac:dyDescent="0.3">
      <c r="B184" s="198">
        <v>176</v>
      </c>
      <c r="C184" s="501" t="str">
        <f t="shared" si="13"/>
        <v/>
      </c>
      <c r="D184" s="502" t="str">
        <f t="shared" si="14"/>
        <v/>
      </c>
      <c r="E184" s="190" t="str">
        <f t="shared" si="15"/>
        <v/>
      </c>
      <c r="F184" s="196" t="str">
        <f t="shared" si="12"/>
        <v/>
      </c>
      <c r="G184" s="190" t="str">
        <f t="shared" si="16"/>
        <v/>
      </c>
      <c r="H184" s="503" t="str">
        <f t="shared" si="17"/>
        <v/>
      </c>
      <c r="I184" s="49"/>
    </row>
    <row r="185" spans="2:9" ht="20.100000000000001" customHeight="1" x14ac:dyDescent="0.3">
      <c r="B185" s="198">
        <v>177</v>
      </c>
      <c r="C185" s="501" t="str">
        <f t="shared" si="13"/>
        <v/>
      </c>
      <c r="D185" s="502" t="str">
        <f t="shared" si="14"/>
        <v/>
      </c>
      <c r="E185" s="190" t="str">
        <f t="shared" si="15"/>
        <v/>
      </c>
      <c r="F185" s="196" t="str">
        <f t="shared" si="12"/>
        <v/>
      </c>
      <c r="G185" s="190" t="str">
        <f t="shared" si="16"/>
        <v/>
      </c>
      <c r="H185" s="503" t="str">
        <f t="shared" si="17"/>
        <v/>
      </c>
      <c r="I185" s="49"/>
    </row>
    <row r="186" spans="2:9" ht="20.100000000000001" customHeight="1" x14ac:dyDescent="0.3">
      <c r="B186" s="198">
        <v>178</v>
      </c>
      <c r="C186" s="501" t="str">
        <f t="shared" si="13"/>
        <v/>
      </c>
      <c r="D186" s="502" t="str">
        <f t="shared" si="14"/>
        <v/>
      </c>
      <c r="E186" s="190" t="str">
        <f t="shared" si="15"/>
        <v/>
      </c>
      <c r="F186" s="196" t="str">
        <f t="shared" si="12"/>
        <v/>
      </c>
      <c r="G186" s="190" t="str">
        <f t="shared" si="16"/>
        <v/>
      </c>
      <c r="H186" s="503" t="str">
        <f t="shared" si="17"/>
        <v/>
      </c>
      <c r="I186" s="49"/>
    </row>
    <row r="187" spans="2:9" ht="20.100000000000001" customHeight="1" x14ac:dyDescent="0.3">
      <c r="B187" s="198">
        <v>179</v>
      </c>
      <c r="C187" s="501" t="str">
        <f t="shared" si="13"/>
        <v/>
      </c>
      <c r="D187" s="502" t="str">
        <f t="shared" si="14"/>
        <v/>
      </c>
      <c r="E187" s="190" t="str">
        <f t="shared" si="15"/>
        <v/>
      </c>
      <c r="F187" s="196" t="str">
        <f t="shared" si="12"/>
        <v/>
      </c>
      <c r="G187" s="190" t="str">
        <f t="shared" si="16"/>
        <v/>
      </c>
      <c r="H187" s="503" t="str">
        <f t="shared" si="17"/>
        <v/>
      </c>
      <c r="I187" s="49"/>
    </row>
    <row r="188" spans="2:9" ht="20.100000000000001" customHeight="1" x14ac:dyDescent="0.3">
      <c r="B188" s="198">
        <v>180</v>
      </c>
      <c r="C188" s="501" t="str">
        <f t="shared" si="13"/>
        <v/>
      </c>
      <c r="D188" s="502" t="str">
        <f t="shared" si="14"/>
        <v/>
      </c>
      <c r="E188" s="190" t="str">
        <f t="shared" si="15"/>
        <v/>
      </c>
      <c r="F188" s="196" t="str">
        <f t="shared" si="12"/>
        <v/>
      </c>
      <c r="G188" s="190" t="str">
        <f t="shared" si="16"/>
        <v/>
      </c>
      <c r="H188" s="503" t="str">
        <f t="shared" si="17"/>
        <v/>
      </c>
      <c r="I188" s="49"/>
    </row>
    <row r="189" spans="2:9" ht="20.100000000000001" customHeight="1" x14ac:dyDescent="0.3">
      <c r="B189" s="198">
        <v>181</v>
      </c>
      <c r="C189" s="501" t="str">
        <f t="shared" si="13"/>
        <v/>
      </c>
      <c r="D189" s="502" t="str">
        <f t="shared" si="14"/>
        <v/>
      </c>
      <c r="E189" s="190" t="str">
        <f t="shared" si="15"/>
        <v/>
      </c>
      <c r="F189" s="196" t="str">
        <f t="shared" si="12"/>
        <v/>
      </c>
      <c r="G189" s="190" t="str">
        <f t="shared" si="16"/>
        <v/>
      </c>
      <c r="H189" s="503" t="str">
        <f t="shared" si="17"/>
        <v/>
      </c>
      <c r="I189" s="49"/>
    </row>
    <row r="190" spans="2:9" ht="20.100000000000001" customHeight="1" x14ac:dyDescent="0.3">
      <c r="B190" s="198">
        <v>182</v>
      </c>
      <c r="C190" s="501" t="str">
        <f t="shared" si="13"/>
        <v/>
      </c>
      <c r="D190" s="502" t="str">
        <f t="shared" si="14"/>
        <v/>
      </c>
      <c r="E190" s="190" t="str">
        <f t="shared" si="15"/>
        <v/>
      </c>
      <c r="F190" s="196" t="str">
        <f t="shared" si="12"/>
        <v/>
      </c>
      <c r="G190" s="190" t="str">
        <f t="shared" si="16"/>
        <v/>
      </c>
      <c r="H190" s="503" t="str">
        <f t="shared" si="17"/>
        <v/>
      </c>
      <c r="I190" s="49"/>
    </row>
    <row r="191" spans="2:9" ht="20.100000000000001" customHeight="1" x14ac:dyDescent="0.3">
      <c r="B191" s="198">
        <v>183</v>
      </c>
      <c r="C191" s="501" t="str">
        <f t="shared" si="13"/>
        <v/>
      </c>
      <c r="D191" s="502" t="str">
        <f t="shared" si="14"/>
        <v/>
      </c>
      <c r="E191" s="190" t="str">
        <f t="shared" si="15"/>
        <v/>
      </c>
      <c r="F191" s="196" t="str">
        <f t="shared" si="12"/>
        <v/>
      </c>
      <c r="G191" s="190" t="str">
        <f t="shared" si="16"/>
        <v/>
      </c>
      <c r="H191" s="503" t="str">
        <f t="shared" si="17"/>
        <v/>
      </c>
      <c r="I191" s="49"/>
    </row>
    <row r="192" spans="2:9" ht="20.100000000000001" customHeight="1" x14ac:dyDescent="0.3">
      <c r="B192" s="198">
        <v>184</v>
      </c>
      <c r="C192" s="501" t="str">
        <f t="shared" si="13"/>
        <v/>
      </c>
      <c r="D192" s="502" t="str">
        <f t="shared" si="14"/>
        <v/>
      </c>
      <c r="E192" s="190" t="str">
        <f t="shared" si="15"/>
        <v/>
      </c>
      <c r="F192" s="196" t="str">
        <f t="shared" si="12"/>
        <v/>
      </c>
      <c r="G192" s="190" t="str">
        <f t="shared" si="16"/>
        <v/>
      </c>
      <c r="H192" s="503" t="str">
        <f t="shared" si="17"/>
        <v/>
      </c>
      <c r="I192" s="49"/>
    </row>
    <row r="193" spans="2:9" ht="20.100000000000001" customHeight="1" x14ac:dyDescent="0.3">
      <c r="B193" s="198">
        <v>185</v>
      </c>
      <c r="C193" s="501" t="str">
        <f t="shared" si="13"/>
        <v/>
      </c>
      <c r="D193" s="502" t="str">
        <f t="shared" si="14"/>
        <v/>
      </c>
      <c r="E193" s="190" t="str">
        <f t="shared" si="15"/>
        <v/>
      </c>
      <c r="F193" s="196" t="str">
        <f t="shared" si="12"/>
        <v/>
      </c>
      <c r="G193" s="190" t="str">
        <f t="shared" si="16"/>
        <v/>
      </c>
      <c r="H193" s="503" t="str">
        <f t="shared" si="17"/>
        <v/>
      </c>
      <c r="I193" s="49"/>
    </row>
    <row r="194" spans="2:9" ht="20.100000000000001" customHeight="1" x14ac:dyDescent="0.3">
      <c r="B194" s="198">
        <v>186</v>
      </c>
      <c r="C194" s="501" t="str">
        <f t="shared" si="13"/>
        <v/>
      </c>
      <c r="D194" s="502" t="str">
        <f t="shared" si="14"/>
        <v/>
      </c>
      <c r="E194" s="190" t="str">
        <f t="shared" si="15"/>
        <v/>
      </c>
      <c r="F194" s="196" t="str">
        <f t="shared" si="12"/>
        <v/>
      </c>
      <c r="G194" s="190" t="str">
        <f t="shared" si="16"/>
        <v/>
      </c>
      <c r="H194" s="503" t="str">
        <f t="shared" si="17"/>
        <v/>
      </c>
      <c r="I194" s="49"/>
    </row>
    <row r="195" spans="2:9" ht="20.100000000000001" customHeight="1" x14ac:dyDescent="0.3">
      <c r="B195" s="198">
        <v>187</v>
      </c>
      <c r="C195" s="501" t="str">
        <f t="shared" si="13"/>
        <v/>
      </c>
      <c r="D195" s="502" t="str">
        <f t="shared" si="14"/>
        <v/>
      </c>
      <c r="E195" s="190" t="str">
        <f t="shared" si="15"/>
        <v/>
      </c>
      <c r="F195" s="196" t="str">
        <f t="shared" si="12"/>
        <v/>
      </c>
      <c r="G195" s="190" t="str">
        <f t="shared" si="16"/>
        <v/>
      </c>
      <c r="H195" s="503" t="str">
        <f t="shared" si="17"/>
        <v/>
      </c>
      <c r="I195" s="49"/>
    </row>
    <row r="196" spans="2:9" ht="20.100000000000001" customHeight="1" x14ac:dyDescent="0.3">
      <c r="B196" s="198">
        <v>188</v>
      </c>
      <c r="C196" s="501" t="str">
        <f t="shared" si="13"/>
        <v/>
      </c>
      <c r="D196" s="502" t="str">
        <f t="shared" si="14"/>
        <v/>
      </c>
      <c r="E196" s="190" t="str">
        <f t="shared" si="15"/>
        <v/>
      </c>
      <c r="F196" s="196" t="str">
        <f t="shared" si="12"/>
        <v/>
      </c>
      <c r="G196" s="190" t="str">
        <f t="shared" si="16"/>
        <v/>
      </c>
      <c r="H196" s="503" t="str">
        <f t="shared" si="17"/>
        <v/>
      </c>
      <c r="I196" s="49"/>
    </row>
    <row r="197" spans="2:9" ht="20.100000000000001" customHeight="1" x14ac:dyDescent="0.3">
      <c r="B197" s="198">
        <v>189</v>
      </c>
      <c r="C197" s="501" t="str">
        <f t="shared" si="13"/>
        <v/>
      </c>
      <c r="D197" s="502" t="str">
        <f t="shared" si="14"/>
        <v/>
      </c>
      <c r="E197" s="190" t="str">
        <f t="shared" si="15"/>
        <v/>
      </c>
      <c r="F197" s="196" t="str">
        <f t="shared" si="12"/>
        <v/>
      </c>
      <c r="G197" s="190" t="str">
        <f t="shared" si="16"/>
        <v/>
      </c>
      <c r="H197" s="503" t="str">
        <f t="shared" si="17"/>
        <v/>
      </c>
      <c r="I197" s="49"/>
    </row>
    <row r="198" spans="2:9" ht="20.100000000000001" customHeight="1" x14ac:dyDescent="0.3">
      <c r="B198" s="198">
        <v>190</v>
      </c>
      <c r="C198" s="501" t="str">
        <f t="shared" si="13"/>
        <v/>
      </c>
      <c r="D198" s="502" t="str">
        <f t="shared" si="14"/>
        <v/>
      </c>
      <c r="E198" s="190" t="str">
        <f t="shared" si="15"/>
        <v/>
      </c>
      <c r="F198" s="196" t="str">
        <f t="shared" si="12"/>
        <v/>
      </c>
      <c r="G198" s="190" t="str">
        <f t="shared" si="16"/>
        <v/>
      </c>
      <c r="H198" s="503" t="str">
        <f t="shared" si="17"/>
        <v/>
      </c>
      <c r="I198" s="49"/>
    </row>
    <row r="199" spans="2:9" ht="20.100000000000001" customHeight="1" x14ac:dyDescent="0.3">
      <c r="B199" s="198">
        <v>191</v>
      </c>
      <c r="C199" s="501" t="str">
        <f t="shared" si="13"/>
        <v/>
      </c>
      <c r="D199" s="502" t="str">
        <f t="shared" si="14"/>
        <v/>
      </c>
      <c r="E199" s="190" t="str">
        <f t="shared" si="15"/>
        <v/>
      </c>
      <c r="F199" s="196" t="str">
        <f t="shared" si="12"/>
        <v/>
      </c>
      <c r="G199" s="190" t="str">
        <f t="shared" si="16"/>
        <v/>
      </c>
      <c r="H199" s="503" t="str">
        <f t="shared" si="17"/>
        <v/>
      </c>
      <c r="I199" s="49"/>
    </row>
    <row r="200" spans="2:9" ht="20.100000000000001" customHeight="1" x14ac:dyDescent="0.3">
      <c r="B200" s="198">
        <v>192</v>
      </c>
      <c r="C200" s="501" t="str">
        <f t="shared" si="13"/>
        <v/>
      </c>
      <c r="D200" s="502" t="str">
        <f t="shared" si="14"/>
        <v/>
      </c>
      <c r="E200" s="190" t="str">
        <f t="shared" si="15"/>
        <v/>
      </c>
      <c r="F200" s="196" t="str">
        <f t="shared" si="12"/>
        <v/>
      </c>
      <c r="G200" s="190" t="str">
        <f t="shared" si="16"/>
        <v/>
      </c>
      <c r="H200" s="503" t="str">
        <f t="shared" si="17"/>
        <v/>
      </c>
      <c r="I200" s="49"/>
    </row>
    <row r="201" spans="2:9" ht="20.100000000000001" customHeight="1" x14ac:dyDescent="0.3">
      <c r="B201" s="198">
        <v>193</v>
      </c>
      <c r="C201" s="501" t="str">
        <f t="shared" si="13"/>
        <v/>
      </c>
      <c r="D201" s="502" t="str">
        <f t="shared" si="14"/>
        <v/>
      </c>
      <c r="E201" s="190" t="str">
        <f t="shared" si="15"/>
        <v/>
      </c>
      <c r="F201" s="196" t="str">
        <f t="shared" si="12"/>
        <v/>
      </c>
      <c r="G201" s="190" t="str">
        <f t="shared" si="16"/>
        <v/>
      </c>
      <c r="H201" s="503" t="str">
        <f t="shared" si="17"/>
        <v/>
      </c>
      <c r="I201" s="49"/>
    </row>
    <row r="202" spans="2:9" ht="20.100000000000001" customHeight="1" x14ac:dyDescent="0.3">
      <c r="B202" s="198">
        <v>194</v>
      </c>
      <c r="C202" s="501" t="str">
        <f t="shared" si="13"/>
        <v/>
      </c>
      <c r="D202" s="502" t="str">
        <f t="shared" si="14"/>
        <v/>
      </c>
      <c r="E202" s="190" t="str">
        <f t="shared" si="15"/>
        <v/>
      </c>
      <c r="F202" s="196" t="str">
        <f t="shared" ref="F202:F265" si="18">IF($H$4="","",IF($F$4="원리금균등상환",IFERROR(D202+E202,""),IF($F$4="원금균등상환",D202+E202,"")))</f>
        <v/>
      </c>
      <c r="G202" s="190" t="str">
        <f t="shared" si="16"/>
        <v/>
      </c>
      <c r="H202" s="503" t="str">
        <f t="shared" si="17"/>
        <v/>
      </c>
      <c r="I202" s="49"/>
    </row>
    <row r="203" spans="2:9" ht="20.100000000000001" customHeight="1" x14ac:dyDescent="0.3">
      <c r="B203" s="198">
        <v>195</v>
      </c>
      <c r="C203" s="501" t="str">
        <f t="shared" ref="C203:C266" si="19">IF($H$4="","",IF(B203&gt;($B$6),"",IF(B203&lt;=($B$6),DATE(YEAR($G$4),MONTH($G$4)+B202,DAY($G$4)),"")))</f>
        <v/>
      </c>
      <c r="D203" s="502" t="str">
        <f t="shared" ref="D203:D266" si="20">IF($H$4="","",IF($F$4="원리금균등상환",IFERROR(IF(B203&lt;=$D$6,0,-PPMT($E$4/12,B203-$D$6,($B$6-$D$6),$D$4)),""),IF($F$4="원금균등상환",IF(B203&lt;($D$6+1),0,IF(B203&gt;$B$6,0,$D$4/($B$6-$D$6))),IF($F$4="만기일시상환",0,""))))</f>
        <v/>
      </c>
      <c r="E203" s="190" t="str">
        <f t="shared" ref="E203:E266" si="21">IF($H$4="","",IF($F$4="원리금균등상환",IFERROR(IF(B203&lt;=$D$6,$H202*($E$4/12),-IPMT($E$4/12,B203-$D$6,($B$6-$D$6),$D$4)),""),IF($F$4="원금균등상환",(H202-D203)*$E$4/12,IF($F$4="만기일시상환",IFERROR(IF(B203&lt;=$B$6,$D$4*($E$4/12),""),"")))))</f>
        <v/>
      </c>
      <c r="F203" s="196" t="str">
        <f t="shared" si="18"/>
        <v/>
      </c>
      <c r="G203" s="190" t="str">
        <f t="shared" ref="G203:G266" si="22">IFERROR(IF(B203&gt;(($D$6+$B$6)*12),"",IF(B203=1,D203,D203+G202)),"")</f>
        <v/>
      </c>
      <c r="H203" s="503" t="str">
        <f t="shared" ref="H203:H266" si="23">IFERROR(IF($H$4="","",H202-D203),"")</f>
        <v/>
      </c>
      <c r="I203" s="49"/>
    </row>
    <row r="204" spans="2:9" ht="20.100000000000001" customHeight="1" x14ac:dyDescent="0.3">
      <c r="B204" s="198">
        <v>196</v>
      </c>
      <c r="C204" s="501" t="str">
        <f t="shared" si="19"/>
        <v/>
      </c>
      <c r="D204" s="502" t="str">
        <f t="shared" si="20"/>
        <v/>
      </c>
      <c r="E204" s="190" t="str">
        <f t="shared" si="21"/>
        <v/>
      </c>
      <c r="F204" s="196" t="str">
        <f t="shared" si="18"/>
        <v/>
      </c>
      <c r="G204" s="190" t="str">
        <f t="shared" si="22"/>
        <v/>
      </c>
      <c r="H204" s="503" t="str">
        <f t="shared" si="23"/>
        <v/>
      </c>
      <c r="I204" s="49"/>
    </row>
    <row r="205" spans="2:9" ht="20.100000000000001" customHeight="1" x14ac:dyDescent="0.3">
      <c r="B205" s="198">
        <v>197</v>
      </c>
      <c r="C205" s="501" t="str">
        <f t="shared" si="19"/>
        <v/>
      </c>
      <c r="D205" s="502" t="str">
        <f t="shared" si="20"/>
        <v/>
      </c>
      <c r="E205" s="190" t="str">
        <f t="shared" si="21"/>
        <v/>
      </c>
      <c r="F205" s="196" t="str">
        <f t="shared" si="18"/>
        <v/>
      </c>
      <c r="G205" s="190" t="str">
        <f t="shared" si="22"/>
        <v/>
      </c>
      <c r="H205" s="503" t="str">
        <f t="shared" si="23"/>
        <v/>
      </c>
      <c r="I205" s="49"/>
    </row>
    <row r="206" spans="2:9" ht="20.100000000000001" customHeight="1" x14ac:dyDescent="0.3">
      <c r="B206" s="198">
        <v>198</v>
      </c>
      <c r="C206" s="501" t="str">
        <f t="shared" si="19"/>
        <v/>
      </c>
      <c r="D206" s="502" t="str">
        <f t="shared" si="20"/>
        <v/>
      </c>
      <c r="E206" s="190" t="str">
        <f t="shared" si="21"/>
        <v/>
      </c>
      <c r="F206" s="196" t="str">
        <f t="shared" si="18"/>
        <v/>
      </c>
      <c r="G206" s="190" t="str">
        <f t="shared" si="22"/>
        <v/>
      </c>
      <c r="H206" s="503" t="str">
        <f t="shared" si="23"/>
        <v/>
      </c>
      <c r="I206" s="49"/>
    </row>
    <row r="207" spans="2:9" ht="20.100000000000001" customHeight="1" x14ac:dyDescent="0.3">
      <c r="B207" s="198">
        <v>199</v>
      </c>
      <c r="C207" s="501" t="str">
        <f t="shared" si="19"/>
        <v/>
      </c>
      <c r="D207" s="502" t="str">
        <f t="shared" si="20"/>
        <v/>
      </c>
      <c r="E207" s="190" t="str">
        <f t="shared" si="21"/>
        <v/>
      </c>
      <c r="F207" s="196" t="str">
        <f t="shared" si="18"/>
        <v/>
      </c>
      <c r="G207" s="190" t="str">
        <f t="shared" si="22"/>
        <v/>
      </c>
      <c r="H207" s="503" t="str">
        <f t="shared" si="23"/>
        <v/>
      </c>
      <c r="I207" s="49"/>
    </row>
    <row r="208" spans="2:9" ht="20.100000000000001" customHeight="1" x14ac:dyDescent="0.3">
      <c r="B208" s="198">
        <v>200</v>
      </c>
      <c r="C208" s="501" t="str">
        <f t="shared" si="19"/>
        <v/>
      </c>
      <c r="D208" s="502" t="str">
        <f t="shared" si="20"/>
        <v/>
      </c>
      <c r="E208" s="190" t="str">
        <f t="shared" si="21"/>
        <v/>
      </c>
      <c r="F208" s="196" t="str">
        <f t="shared" si="18"/>
        <v/>
      </c>
      <c r="G208" s="190" t="str">
        <f t="shared" si="22"/>
        <v/>
      </c>
      <c r="H208" s="503" t="str">
        <f t="shared" si="23"/>
        <v/>
      </c>
      <c r="I208" s="49"/>
    </row>
    <row r="209" spans="2:9" ht="20.100000000000001" customHeight="1" x14ac:dyDescent="0.3">
      <c r="B209" s="198">
        <v>201</v>
      </c>
      <c r="C209" s="501" t="str">
        <f t="shared" si="19"/>
        <v/>
      </c>
      <c r="D209" s="502" t="str">
        <f t="shared" si="20"/>
        <v/>
      </c>
      <c r="E209" s="190" t="str">
        <f t="shared" si="21"/>
        <v/>
      </c>
      <c r="F209" s="196" t="str">
        <f t="shared" si="18"/>
        <v/>
      </c>
      <c r="G209" s="190" t="str">
        <f t="shared" si="22"/>
        <v/>
      </c>
      <c r="H209" s="503" t="str">
        <f t="shared" si="23"/>
        <v/>
      </c>
      <c r="I209" s="49"/>
    </row>
    <row r="210" spans="2:9" ht="20.100000000000001" customHeight="1" x14ac:dyDescent="0.3">
      <c r="B210" s="198">
        <v>202</v>
      </c>
      <c r="C210" s="501" t="str">
        <f t="shared" si="19"/>
        <v/>
      </c>
      <c r="D210" s="502" t="str">
        <f t="shared" si="20"/>
        <v/>
      </c>
      <c r="E210" s="190" t="str">
        <f t="shared" si="21"/>
        <v/>
      </c>
      <c r="F210" s="196" t="str">
        <f t="shared" si="18"/>
        <v/>
      </c>
      <c r="G210" s="190" t="str">
        <f t="shared" si="22"/>
        <v/>
      </c>
      <c r="H210" s="503" t="str">
        <f t="shared" si="23"/>
        <v/>
      </c>
      <c r="I210" s="49"/>
    </row>
    <row r="211" spans="2:9" ht="20.100000000000001" customHeight="1" x14ac:dyDescent="0.3">
      <c r="B211" s="198">
        <v>203</v>
      </c>
      <c r="C211" s="501" t="str">
        <f t="shared" si="19"/>
        <v/>
      </c>
      <c r="D211" s="502" t="str">
        <f t="shared" si="20"/>
        <v/>
      </c>
      <c r="E211" s="190" t="str">
        <f t="shared" si="21"/>
        <v/>
      </c>
      <c r="F211" s="196" t="str">
        <f t="shared" si="18"/>
        <v/>
      </c>
      <c r="G211" s="190" t="str">
        <f t="shared" si="22"/>
        <v/>
      </c>
      <c r="H211" s="503" t="str">
        <f t="shared" si="23"/>
        <v/>
      </c>
      <c r="I211" s="49"/>
    </row>
    <row r="212" spans="2:9" ht="20.100000000000001" customHeight="1" x14ac:dyDescent="0.3">
      <c r="B212" s="198">
        <v>204</v>
      </c>
      <c r="C212" s="501" t="str">
        <f t="shared" si="19"/>
        <v/>
      </c>
      <c r="D212" s="502" t="str">
        <f t="shared" si="20"/>
        <v/>
      </c>
      <c r="E212" s="190" t="str">
        <f t="shared" si="21"/>
        <v/>
      </c>
      <c r="F212" s="196" t="str">
        <f t="shared" si="18"/>
        <v/>
      </c>
      <c r="G212" s="190" t="str">
        <f t="shared" si="22"/>
        <v/>
      </c>
      <c r="H212" s="503" t="str">
        <f t="shared" si="23"/>
        <v/>
      </c>
      <c r="I212" s="49"/>
    </row>
    <row r="213" spans="2:9" ht="20.100000000000001" customHeight="1" x14ac:dyDescent="0.3">
      <c r="B213" s="198">
        <v>205</v>
      </c>
      <c r="C213" s="501" t="str">
        <f t="shared" si="19"/>
        <v/>
      </c>
      <c r="D213" s="502" t="str">
        <f t="shared" si="20"/>
        <v/>
      </c>
      <c r="E213" s="190" t="str">
        <f t="shared" si="21"/>
        <v/>
      </c>
      <c r="F213" s="196" t="str">
        <f t="shared" si="18"/>
        <v/>
      </c>
      <c r="G213" s="190" t="str">
        <f t="shared" si="22"/>
        <v/>
      </c>
      <c r="H213" s="503" t="str">
        <f t="shared" si="23"/>
        <v/>
      </c>
      <c r="I213" s="49"/>
    </row>
    <row r="214" spans="2:9" ht="20.100000000000001" customHeight="1" x14ac:dyDescent="0.3">
      <c r="B214" s="198">
        <v>206</v>
      </c>
      <c r="C214" s="501" t="str">
        <f t="shared" si="19"/>
        <v/>
      </c>
      <c r="D214" s="502" t="str">
        <f t="shared" si="20"/>
        <v/>
      </c>
      <c r="E214" s="190" t="str">
        <f t="shared" si="21"/>
        <v/>
      </c>
      <c r="F214" s="196" t="str">
        <f t="shared" si="18"/>
        <v/>
      </c>
      <c r="G214" s="190" t="str">
        <f t="shared" si="22"/>
        <v/>
      </c>
      <c r="H214" s="503" t="str">
        <f t="shared" si="23"/>
        <v/>
      </c>
      <c r="I214" s="49"/>
    </row>
    <row r="215" spans="2:9" ht="20.100000000000001" customHeight="1" x14ac:dyDescent="0.3">
      <c r="B215" s="198">
        <v>207</v>
      </c>
      <c r="C215" s="501" t="str">
        <f t="shared" si="19"/>
        <v/>
      </c>
      <c r="D215" s="502" t="str">
        <f t="shared" si="20"/>
        <v/>
      </c>
      <c r="E215" s="190" t="str">
        <f t="shared" si="21"/>
        <v/>
      </c>
      <c r="F215" s="196" t="str">
        <f t="shared" si="18"/>
        <v/>
      </c>
      <c r="G215" s="190" t="str">
        <f t="shared" si="22"/>
        <v/>
      </c>
      <c r="H215" s="503" t="str">
        <f t="shared" si="23"/>
        <v/>
      </c>
      <c r="I215" s="49"/>
    </row>
    <row r="216" spans="2:9" ht="20.100000000000001" customHeight="1" x14ac:dyDescent="0.3">
      <c r="B216" s="198">
        <v>208</v>
      </c>
      <c r="C216" s="501" t="str">
        <f t="shared" si="19"/>
        <v/>
      </c>
      <c r="D216" s="502" t="str">
        <f t="shared" si="20"/>
        <v/>
      </c>
      <c r="E216" s="190" t="str">
        <f t="shared" si="21"/>
        <v/>
      </c>
      <c r="F216" s="196" t="str">
        <f t="shared" si="18"/>
        <v/>
      </c>
      <c r="G216" s="190" t="str">
        <f t="shared" si="22"/>
        <v/>
      </c>
      <c r="H216" s="503" t="str">
        <f t="shared" si="23"/>
        <v/>
      </c>
      <c r="I216" s="49"/>
    </row>
    <row r="217" spans="2:9" ht="20.100000000000001" customHeight="1" x14ac:dyDescent="0.3">
      <c r="B217" s="198">
        <v>209</v>
      </c>
      <c r="C217" s="501" t="str">
        <f t="shared" si="19"/>
        <v/>
      </c>
      <c r="D217" s="502" t="str">
        <f t="shared" si="20"/>
        <v/>
      </c>
      <c r="E217" s="190" t="str">
        <f t="shared" si="21"/>
        <v/>
      </c>
      <c r="F217" s="196" t="str">
        <f t="shared" si="18"/>
        <v/>
      </c>
      <c r="G217" s="190" t="str">
        <f t="shared" si="22"/>
        <v/>
      </c>
      <c r="H217" s="503" t="str">
        <f t="shared" si="23"/>
        <v/>
      </c>
      <c r="I217" s="49"/>
    </row>
    <row r="218" spans="2:9" ht="20.100000000000001" customHeight="1" x14ac:dyDescent="0.3">
      <c r="B218" s="198">
        <v>210</v>
      </c>
      <c r="C218" s="501" t="str">
        <f t="shared" si="19"/>
        <v/>
      </c>
      <c r="D218" s="502" t="str">
        <f t="shared" si="20"/>
        <v/>
      </c>
      <c r="E218" s="190" t="str">
        <f t="shared" si="21"/>
        <v/>
      </c>
      <c r="F218" s="196" t="str">
        <f t="shared" si="18"/>
        <v/>
      </c>
      <c r="G218" s="190" t="str">
        <f t="shared" si="22"/>
        <v/>
      </c>
      <c r="H218" s="503" t="str">
        <f t="shared" si="23"/>
        <v/>
      </c>
      <c r="I218" s="49"/>
    </row>
    <row r="219" spans="2:9" ht="20.100000000000001" customHeight="1" x14ac:dyDescent="0.3">
      <c r="B219" s="198">
        <v>211</v>
      </c>
      <c r="C219" s="501" t="str">
        <f t="shared" si="19"/>
        <v/>
      </c>
      <c r="D219" s="502" t="str">
        <f t="shared" si="20"/>
        <v/>
      </c>
      <c r="E219" s="190" t="str">
        <f t="shared" si="21"/>
        <v/>
      </c>
      <c r="F219" s="196" t="str">
        <f t="shared" si="18"/>
        <v/>
      </c>
      <c r="G219" s="190" t="str">
        <f t="shared" si="22"/>
        <v/>
      </c>
      <c r="H219" s="503" t="str">
        <f t="shared" si="23"/>
        <v/>
      </c>
      <c r="I219" s="49"/>
    </row>
    <row r="220" spans="2:9" ht="20.100000000000001" customHeight="1" x14ac:dyDescent="0.3">
      <c r="B220" s="198">
        <v>212</v>
      </c>
      <c r="C220" s="501" t="str">
        <f t="shared" si="19"/>
        <v/>
      </c>
      <c r="D220" s="502" t="str">
        <f t="shared" si="20"/>
        <v/>
      </c>
      <c r="E220" s="190" t="str">
        <f t="shared" si="21"/>
        <v/>
      </c>
      <c r="F220" s="196" t="str">
        <f t="shared" si="18"/>
        <v/>
      </c>
      <c r="G220" s="190" t="str">
        <f t="shared" si="22"/>
        <v/>
      </c>
      <c r="H220" s="503" t="str">
        <f t="shared" si="23"/>
        <v/>
      </c>
      <c r="I220" s="49"/>
    </row>
    <row r="221" spans="2:9" ht="20.100000000000001" customHeight="1" x14ac:dyDescent="0.3">
      <c r="B221" s="198">
        <v>213</v>
      </c>
      <c r="C221" s="501" t="str">
        <f t="shared" si="19"/>
        <v/>
      </c>
      <c r="D221" s="502" t="str">
        <f t="shared" si="20"/>
        <v/>
      </c>
      <c r="E221" s="190" t="str">
        <f t="shared" si="21"/>
        <v/>
      </c>
      <c r="F221" s="196" t="str">
        <f t="shared" si="18"/>
        <v/>
      </c>
      <c r="G221" s="190" t="str">
        <f t="shared" si="22"/>
        <v/>
      </c>
      <c r="H221" s="503" t="str">
        <f t="shared" si="23"/>
        <v/>
      </c>
      <c r="I221" s="49"/>
    </row>
    <row r="222" spans="2:9" ht="20.100000000000001" customHeight="1" x14ac:dyDescent="0.3">
      <c r="B222" s="198">
        <v>214</v>
      </c>
      <c r="C222" s="501" t="str">
        <f t="shared" si="19"/>
        <v/>
      </c>
      <c r="D222" s="502" t="str">
        <f t="shared" si="20"/>
        <v/>
      </c>
      <c r="E222" s="190" t="str">
        <f t="shared" si="21"/>
        <v/>
      </c>
      <c r="F222" s="196" t="str">
        <f t="shared" si="18"/>
        <v/>
      </c>
      <c r="G222" s="190" t="str">
        <f t="shared" si="22"/>
        <v/>
      </c>
      <c r="H222" s="503" t="str">
        <f t="shared" si="23"/>
        <v/>
      </c>
      <c r="I222" s="49"/>
    </row>
    <row r="223" spans="2:9" ht="20.100000000000001" customHeight="1" x14ac:dyDescent="0.3">
      <c r="B223" s="198">
        <v>215</v>
      </c>
      <c r="C223" s="501" t="str">
        <f t="shared" si="19"/>
        <v/>
      </c>
      <c r="D223" s="502" t="str">
        <f t="shared" si="20"/>
        <v/>
      </c>
      <c r="E223" s="190" t="str">
        <f t="shared" si="21"/>
        <v/>
      </c>
      <c r="F223" s="196" t="str">
        <f t="shared" si="18"/>
        <v/>
      </c>
      <c r="G223" s="190" t="str">
        <f t="shared" si="22"/>
        <v/>
      </c>
      <c r="H223" s="503" t="str">
        <f t="shared" si="23"/>
        <v/>
      </c>
      <c r="I223" s="49"/>
    </row>
    <row r="224" spans="2:9" ht="20.100000000000001" customHeight="1" x14ac:dyDescent="0.3">
      <c r="B224" s="198">
        <v>216</v>
      </c>
      <c r="C224" s="501" t="str">
        <f t="shared" si="19"/>
        <v/>
      </c>
      <c r="D224" s="502" t="str">
        <f t="shared" si="20"/>
        <v/>
      </c>
      <c r="E224" s="190" t="str">
        <f t="shared" si="21"/>
        <v/>
      </c>
      <c r="F224" s="196" t="str">
        <f t="shared" si="18"/>
        <v/>
      </c>
      <c r="G224" s="190" t="str">
        <f t="shared" si="22"/>
        <v/>
      </c>
      <c r="H224" s="503" t="str">
        <f t="shared" si="23"/>
        <v/>
      </c>
      <c r="I224" s="49"/>
    </row>
    <row r="225" spans="2:9" ht="20.100000000000001" customHeight="1" x14ac:dyDescent="0.3">
      <c r="B225" s="198">
        <v>217</v>
      </c>
      <c r="C225" s="501" t="str">
        <f t="shared" si="19"/>
        <v/>
      </c>
      <c r="D225" s="502" t="str">
        <f t="shared" si="20"/>
        <v/>
      </c>
      <c r="E225" s="190" t="str">
        <f t="shared" si="21"/>
        <v/>
      </c>
      <c r="F225" s="196" t="str">
        <f t="shared" si="18"/>
        <v/>
      </c>
      <c r="G225" s="190" t="str">
        <f t="shared" si="22"/>
        <v/>
      </c>
      <c r="H225" s="503" t="str">
        <f t="shared" si="23"/>
        <v/>
      </c>
      <c r="I225" s="49"/>
    </row>
    <row r="226" spans="2:9" ht="20.100000000000001" customHeight="1" x14ac:dyDescent="0.3">
      <c r="B226" s="198">
        <v>218</v>
      </c>
      <c r="C226" s="501" t="str">
        <f t="shared" si="19"/>
        <v/>
      </c>
      <c r="D226" s="502" t="str">
        <f t="shared" si="20"/>
        <v/>
      </c>
      <c r="E226" s="190" t="str">
        <f t="shared" si="21"/>
        <v/>
      </c>
      <c r="F226" s="196" t="str">
        <f t="shared" si="18"/>
        <v/>
      </c>
      <c r="G226" s="190" t="str">
        <f t="shared" si="22"/>
        <v/>
      </c>
      <c r="H226" s="503" t="str">
        <f t="shared" si="23"/>
        <v/>
      </c>
      <c r="I226" s="49"/>
    </row>
    <row r="227" spans="2:9" ht="20.100000000000001" customHeight="1" x14ac:dyDescent="0.3">
      <c r="B227" s="198">
        <v>219</v>
      </c>
      <c r="C227" s="501" t="str">
        <f t="shared" si="19"/>
        <v/>
      </c>
      <c r="D227" s="502" t="str">
        <f t="shared" si="20"/>
        <v/>
      </c>
      <c r="E227" s="190" t="str">
        <f t="shared" si="21"/>
        <v/>
      </c>
      <c r="F227" s="196" t="str">
        <f t="shared" si="18"/>
        <v/>
      </c>
      <c r="G227" s="190" t="str">
        <f t="shared" si="22"/>
        <v/>
      </c>
      <c r="H227" s="503" t="str">
        <f t="shared" si="23"/>
        <v/>
      </c>
      <c r="I227" s="49"/>
    </row>
    <row r="228" spans="2:9" ht="20.100000000000001" customHeight="1" x14ac:dyDescent="0.3">
      <c r="B228" s="198">
        <v>220</v>
      </c>
      <c r="C228" s="501" t="str">
        <f t="shared" si="19"/>
        <v/>
      </c>
      <c r="D228" s="502" t="str">
        <f t="shared" si="20"/>
        <v/>
      </c>
      <c r="E228" s="190" t="str">
        <f t="shared" si="21"/>
        <v/>
      </c>
      <c r="F228" s="196" t="str">
        <f t="shared" si="18"/>
        <v/>
      </c>
      <c r="G228" s="190" t="str">
        <f t="shared" si="22"/>
        <v/>
      </c>
      <c r="H228" s="503" t="str">
        <f t="shared" si="23"/>
        <v/>
      </c>
      <c r="I228" s="49"/>
    </row>
    <row r="229" spans="2:9" ht="20.100000000000001" customHeight="1" x14ac:dyDescent="0.3">
      <c r="B229" s="198">
        <v>221</v>
      </c>
      <c r="C229" s="501" t="str">
        <f t="shared" si="19"/>
        <v/>
      </c>
      <c r="D229" s="502" t="str">
        <f t="shared" si="20"/>
        <v/>
      </c>
      <c r="E229" s="190" t="str">
        <f t="shared" si="21"/>
        <v/>
      </c>
      <c r="F229" s="196" t="str">
        <f t="shared" si="18"/>
        <v/>
      </c>
      <c r="G229" s="190" t="str">
        <f t="shared" si="22"/>
        <v/>
      </c>
      <c r="H229" s="503" t="str">
        <f t="shared" si="23"/>
        <v/>
      </c>
      <c r="I229" s="49"/>
    </row>
    <row r="230" spans="2:9" ht="20.100000000000001" customHeight="1" x14ac:dyDescent="0.3">
      <c r="B230" s="198">
        <v>222</v>
      </c>
      <c r="C230" s="501" t="str">
        <f t="shared" si="19"/>
        <v/>
      </c>
      <c r="D230" s="502" t="str">
        <f t="shared" si="20"/>
        <v/>
      </c>
      <c r="E230" s="190" t="str">
        <f t="shared" si="21"/>
        <v/>
      </c>
      <c r="F230" s="196" t="str">
        <f t="shared" si="18"/>
        <v/>
      </c>
      <c r="G230" s="190" t="str">
        <f t="shared" si="22"/>
        <v/>
      </c>
      <c r="H230" s="503" t="str">
        <f t="shared" si="23"/>
        <v/>
      </c>
      <c r="I230" s="49"/>
    </row>
    <row r="231" spans="2:9" ht="20.100000000000001" customHeight="1" x14ac:dyDescent="0.3">
      <c r="B231" s="198">
        <v>223</v>
      </c>
      <c r="C231" s="501" t="str">
        <f t="shared" si="19"/>
        <v/>
      </c>
      <c r="D231" s="502" t="str">
        <f t="shared" si="20"/>
        <v/>
      </c>
      <c r="E231" s="190" t="str">
        <f t="shared" si="21"/>
        <v/>
      </c>
      <c r="F231" s="196" t="str">
        <f t="shared" si="18"/>
        <v/>
      </c>
      <c r="G231" s="190" t="str">
        <f t="shared" si="22"/>
        <v/>
      </c>
      <c r="H231" s="503" t="str">
        <f t="shared" si="23"/>
        <v/>
      </c>
      <c r="I231" s="49"/>
    </row>
    <row r="232" spans="2:9" ht="20.100000000000001" customHeight="1" x14ac:dyDescent="0.3">
      <c r="B232" s="198">
        <v>224</v>
      </c>
      <c r="C232" s="501" t="str">
        <f t="shared" si="19"/>
        <v/>
      </c>
      <c r="D232" s="502" t="str">
        <f t="shared" si="20"/>
        <v/>
      </c>
      <c r="E232" s="190" t="str">
        <f t="shared" si="21"/>
        <v/>
      </c>
      <c r="F232" s="196" t="str">
        <f t="shared" si="18"/>
        <v/>
      </c>
      <c r="G232" s="190" t="str">
        <f t="shared" si="22"/>
        <v/>
      </c>
      <c r="H232" s="503" t="str">
        <f t="shared" si="23"/>
        <v/>
      </c>
      <c r="I232" s="49"/>
    </row>
    <row r="233" spans="2:9" ht="20.100000000000001" customHeight="1" x14ac:dyDescent="0.3">
      <c r="B233" s="198">
        <v>225</v>
      </c>
      <c r="C233" s="501" t="str">
        <f t="shared" si="19"/>
        <v/>
      </c>
      <c r="D233" s="502" t="str">
        <f t="shared" si="20"/>
        <v/>
      </c>
      <c r="E233" s="190" t="str">
        <f t="shared" si="21"/>
        <v/>
      </c>
      <c r="F233" s="196" t="str">
        <f t="shared" si="18"/>
        <v/>
      </c>
      <c r="G233" s="190" t="str">
        <f t="shared" si="22"/>
        <v/>
      </c>
      <c r="H233" s="503" t="str">
        <f t="shared" si="23"/>
        <v/>
      </c>
      <c r="I233" s="49"/>
    </row>
    <row r="234" spans="2:9" ht="20.100000000000001" customHeight="1" x14ac:dyDescent="0.3">
      <c r="B234" s="198">
        <v>226</v>
      </c>
      <c r="C234" s="501" t="str">
        <f t="shared" si="19"/>
        <v/>
      </c>
      <c r="D234" s="502" t="str">
        <f t="shared" si="20"/>
        <v/>
      </c>
      <c r="E234" s="190" t="str">
        <f t="shared" si="21"/>
        <v/>
      </c>
      <c r="F234" s="196" t="str">
        <f t="shared" si="18"/>
        <v/>
      </c>
      <c r="G234" s="190" t="str">
        <f t="shared" si="22"/>
        <v/>
      </c>
      <c r="H234" s="503" t="str">
        <f t="shared" si="23"/>
        <v/>
      </c>
      <c r="I234" s="49"/>
    </row>
    <row r="235" spans="2:9" ht="20.100000000000001" customHeight="1" x14ac:dyDescent="0.3">
      <c r="B235" s="198">
        <v>227</v>
      </c>
      <c r="C235" s="501" t="str">
        <f t="shared" si="19"/>
        <v/>
      </c>
      <c r="D235" s="502" t="str">
        <f t="shared" si="20"/>
        <v/>
      </c>
      <c r="E235" s="190" t="str">
        <f t="shared" si="21"/>
        <v/>
      </c>
      <c r="F235" s="196" t="str">
        <f t="shared" si="18"/>
        <v/>
      </c>
      <c r="G235" s="190" t="str">
        <f t="shared" si="22"/>
        <v/>
      </c>
      <c r="H235" s="503" t="str">
        <f t="shared" si="23"/>
        <v/>
      </c>
      <c r="I235" s="49"/>
    </row>
    <row r="236" spans="2:9" ht="20.100000000000001" customHeight="1" x14ac:dyDescent="0.3">
      <c r="B236" s="198">
        <v>228</v>
      </c>
      <c r="C236" s="501" t="str">
        <f t="shared" si="19"/>
        <v/>
      </c>
      <c r="D236" s="502" t="str">
        <f t="shared" si="20"/>
        <v/>
      </c>
      <c r="E236" s="190" t="str">
        <f t="shared" si="21"/>
        <v/>
      </c>
      <c r="F236" s="196" t="str">
        <f t="shared" si="18"/>
        <v/>
      </c>
      <c r="G236" s="190" t="str">
        <f t="shared" si="22"/>
        <v/>
      </c>
      <c r="H236" s="503" t="str">
        <f t="shared" si="23"/>
        <v/>
      </c>
      <c r="I236" s="49"/>
    </row>
    <row r="237" spans="2:9" ht="20.100000000000001" customHeight="1" x14ac:dyDescent="0.3">
      <c r="B237" s="198">
        <v>229</v>
      </c>
      <c r="C237" s="501" t="str">
        <f t="shared" si="19"/>
        <v/>
      </c>
      <c r="D237" s="502" t="str">
        <f t="shared" si="20"/>
        <v/>
      </c>
      <c r="E237" s="190" t="str">
        <f t="shared" si="21"/>
        <v/>
      </c>
      <c r="F237" s="196" t="str">
        <f t="shared" si="18"/>
        <v/>
      </c>
      <c r="G237" s="190" t="str">
        <f t="shared" si="22"/>
        <v/>
      </c>
      <c r="H237" s="503" t="str">
        <f t="shared" si="23"/>
        <v/>
      </c>
      <c r="I237" s="49"/>
    </row>
    <row r="238" spans="2:9" ht="20.100000000000001" customHeight="1" x14ac:dyDescent="0.3">
      <c r="B238" s="198">
        <v>230</v>
      </c>
      <c r="C238" s="501" t="str">
        <f t="shared" si="19"/>
        <v/>
      </c>
      <c r="D238" s="502" t="str">
        <f t="shared" si="20"/>
        <v/>
      </c>
      <c r="E238" s="190" t="str">
        <f t="shared" si="21"/>
        <v/>
      </c>
      <c r="F238" s="196" t="str">
        <f t="shared" si="18"/>
        <v/>
      </c>
      <c r="G238" s="190" t="str">
        <f t="shared" si="22"/>
        <v/>
      </c>
      <c r="H238" s="503" t="str">
        <f t="shared" si="23"/>
        <v/>
      </c>
      <c r="I238" s="49"/>
    </row>
    <row r="239" spans="2:9" ht="20.100000000000001" customHeight="1" x14ac:dyDescent="0.3">
      <c r="B239" s="198">
        <v>231</v>
      </c>
      <c r="C239" s="501" t="str">
        <f t="shared" si="19"/>
        <v/>
      </c>
      <c r="D239" s="502" t="str">
        <f t="shared" si="20"/>
        <v/>
      </c>
      <c r="E239" s="190" t="str">
        <f t="shared" si="21"/>
        <v/>
      </c>
      <c r="F239" s="196" t="str">
        <f t="shared" si="18"/>
        <v/>
      </c>
      <c r="G239" s="190" t="str">
        <f t="shared" si="22"/>
        <v/>
      </c>
      <c r="H239" s="503" t="str">
        <f t="shared" si="23"/>
        <v/>
      </c>
      <c r="I239" s="49"/>
    </row>
    <row r="240" spans="2:9" ht="20.100000000000001" customHeight="1" x14ac:dyDescent="0.3">
      <c r="B240" s="198">
        <v>232</v>
      </c>
      <c r="C240" s="501" t="str">
        <f t="shared" si="19"/>
        <v/>
      </c>
      <c r="D240" s="502" t="str">
        <f t="shared" si="20"/>
        <v/>
      </c>
      <c r="E240" s="190" t="str">
        <f t="shared" si="21"/>
        <v/>
      </c>
      <c r="F240" s="196" t="str">
        <f t="shared" si="18"/>
        <v/>
      </c>
      <c r="G240" s="190" t="str">
        <f t="shared" si="22"/>
        <v/>
      </c>
      <c r="H240" s="503" t="str">
        <f t="shared" si="23"/>
        <v/>
      </c>
      <c r="I240" s="49"/>
    </row>
    <row r="241" spans="2:9" ht="20.100000000000001" customHeight="1" x14ac:dyDescent="0.3">
      <c r="B241" s="198">
        <v>233</v>
      </c>
      <c r="C241" s="501" t="str">
        <f t="shared" si="19"/>
        <v/>
      </c>
      <c r="D241" s="502" t="str">
        <f t="shared" si="20"/>
        <v/>
      </c>
      <c r="E241" s="190" t="str">
        <f t="shared" si="21"/>
        <v/>
      </c>
      <c r="F241" s="196" t="str">
        <f t="shared" si="18"/>
        <v/>
      </c>
      <c r="G241" s="190" t="str">
        <f t="shared" si="22"/>
        <v/>
      </c>
      <c r="H241" s="503" t="str">
        <f t="shared" si="23"/>
        <v/>
      </c>
      <c r="I241" s="49"/>
    </row>
    <row r="242" spans="2:9" ht="20.100000000000001" customHeight="1" x14ac:dyDescent="0.3">
      <c r="B242" s="198">
        <v>234</v>
      </c>
      <c r="C242" s="501" t="str">
        <f t="shared" si="19"/>
        <v/>
      </c>
      <c r="D242" s="502" t="str">
        <f t="shared" si="20"/>
        <v/>
      </c>
      <c r="E242" s="190" t="str">
        <f t="shared" si="21"/>
        <v/>
      </c>
      <c r="F242" s="196" t="str">
        <f t="shared" si="18"/>
        <v/>
      </c>
      <c r="G242" s="190" t="str">
        <f t="shared" si="22"/>
        <v/>
      </c>
      <c r="H242" s="503" t="str">
        <f t="shared" si="23"/>
        <v/>
      </c>
      <c r="I242" s="49"/>
    </row>
    <row r="243" spans="2:9" ht="20.100000000000001" customHeight="1" x14ac:dyDescent="0.3">
      <c r="B243" s="198">
        <v>235</v>
      </c>
      <c r="C243" s="501" t="str">
        <f t="shared" si="19"/>
        <v/>
      </c>
      <c r="D243" s="502" t="str">
        <f t="shared" si="20"/>
        <v/>
      </c>
      <c r="E243" s="190" t="str">
        <f t="shared" si="21"/>
        <v/>
      </c>
      <c r="F243" s="196" t="str">
        <f t="shared" si="18"/>
        <v/>
      </c>
      <c r="G243" s="190" t="str">
        <f t="shared" si="22"/>
        <v/>
      </c>
      <c r="H243" s="503" t="str">
        <f t="shared" si="23"/>
        <v/>
      </c>
      <c r="I243" s="49"/>
    </row>
    <row r="244" spans="2:9" ht="20.100000000000001" customHeight="1" x14ac:dyDescent="0.3">
      <c r="B244" s="198">
        <v>236</v>
      </c>
      <c r="C244" s="501" t="str">
        <f t="shared" si="19"/>
        <v/>
      </c>
      <c r="D244" s="502" t="str">
        <f t="shared" si="20"/>
        <v/>
      </c>
      <c r="E244" s="190" t="str">
        <f t="shared" si="21"/>
        <v/>
      </c>
      <c r="F244" s="196" t="str">
        <f t="shared" si="18"/>
        <v/>
      </c>
      <c r="G244" s="190" t="str">
        <f t="shared" si="22"/>
        <v/>
      </c>
      <c r="H244" s="503" t="str">
        <f t="shared" si="23"/>
        <v/>
      </c>
      <c r="I244" s="49"/>
    </row>
    <row r="245" spans="2:9" ht="20.100000000000001" customHeight="1" x14ac:dyDescent="0.3">
      <c r="B245" s="198">
        <v>237</v>
      </c>
      <c r="C245" s="501" t="str">
        <f t="shared" si="19"/>
        <v/>
      </c>
      <c r="D245" s="502" t="str">
        <f t="shared" si="20"/>
        <v/>
      </c>
      <c r="E245" s="190" t="str">
        <f t="shared" si="21"/>
        <v/>
      </c>
      <c r="F245" s="196" t="str">
        <f t="shared" si="18"/>
        <v/>
      </c>
      <c r="G245" s="190" t="str">
        <f t="shared" si="22"/>
        <v/>
      </c>
      <c r="H245" s="503" t="str">
        <f t="shared" si="23"/>
        <v/>
      </c>
      <c r="I245" s="49"/>
    </row>
    <row r="246" spans="2:9" ht="20.100000000000001" customHeight="1" x14ac:dyDescent="0.3">
      <c r="B246" s="198">
        <v>238</v>
      </c>
      <c r="C246" s="501" t="str">
        <f t="shared" si="19"/>
        <v/>
      </c>
      <c r="D246" s="502" t="str">
        <f t="shared" si="20"/>
        <v/>
      </c>
      <c r="E246" s="190" t="str">
        <f t="shared" si="21"/>
        <v/>
      </c>
      <c r="F246" s="196" t="str">
        <f t="shared" si="18"/>
        <v/>
      </c>
      <c r="G246" s="190" t="str">
        <f t="shared" si="22"/>
        <v/>
      </c>
      <c r="H246" s="503" t="str">
        <f t="shared" si="23"/>
        <v/>
      </c>
      <c r="I246" s="49"/>
    </row>
    <row r="247" spans="2:9" ht="20.100000000000001" customHeight="1" x14ac:dyDescent="0.3">
      <c r="B247" s="198">
        <v>239</v>
      </c>
      <c r="C247" s="501" t="str">
        <f t="shared" si="19"/>
        <v/>
      </c>
      <c r="D247" s="502" t="str">
        <f t="shared" si="20"/>
        <v/>
      </c>
      <c r="E247" s="190" t="str">
        <f t="shared" si="21"/>
        <v/>
      </c>
      <c r="F247" s="196" t="str">
        <f t="shared" si="18"/>
        <v/>
      </c>
      <c r="G247" s="190" t="str">
        <f t="shared" si="22"/>
        <v/>
      </c>
      <c r="H247" s="503" t="str">
        <f t="shared" si="23"/>
        <v/>
      </c>
      <c r="I247" s="49"/>
    </row>
    <row r="248" spans="2:9" ht="20.100000000000001" customHeight="1" x14ac:dyDescent="0.3">
      <c r="B248" s="198">
        <v>240</v>
      </c>
      <c r="C248" s="501" t="str">
        <f t="shared" si="19"/>
        <v/>
      </c>
      <c r="D248" s="502" t="str">
        <f t="shared" si="20"/>
        <v/>
      </c>
      <c r="E248" s="190" t="str">
        <f t="shared" si="21"/>
        <v/>
      </c>
      <c r="F248" s="196" t="str">
        <f t="shared" si="18"/>
        <v/>
      </c>
      <c r="G248" s="190" t="str">
        <f t="shared" si="22"/>
        <v/>
      </c>
      <c r="H248" s="503" t="str">
        <f t="shared" si="23"/>
        <v/>
      </c>
      <c r="I248" s="49"/>
    </row>
    <row r="249" spans="2:9" ht="20.100000000000001" customHeight="1" x14ac:dyDescent="0.3">
      <c r="B249" s="198">
        <v>241</v>
      </c>
      <c r="C249" s="501" t="str">
        <f t="shared" si="19"/>
        <v/>
      </c>
      <c r="D249" s="502" t="str">
        <f t="shared" si="20"/>
        <v/>
      </c>
      <c r="E249" s="190" t="str">
        <f t="shared" si="21"/>
        <v/>
      </c>
      <c r="F249" s="196" t="str">
        <f t="shared" si="18"/>
        <v/>
      </c>
      <c r="G249" s="190" t="str">
        <f t="shared" si="22"/>
        <v/>
      </c>
      <c r="H249" s="503" t="str">
        <f t="shared" si="23"/>
        <v/>
      </c>
      <c r="I249" s="49"/>
    </row>
    <row r="250" spans="2:9" ht="20.100000000000001" customHeight="1" x14ac:dyDescent="0.3">
      <c r="B250" s="198">
        <v>242</v>
      </c>
      <c r="C250" s="501" t="str">
        <f t="shared" si="19"/>
        <v/>
      </c>
      <c r="D250" s="502" t="str">
        <f t="shared" si="20"/>
        <v/>
      </c>
      <c r="E250" s="190" t="str">
        <f t="shared" si="21"/>
        <v/>
      </c>
      <c r="F250" s="196" t="str">
        <f t="shared" si="18"/>
        <v/>
      </c>
      <c r="G250" s="190" t="str">
        <f t="shared" si="22"/>
        <v/>
      </c>
      <c r="H250" s="503" t="str">
        <f t="shared" si="23"/>
        <v/>
      </c>
      <c r="I250" s="49"/>
    </row>
    <row r="251" spans="2:9" ht="20.100000000000001" customHeight="1" x14ac:dyDescent="0.3">
      <c r="B251" s="198">
        <v>243</v>
      </c>
      <c r="C251" s="501" t="str">
        <f t="shared" si="19"/>
        <v/>
      </c>
      <c r="D251" s="502" t="str">
        <f t="shared" si="20"/>
        <v/>
      </c>
      <c r="E251" s="190" t="str">
        <f t="shared" si="21"/>
        <v/>
      </c>
      <c r="F251" s="196" t="str">
        <f t="shared" si="18"/>
        <v/>
      </c>
      <c r="G251" s="190" t="str">
        <f t="shared" si="22"/>
        <v/>
      </c>
      <c r="H251" s="503" t="str">
        <f t="shared" si="23"/>
        <v/>
      </c>
      <c r="I251" s="49"/>
    </row>
    <row r="252" spans="2:9" ht="20.100000000000001" customHeight="1" x14ac:dyDescent="0.3">
      <c r="B252" s="198">
        <v>244</v>
      </c>
      <c r="C252" s="501" t="str">
        <f t="shared" si="19"/>
        <v/>
      </c>
      <c r="D252" s="502" t="str">
        <f t="shared" si="20"/>
        <v/>
      </c>
      <c r="E252" s="190" t="str">
        <f t="shared" si="21"/>
        <v/>
      </c>
      <c r="F252" s="196" t="str">
        <f t="shared" si="18"/>
        <v/>
      </c>
      <c r="G252" s="190" t="str">
        <f t="shared" si="22"/>
        <v/>
      </c>
      <c r="H252" s="503" t="str">
        <f t="shared" si="23"/>
        <v/>
      </c>
      <c r="I252" s="49"/>
    </row>
    <row r="253" spans="2:9" ht="20.100000000000001" customHeight="1" x14ac:dyDescent="0.3">
      <c r="B253" s="198">
        <v>245</v>
      </c>
      <c r="C253" s="501" t="str">
        <f t="shared" si="19"/>
        <v/>
      </c>
      <c r="D253" s="502" t="str">
        <f t="shared" si="20"/>
        <v/>
      </c>
      <c r="E253" s="190" t="str">
        <f t="shared" si="21"/>
        <v/>
      </c>
      <c r="F253" s="196" t="str">
        <f t="shared" si="18"/>
        <v/>
      </c>
      <c r="G253" s="190" t="str">
        <f t="shared" si="22"/>
        <v/>
      </c>
      <c r="H253" s="503" t="str">
        <f t="shared" si="23"/>
        <v/>
      </c>
      <c r="I253" s="49"/>
    </row>
    <row r="254" spans="2:9" ht="20.100000000000001" customHeight="1" x14ac:dyDescent="0.3">
      <c r="B254" s="198">
        <v>246</v>
      </c>
      <c r="C254" s="501" t="str">
        <f t="shared" si="19"/>
        <v/>
      </c>
      <c r="D254" s="502" t="str">
        <f t="shared" si="20"/>
        <v/>
      </c>
      <c r="E254" s="190" t="str">
        <f t="shared" si="21"/>
        <v/>
      </c>
      <c r="F254" s="196" t="str">
        <f t="shared" si="18"/>
        <v/>
      </c>
      <c r="G254" s="190" t="str">
        <f t="shared" si="22"/>
        <v/>
      </c>
      <c r="H254" s="503" t="str">
        <f t="shared" si="23"/>
        <v/>
      </c>
      <c r="I254" s="49"/>
    </row>
    <row r="255" spans="2:9" ht="20.100000000000001" customHeight="1" x14ac:dyDescent="0.3">
      <c r="B255" s="198">
        <v>247</v>
      </c>
      <c r="C255" s="501" t="str">
        <f t="shared" si="19"/>
        <v/>
      </c>
      <c r="D255" s="502" t="str">
        <f t="shared" si="20"/>
        <v/>
      </c>
      <c r="E255" s="190" t="str">
        <f t="shared" si="21"/>
        <v/>
      </c>
      <c r="F255" s="196" t="str">
        <f t="shared" si="18"/>
        <v/>
      </c>
      <c r="G255" s="190" t="str">
        <f t="shared" si="22"/>
        <v/>
      </c>
      <c r="H255" s="503" t="str">
        <f t="shared" si="23"/>
        <v/>
      </c>
      <c r="I255" s="49"/>
    </row>
    <row r="256" spans="2:9" ht="20.100000000000001" customHeight="1" x14ac:dyDescent="0.3">
      <c r="B256" s="198">
        <v>248</v>
      </c>
      <c r="C256" s="501" t="str">
        <f t="shared" si="19"/>
        <v/>
      </c>
      <c r="D256" s="502" t="str">
        <f t="shared" si="20"/>
        <v/>
      </c>
      <c r="E256" s="190" t="str">
        <f t="shared" si="21"/>
        <v/>
      </c>
      <c r="F256" s="196" t="str">
        <f t="shared" si="18"/>
        <v/>
      </c>
      <c r="G256" s="190" t="str">
        <f t="shared" si="22"/>
        <v/>
      </c>
      <c r="H256" s="503" t="str">
        <f t="shared" si="23"/>
        <v/>
      </c>
      <c r="I256" s="49"/>
    </row>
    <row r="257" spans="2:9" ht="20.100000000000001" customHeight="1" x14ac:dyDescent="0.3">
      <c r="B257" s="198">
        <v>249</v>
      </c>
      <c r="C257" s="501" t="str">
        <f t="shared" si="19"/>
        <v/>
      </c>
      <c r="D257" s="502" t="str">
        <f t="shared" si="20"/>
        <v/>
      </c>
      <c r="E257" s="190" t="str">
        <f t="shared" si="21"/>
        <v/>
      </c>
      <c r="F257" s="196" t="str">
        <f t="shared" si="18"/>
        <v/>
      </c>
      <c r="G257" s="190" t="str">
        <f t="shared" si="22"/>
        <v/>
      </c>
      <c r="H257" s="503" t="str">
        <f t="shared" si="23"/>
        <v/>
      </c>
      <c r="I257" s="49"/>
    </row>
    <row r="258" spans="2:9" ht="20.100000000000001" customHeight="1" x14ac:dyDescent="0.3">
      <c r="B258" s="198">
        <v>250</v>
      </c>
      <c r="C258" s="501" t="str">
        <f t="shared" si="19"/>
        <v/>
      </c>
      <c r="D258" s="502" t="str">
        <f t="shared" si="20"/>
        <v/>
      </c>
      <c r="E258" s="190" t="str">
        <f t="shared" si="21"/>
        <v/>
      </c>
      <c r="F258" s="196" t="str">
        <f t="shared" si="18"/>
        <v/>
      </c>
      <c r="G258" s="190" t="str">
        <f t="shared" si="22"/>
        <v/>
      </c>
      <c r="H258" s="503" t="str">
        <f t="shared" si="23"/>
        <v/>
      </c>
      <c r="I258" s="49"/>
    </row>
    <row r="259" spans="2:9" ht="20.100000000000001" customHeight="1" x14ac:dyDescent="0.3">
      <c r="B259" s="198">
        <v>251</v>
      </c>
      <c r="C259" s="501" t="str">
        <f t="shared" si="19"/>
        <v/>
      </c>
      <c r="D259" s="502" t="str">
        <f t="shared" si="20"/>
        <v/>
      </c>
      <c r="E259" s="190" t="str">
        <f t="shared" si="21"/>
        <v/>
      </c>
      <c r="F259" s="196" t="str">
        <f t="shared" si="18"/>
        <v/>
      </c>
      <c r="G259" s="190" t="str">
        <f t="shared" si="22"/>
        <v/>
      </c>
      <c r="H259" s="503" t="str">
        <f t="shared" si="23"/>
        <v/>
      </c>
      <c r="I259" s="49"/>
    </row>
    <row r="260" spans="2:9" ht="20.100000000000001" customHeight="1" x14ac:dyDescent="0.3">
      <c r="B260" s="198">
        <v>252</v>
      </c>
      <c r="C260" s="501" t="str">
        <f t="shared" si="19"/>
        <v/>
      </c>
      <c r="D260" s="502" t="str">
        <f t="shared" si="20"/>
        <v/>
      </c>
      <c r="E260" s="190" t="str">
        <f t="shared" si="21"/>
        <v/>
      </c>
      <c r="F260" s="196" t="str">
        <f t="shared" si="18"/>
        <v/>
      </c>
      <c r="G260" s="190" t="str">
        <f t="shared" si="22"/>
        <v/>
      </c>
      <c r="H260" s="503" t="str">
        <f t="shared" si="23"/>
        <v/>
      </c>
      <c r="I260" s="49"/>
    </row>
    <row r="261" spans="2:9" ht="20.100000000000001" customHeight="1" x14ac:dyDescent="0.3">
      <c r="B261" s="198">
        <v>253</v>
      </c>
      <c r="C261" s="501" t="str">
        <f t="shared" si="19"/>
        <v/>
      </c>
      <c r="D261" s="502" t="str">
        <f t="shared" si="20"/>
        <v/>
      </c>
      <c r="E261" s="190" t="str">
        <f t="shared" si="21"/>
        <v/>
      </c>
      <c r="F261" s="196" t="str">
        <f t="shared" si="18"/>
        <v/>
      </c>
      <c r="G261" s="190" t="str">
        <f t="shared" si="22"/>
        <v/>
      </c>
      <c r="H261" s="503" t="str">
        <f t="shared" si="23"/>
        <v/>
      </c>
      <c r="I261" s="49"/>
    </row>
    <row r="262" spans="2:9" ht="20.100000000000001" customHeight="1" x14ac:dyDescent="0.3">
      <c r="B262" s="198">
        <v>254</v>
      </c>
      <c r="C262" s="501" t="str">
        <f t="shared" si="19"/>
        <v/>
      </c>
      <c r="D262" s="502" t="str">
        <f t="shared" si="20"/>
        <v/>
      </c>
      <c r="E262" s="190" t="str">
        <f t="shared" si="21"/>
        <v/>
      </c>
      <c r="F262" s="196" t="str">
        <f t="shared" si="18"/>
        <v/>
      </c>
      <c r="G262" s="190" t="str">
        <f t="shared" si="22"/>
        <v/>
      </c>
      <c r="H262" s="503" t="str">
        <f t="shared" si="23"/>
        <v/>
      </c>
      <c r="I262" s="49"/>
    </row>
    <row r="263" spans="2:9" ht="20.100000000000001" customHeight="1" x14ac:dyDescent="0.3">
      <c r="B263" s="198">
        <v>255</v>
      </c>
      <c r="C263" s="501" t="str">
        <f t="shared" si="19"/>
        <v/>
      </c>
      <c r="D263" s="502" t="str">
        <f t="shared" si="20"/>
        <v/>
      </c>
      <c r="E263" s="190" t="str">
        <f t="shared" si="21"/>
        <v/>
      </c>
      <c r="F263" s="196" t="str">
        <f t="shared" si="18"/>
        <v/>
      </c>
      <c r="G263" s="190" t="str">
        <f t="shared" si="22"/>
        <v/>
      </c>
      <c r="H263" s="503" t="str">
        <f t="shared" si="23"/>
        <v/>
      </c>
      <c r="I263" s="49"/>
    </row>
    <row r="264" spans="2:9" ht="20.100000000000001" customHeight="1" x14ac:dyDescent="0.3">
      <c r="B264" s="198">
        <v>256</v>
      </c>
      <c r="C264" s="501" t="str">
        <f t="shared" si="19"/>
        <v/>
      </c>
      <c r="D264" s="502" t="str">
        <f t="shared" si="20"/>
        <v/>
      </c>
      <c r="E264" s="190" t="str">
        <f t="shared" si="21"/>
        <v/>
      </c>
      <c r="F264" s="196" t="str">
        <f t="shared" si="18"/>
        <v/>
      </c>
      <c r="G264" s="190" t="str">
        <f t="shared" si="22"/>
        <v/>
      </c>
      <c r="H264" s="503" t="str">
        <f t="shared" si="23"/>
        <v/>
      </c>
      <c r="I264" s="49"/>
    </row>
    <row r="265" spans="2:9" ht="20.100000000000001" customHeight="1" x14ac:dyDescent="0.3">
      <c r="B265" s="198">
        <v>257</v>
      </c>
      <c r="C265" s="501" t="str">
        <f t="shared" si="19"/>
        <v/>
      </c>
      <c r="D265" s="502" t="str">
        <f t="shared" si="20"/>
        <v/>
      </c>
      <c r="E265" s="190" t="str">
        <f t="shared" si="21"/>
        <v/>
      </c>
      <c r="F265" s="196" t="str">
        <f t="shared" si="18"/>
        <v/>
      </c>
      <c r="G265" s="190" t="str">
        <f t="shared" si="22"/>
        <v/>
      </c>
      <c r="H265" s="503" t="str">
        <f t="shared" si="23"/>
        <v/>
      </c>
      <c r="I265" s="49"/>
    </row>
    <row r="266" spans="2:9" ht="20.100000000000001" customHeight="1" x14ac:dyDescent="0.3">
      <c r="B266" s="198">
        <v>258</v>
      </c>
      <c r="C266" s="501" t="str">
        <f t="shared" si="19"/>
        <v/>
      </c>
      <c r="D266" s="502" t="str">
        <f t="shared" si="20"/>
        <v/>
      </c>
      <c r="E266" s="190" t="str">
        <f t="shared" si="21"/>
        <v/>
      </c>
      <c r="F266" s="196" t="str">
        <f t="shared" ref="F266:F329" si="24">IF($H$4="","",IF($F$4="원리금균등상환",IFERROR(D266+E266,""),IF($F$4="원금균등상환",D266+E266,"")))</f>
        <v/>
      </c>
      <c r="G266" s="190" t="str">
        <f t="shared" si="22"/>
        <v/>
      </c>
      <c r="H266" s="503" t="str">
        <f t="shared" si="23"/>
        <v/>
      </c>
      <c r="I266" s="49"/>
    </row>
    <row r="267" spans="2:9" ht="20.100000000000001" customHeight="1" x14ac:dyDescent="0.3">
      <c r="B267" s="198">
        <v>259</v>
      </c>
      <c r="C267" s="501" t="str">
        <f t="shared" ref="C267:C330" si="25">IF($H$4="","",IF(B267&gt;($B$6),"",IF(B267&lt;=($B$6),DATE(YEAR($G$4),MONTH($G$4)+B266,DAY($G$4)),"")))</f>
        <v/>
      </c>
      <c r="D267" s="502" t="str">
        <f t="shared" ref="D267:D330" si="26">IF($H$4="","",IF($F$4="원리금균등상환",IFERROR(IF(B267&lt;=$D$6,0,-PPMT($E$4/12,B267-$D$6,($B$6-$D$6),$D$4)),""),IF($F$4="원금균등상환",IF(B267&lt;($D$6+1),0,IF(B267&gt;$B$6,0,$D$4/($B$6-$D$6))),IF($F$4="만기일시상환",0,""))))</f>
        <v/>
      </c>
      <c r="E267" s="190" t="str">
        <f t="shared" ref="E267:E330" si="27">IF($H$4="","",IF($F$4="원리금균등상환",IFERROR(IF(B267&lt;=$D$6,$H266*($E$4/12),-IPMT($E$4/12,B267-$D$6,($B$6-$D$6),$D$4)),""),IF($F$4="원금균등상환",(H266-D267)*$E$4/12,IF($F$4="만기일시상환",IFERROR(IF(B267&lt;=$B$6,$D$4*($E$4/12),""),"")))))</f>
        <v/>
      </c>
      <c r="F267" s="196" t="str">
        <f t="shared" si="24"/>
        <v/>
      </c>
      <c r="G267" s="190" t="str">
        <f t="shared" ref="G267:G330" si="28">IFERROR(IF(B267&gt;(($D$6+$B$6)*12),"",IF(B267=1,D267,D267+G266)),"")</f>
        <v/>
      </c>
      <c r="H267" s="503" t="str">
        <f t="shared" ref="H267:H330" si="29">IFERROR(IF($H$4="","",H266-D267),"")</f>
        <v/>
      </c>
      <c r="I267" s="49"/>
    </row>
    <row r="268" spans="2:9" ht="20.100000000000001" customHeight="1" x14ac:dyDescent="0.3">
      <c r="B268" s="198">
        <v>260</v>
      </c>
      <c r="C268" s="501" t="str">
        <f t="shared" si="25"/>
        <v/>
      </c>
      <c r="D268" s="502" t="str">
        <f t="shared" si="26"/>
        <v/>
      </c>
      <c r="E268" s="190" t="str">
        <f t="shared" si="27"/>
        <v/>
      </c>
      <c r="F268" s="196" t="str">
        <f t="shared" si="24"/>
        <v/>
      </c>
      <c r="G268" s="190" t="str">
        <f t="shared" si="28"/>
        <v/>
      </c>
      <c r="H268" s="503" t="str">
        <f t="shared" si="29"/>
        <v/>
      </c>
      <c r="I268" s="49"/>
    </row>
    <row r="269" spans="2:9" ht="20.100000000000001" customHeight="1" x14ac:dyDescent="0.3">
      <c r="B269" s="198">
        <v>261</v>
      </c>
      <c r="C269" s="501" t="str">
        <f t="shared" si="25"/>
        <v/>
      </c>
      <c r="D269" s="502" t="str">
        <f t="shared" si="26"/>
        <v/>
      </c>
      <c r="E269" s="190" t="str">
        <f t="shared" si="27"/>
        <v/>
      </c>
      <c r="F269" s="196" t="str">
        <f t="shared" si="24"/>
        <v/>
      </c>
      <c r="G269" s="190" t="str">
        <f t="shared" si="28"/>
        <v/>
      </c>
      <c r="H269" s="503" t="str">
        <f t="shared" si="29"/>
        <v/>
      </c>
      <c r="I269" s="49"/>
    </row>
    <row r="270" spans="2:9" ht="20.100000000000001" customHeight="1" x14ac:dyDescent="0.3">
      <c r="B270" s="198">
        <v>262</v>
      </c>
      <c r="C270" s="501" t="str">
        <f t="shared" si="25"/>
        <v/>
      </c>
      <c r="D270" s="502" t="str">
        <f t="shared" si="26"/>
        <v/>
      </c>
      <c r="E270" s="190" t="str">
        <f t="shared" si="27"/>
        <v/>
      </c>
      <c r="F270" s="196" t="str">
        <f t="shared" si="24"/>
        <v/>
      </c>
      <c r="G270" s="190" t="str">
        <f t="shared" si="28"/>
        <v/>
      </c>
      <c r="H270" s="503" t="str">
        <f t="shared" si="29"/>
        <v/>
      </c>
      <c r="I270" s="49"/>
    </row>
    <row r="271" spans="2:9" ht="20.100000000000001" customHeight="1" x14ac:dyDescent="0.3">
      <c r="B271" s="198">
        <v>263</v>
      </c>
      <c r="C271" s="501" t="str">
        <f t="shared" si="25"/>
        <v/>
      </c>
      <c r="D271" s="502" t="str">
        <f t="shared" si="26"/>
        <v/>
      </c>
      <c r="E271" s="190" t="str">
        <f t="shared" si="27"/>
        <v/>
      </c>
      <c r="F271" s="196" t="str">
        <f t="shared" si="24"/>
        <v/>
      </c>
      <c r="G271" s="190" t="str">
        <f t="shared" si="28"/>
        <v/>
      </c>
      <c r="H271" s="503" t="str">
        <f t="shared" si="29"/>
        <v/>
      </c>
      <c r="I271" s="49"/>
    </row>
    <row r="272" spans="2:9" ht="20.100000000000001" customHeight="1" x14ac:dyDescent="0.3">
      <c r="B272" s="198">
        <v>264</v>
      </c>
      <c r="C272" s="501" t="str">
        <f t="shared" si="25"/>
        <v/>
      </c>
      <c r="D272" s="502" t="str">
        <f t="shared" si="26"/>
        <v/>
      </c>
      <c r="E272" s="190" t="str">
        <f t="shared" si="27"/>
        <v/>
      </c>
      <c r="F272" s="196" t="str">
        <f t="shared" si="24"/>
        <v/>
      </c>
      <c r="G272" s="190" t="str">
        <f t="shared" si="28"/>
        <v/>
      </c>
      <c r="H272" s="503" t="str">
        <f t="shared" si="29"/>
        <v/>
      </c>
      <c r="I272" s="49"/>
    </row>
    <row r="273" spans="2:9" ht="20.100000000000001" customHeight="1" x14ac:dyDescent="0.3">
      <c r="B273" s="198">
        <v>265</v>
      </c>
      <c r="C273" s="501" t="str">
        <f t="shared" si="25"/>
        <v/>
      </c>
      <c r="D273" s="502" t="str">
        <f t="shared" si="26"/>
        <v/>
      </c>
      <c r="E273" s="190" t="str">
        <f t="shared" si="27"/>
        <v/>
      </c>
      <c r="F273" s="196" t="str">
        <f t="shared" si="24"/>
        <v/>
      </c>
      <c r="G273" s="190" t="str">
        <f t="shared" si="28"/>
        <v/>
      </c>
      <c r="H273" s="503" t="str">
        <f t="shared" si="29"/>
        <v/>
      </c>
      <c r="I273" s="49"/>
    </row>
    <row r="274" spans="2:9" ht="20.100000000000001" customHeight="1" x14ac:dyDescent="0.3">
      <c r="B274" s="198">
        <v>266</v>
      </c>
      <c r="C274" s="501" t="str">
        <f t="shared" si="25"/>
        <v/>
      </c>
      <c r="D274" s="502" t="str">
        <f t="shared" si="26"/>
        <v/>
      </c>
      <c r="E274" s="190" t="str">
        <f t="shared" si="27"/>
        <v/>
      </c>
      <c r="F274" s="196" t="str">
        <f t="shared" si="24"/>
        <v/>
      </c>
      <c r="G274" s="190" t="str">
        <f t="shared" si="28"/>
        <v/>
      </c>
      <c r="H274" s="503" t="str">
        <f t="shared" si="29"/>
        <v/>
      </c>
      <c r="I274" s="49"/>
    </row>
    <row r="275" spans="2:9" ht="20.100000000000001" customHeight="1" x14ac:dyDescent="0.3">
      <c r="B275" s="198">
        <v>267</v>
      </c>
      <c r="C275" s="501" t="str">
        <f t="shared" si="25"/>
        <v/>
      </c>
      <c r="D275" s="502" t="str">
        <f t="shared" si="26"/>
        <v/>
      </c>
      <c r="E275" s="190" t="str">
        <f t="shared" si="27"/>
        <v/>
      </c>
      <c r="F275" s="196" t="str">
        <f t="shared" si="24"/>
        <v/>
      </c>
      <c r="G275" s="190" t="str">
        <f t="shared" si="28"/>
        <v/>
      </c>
      <c r="H275" s="503" t="str">
        <f t="shared" si="29"/>
        <v/>
      </c>
      <c r="I275" s="49"/>
    </row>
    <row r="276" spans="2:9" ht="20.100000000000001" customHeight="1" x14ac:dyDescent="0.3">
      <c r="B276" s="198">
        <v>268</v>
      </c>
      <c r="C276" s="501" t="str">
        <f t="shared" si="25"/>
        <v/>
      </c>
      <c r="D276" s="502" t="str">
        <f t="shared" si="26"/>
        <v/>
      </c>
      <c r="E276" s="190" t="str">
        <f t="shared" si="27"/>
        <v/>
      </c>
      <c r="F276" s="196" t="str">
        <f t="shared" si="24"/>
        <v/>
      </c>
      <c r="G276" s="190" t="str">
        <f t="shared" si="28"/>
        <v/>
      </c>
      <c r="H276" s="503" t="str">
        <f t="shared" si="29"/>
        <v/>
      </c>
      <c r="I276" s="49"/>
    </row>
    <row r="277" spans="2:9" ht="20.100000000000001" customHeight="1" x14ac:dyDescent="0.3">
      <c r="B277" s="198">
        <v>269</v>
      </c>
      <c r="C277" s="501" t="str">
        <f t="shared" si="25"/>
        <v/>
      </c>
      <c r="D277" s="502" t="str">
        <f t="shared" si="26"/>
        <v/>
      </c>
      <c r="E277" s="190" t="str">
        <f t="shared" si="27"/>
        <v/>
      </c>
      <c r="F277" s="196" t="str">
        <f t="shared" si="24"/>
        <v/>
      </c>
      <c r="G277" s="190" t="str">
        <f t="shared" si="28"/>
        <v/>
      </c>
      <c r="H277" s="503" t="str">
        <f t="shared" si="29"/>
        <v/>
      </c>
      <c r="I277" s="49"/>
    </row>
    <row r="278" spans="2:9" ht="20.100000000000001" customHeight="1" x14ac:dyDescent="0.3">
      <c r="B278" s="198">
        <v>270</v>
      </c>
      <c r="C278" s="501" t="str">
        <f t="shared" si="25"/>
        <v/>
      </c>
      <c r="D278" s="502" t="str">
        <f t="shared" si="26"/>
        <v/>
      </c>
      <c r="E278" s="190" t="str">
        <f t="shared" si="27"/>
        <v/>
      </c>
      <c r="F278" s="196" t="str">
        <f t="shared" si="24"/>
        <v/>
      </c>
      <c r="G278" s="190" t="str">
        <f t="shared" si="28"/>
        <v/>
      </c>
      <c r="H278" s="503" t="str">
        <f t="shared" si="29"/>
        <v/>
      </c>
      <c r="I278" s="49"/>
    </row>
    <row r="279" spans="2:9" ht="20.100000000000001" customHeight="1" x14ac:dyDescent="0.3">
      <c r="B279" s="198">
        <v>271</v>
      </c>
      <c r="C279" s="501" t="str">
        <f t="shared" si="25"/>
        <v/>
      </c>
      <c r="D279" s="502" t="str">
        <f t="shared" si="26"/>
        <v/>
      </c>
      <c r="E279" s="190" t="str">
        <f t="shared" si="27"/>
        <v/>
      </c>
      <c r="F279" s="196" t="str">
        <f t="shared" si="24"/>
        <v/>
      </c>
      <c r="G279" s="190" t="str">
        <f t="shared" si="28"/>
        <v/>
      </c>
      <c r="H279" s="503" t="str">
        <f t="shared" si="29"/>
        <v/>
      </c>
      <c r="I279" s="49"/>
    </row>
    <row r="280" spans="2:9" ht="20.100000000000001" customHeight="1" x14ac:dyDescent="0.3">
      <c r="B280" s="198">
        <v>272</v>
      </c>
      <c r="C280" s="501" t="str">
        <f t="shared" si="25"/>
        <v/>
      </c>
      <c r="D280" s="502" t="str">
        <f t="shared" si="26"/>
        <v/>
      </c>
      <c r="E280" s="190" t="str">
        <f t="shared" si="27"/>
        <v/>
      </c>
      <c r="F280" s="196" t="str">
        <f t="shared" si="24"/>
        <v/>
      </c>
      <c r="G280" s="190" t="str">
        <f t="shared" si="28"/>
        <v/>
      </c>
      <c r="H280" s="503" t="str">
        <f t="shared" si="29"/>
        <v/>
      </c>
      <c r="I280" s="49"/>
    </row>
    <row r="281" spans="2:9" ht="20.100000000000001" customHeight="1" x14ac:dyDescent="0.3">
      <c r="B281" s="198">
        <v>273</v>
      </c>
      <c r="C281" s="501" t="str">
        <f t="shared" si="25"/>
        <v/>
      </c>
      <c r="D281" s="502" t="str">
        <f t="shared" si="26"/>
        <v/>
      </c>
      <c r="E281" s="190" t="str">
        <f t="shared" si="27"/>
        <v/>
      </c>
      <c r="F281" s="196" t="str">
        <f t="shared" si="24"/>
        <v/>
      </c>
      <c r="G281" s="190" t="str">
        <f t="shared" si="28"/>
        <v/>
      </c>
      <c r="H281" s="503" t="str">
        <f t="shared" si="29"/>
        <v/>
      </c>
      <c r="I281" s="49"/>
    </row>
    <row r="282" spans="2:9" ht="20.100000000000001" customHeight="1" x14ac:dyDescent="0.3">
      <c r="B282" s="198">
        <v>274</v>
      </c>
      <c r="C282" s="501" t="str">
        <f t="shared" si="25"/>
        <v/>
      </c>
      <c r="D282" s="502" t="str">
        <f t="shared" si="26"/>
        <v/>
      </c>
      <c r="E282" s="190" t="str">
        <f t="shared" si="27"/>
        <v/>
      </c>
      <c r="F282" s="196" t="str">
        <f t="shared" si="24"/>
        <v/>
      </c>
      <c r="G282" s="190" t="str">
        <f t="shared" si="28"/>
        <v/>
      </c>
      <c r="H282" s="503" t="str">
        <f t="shared" si="29"/>
        <v/>
      </c>
      <c r="I282" s="49"/>
    </row>
    <row r="283" spans="2:9" ht="20.100000000000001" customHeight="1" x14ac:dyDescent="0.3">
      <c r="B283" s="198">
        <v>275</v>
      </c>
      <c r="C283" s="501" t="str">
        <f t="shared" si="25"/>
        <v/>
      </c>
      <c r="D283" s="502" t="str">
        <f t="shared" si="26"/>
        <v/>
      </c>
      <c r="E283" s="190" t="str">
        <f t="shared" si="27"/>
        <v/>
      </c>
      <c r="F283" s="196" t="str">
        <f t="shared" si="24"/>
        <v/>
      </c>
      <c r="G283" s="190" t="str">
        <f t="shared" si="28"/>
        <v/>
      </c>
      <c r="H283" s="503" t="str">
        <f t="shared" si="29"/>
        <v/>
      </c>
      <c r="I283" s="49"/>
    </row>
    <row r="284" spans="2:9" ht="20.100000000000001" customHeight="1" x14ac:dyDescent="0.3">
      <c r="B284" s="198">
        <v>276</v>
      </c>
      <c r="C284" s="501" t="str">
        <f t="shared" si="25"/>
        <v/>
      </c>
      <c r="D284" s="502" t="str">
        <f t="shared" si="26"/>
        <v/>
      </c>
      <c r="E284" s="190" t="str">
        <f t="shared" si="27"/>
        <v/>
      </c>
      <c r="F284" s="196" t="str">
        <f t="shared" si="24"/>
        <v/>
      </c>
      <c r="G284" s="190" t="str">
        <f t="shared" si="28"/>
        <v/>
      </c>
      <c r="H284" s="503" t="str">
        <f t="shared" si="29"/>
        <v/>
      </c>
      <c r="I284" s="49"/>
    </row>
    <row r="285" spans="2:9" ht="20.100000000000001" customHeight="1" x14ac:dyDescent="0.3">
      <c r="B285" s="198">
        <v>277</v>
      </c>
      <c r="C285" s="501" t="str">
        <f t="shared" si="25"/>
        <v/>
      </c>
      <c r="D285" s="502" t="str">
        <f t="shared" si="26"/>
        <v/>
      </c>
      <c r="E285" s="190" t="str">
        <f t="shared" si="27"/>
        <v/>
      </c>
      <c r="F285" s="196" t="str">
        <f t="shared" si="24"/>
        <v/>
      </c>
      <c r="G285" s="190" t="str">
        <f t="shared" si="28"/>
        <v/>
      </c>
      <c r="H285" s="503" t="str">
        <f t="shared" si="29"/>
        <v/>
      </c>
      <c r="I285" s="49"/>
    </row>
    <row r="286" spans="2:9" ht="20.100000000000001" customHeight="1" x14ac:dyDescent="0.3">
      <c r="B286" s="198">
        <v>278</v>
      </c>
      <c r="C286" s="501" t="str">
        <f t="shared" si="25"/>
        <v/>
      </c>
      <c r="D286" s="502" t="str">
        <f t="shared" si="26"/>
        <v/>
      </c>
      <c r="E286" s="190" t="str">
        <f t="shared" si="27"/>
        <v/>
      </c>
      <c r="F286" s="196" t="str">
        <f t="shared" si="24"/>
        <v/>
      </c>
      <c r="G286" s="190" t="str">
        <f t="shared" si="28"/>
        <v/>
      </c>
      <c r="H286" s="503" t="str">
        <f t="shared" si="29"/>
        <v/>
      </c>
      <c r="I286" s="49"/>
    </row>
    <row r="287" spans="2:9" ht="20.100000000000001" customHeight="1" x14ac:dyDescent="0.3">
      <c r="B287" s="198">
        <v>279</v>
      </c>
      <c r="C287" s="501" t="str">
        <f t="shared" si="25"/>
        <v/>
      </c>
      <c r="D287" s="502" t="str">
        <f t="shared" si="26"/>
        <v/>
      </c>
      <c r="E287" s="190" t="str">
        <f t="shared" si="27"/>
        <v/>
      </c>
      <c r="F287" s="196" t="str">
        <f t="shared" si="24"/>
        <v/>
      </c>
      <c r="G287" s="190" t="str">
        <f t="shared" si="28"/>
        <v/>
      </c>
      <c r="H287" s="503" t="str">
        <f t="shared" si="29"/>
        <v/>
      </c>
      <c r="I287" s="49"/>
    </row>
    <row r="288" spans="2:9" ht="20.100000000000001" customHeight="1" x14ac:dyDescent="0.3">
      <c r="B288" s="198">
        <v>280</v>
      </c>
      <c r="C288" s="501" t="str">
        <f t="shared" si="25"/>
        <v/>
      </c>
      <c r="D288" s="502" t="str">
        <f t="shared" si="26"/>
        <v/>
      </c>
      <c r="E288" s="190" t="str">
        <f t="shared" si="27"/>
        <v/>
      </c>
      <c r="F288" s="196" t="str">
        <f t="shared" si="24"/>
        <v/>
      </c>
      <c r="G288" s="190" t="str">
        <f t="shared" si="28"/>
        <v/>
      </c>
      <c r="H288" s="503" t="str">
        <f t="shared" si="29"/>
        <v/>
      </c>
      <c r="I288" s="49"/>
    </row>
    <row r="289" spans="2:9" ht="20.100000000000001" customHeight="1" x14ac:dyDescent="0.3">
      <c r="B289" s="198">
        <v>281</v>
      </c>
      <c r="C289" s="501" t="str">
        <f t="shared" si="25"/>
        <v/>
      </c>
      <c r="D289" s="502" t="str">
        <f t="shared" si="26"/>
        <v/>
      </c>
      <c r="E289" s="190" t="str">
        <f t="shared" si="27"/>
        <v/>
      </c>
      <c r="F289" s="196" t="str">
        <f t="shared" si="24"/>
        <v/>
      </c>
      <c r="G289" s="190" t="str">
        <f t="shared" si="28"/>
        <v/>
      </c>
      <c r="H289" s="503" t="str">
        <f t="shared" si="29"/>
        <v/>
      </c>
      <c r="I289" s="49"/>
    </row>
    <row r="290" spans="2:9" ht="20.100000000000001" customHeight="1" x14ac:dyDescent="0.3">
      <c r="B290" s="198">
        <v>282</v>
      </c>
      <c r="C290" s="501" t="str">
        <f t="shared" si="25"/>
        <v/>
      </c>
      <c r="D290" s="502" t="str">
        <f t="shared" si="26"/>
        <v/>
      </c>
      <c r="E290" s="190" t="str">
        <f t="shared" si="27"/>
        <v/>
      </c>
      <c r="F290" s="196" t="str">
        <f t="shared" si="24"/>
        <v/>
      </c>
      <c r="G290" s="190" t="str">
        <f t="shared" si="28"/>
        <v/>
      </c>
      <c r="H290" s="503" t="str">
        <f t="shared" si="29"/>
        <v/>
      </c>
      <c r="I290" s="49"/>
    </row>
    <row r="291" spans="2:9" ht="20.100000000000001" customHeight="1" x14ac:dyDescent="0.3">
      <c r="B291" s="198">
        <v>283</v>
      </c>
      <c r="C291" s="501" t="str">
        <f t="shared" si="25"/>
        <v/>
      </c>
      <c r="D291" s="502" t="str">
        <f t="shared" si="26"/>
        <v/>
      </c>
      <c r="E291" s="190" t="str">
        <f t="shared" si="27"/>
        <v/>
      </c>
      <c r="F291" s="196" t="str">
        <f t="shared" si="24"/>
        <v/>
      </c>
      <c r="G291" s="190" t="str">
        <f t="shared" si="28"/>
        <v/>
      </c>
      <c r="H291" s="503" t="str">
        <f t="shared" si="29"/>
        <v/>
      </c>
      <c r="I291" s="49"/>
    </row>
    <row r="292" spans="2:9" ht="20.100000000000001" customHeight="1" x14ac:dyDescent="0.3">
      <c r="B292" s="198">
        <v>284</v>
      </c>
      <c r="C292" s="501" t="str">
        <f t="shared" si="25"/>
        <v/>
      </c>
      <c r="D292" s="502" t="str">
        <f t="shared" si="26"/>
        <v/>
      </c>
      <c r="E292" s="190" t="str">
        <f t="shared" si="27"/>
        <v/>
      </c>
      <c r="F292" s="196" t="str">
        <f t="shared" si="24"/>
        <v/>
      </c>
      <c r="G292" s="190" t="str">
        <f t="shared" si="28"/>
        <v/>
      </c>
      <c r="H292" s="503" t="str">
        <f t="shared" si="29"/>
        <v/>
      </c>
      <c r="I292" s="49"/>
    </row>
    <row r="293" spans="2:9" ht="20.100000000000001" customHeight="1" x14ac:dyDescent="0.3">
      <c r="B293" s="198">
        <v>285</v>
      </c>
      <c r="C293" s="501" t="str">
        <f t="shared" si="25"/>
        <v/>
      </c>
      <c r="D293" s="502" t="str">
        <f t="shared" si="26"/>
        <v/>
      </c>
      <c r="E293" s="190" t="str">
        <f t="shared" si="27"/>
        <v/>
      </c>
      <c r="F293" s="196" t="str">
        <f t="shared" si="24"/>
        <v/>
      </c>
      <c r="G293" s="190" t="str">
        <f t="shared" si="28"/>
        <v/>
      </c>
      <c r="H293" s="503" t="str">
        <f t="shared" si="29"/>
        <v/>
      </c>
      <c r="I293" s="49"/>
    </row>
    <row r="294" spans="2:9" ht="20.100000000000001" customHeight="1" x14ac:dyDescent="0.3">
      <c r="B294" s="198">
        <v>286</v>
      </c>
      <c r="C294" s="501" t="str">
        <f t="shared" si="25"/>
        <v/>
      </c>
      <c r="D294" s="502" t="str">
        <f t="shared" si="26"/>
        <v/>
      </c>
      <c r="E294" s="190" t="str">
        <f t="shared" si="27"/>
        <v/>
      </c>
      <c r="F294" s="196" t="str">
        <f t="shared" si="24"/>
        <v/>
      </c>
      <c r="G294" s="190" t="str">
        <f t="shared" si="28"/>
        <v/>
      </c>
      <c r="H294" s="503" t="str">
        <f t="shared" si="29"/>
        <v/>
      </c>
      <c r="I294" s="49"/>
    </row>
    <row r="295" spans="2:9" ht="20.100000000000001" customHeight="1" x14ac:dyDescent="0.3">
      <c r="B295" s="198">
        <v>287</v>
      </c>
      <c r="C295" s="501" t="str">
        <f t="shared" si="25"/>
        <v/>
      </c>
      <c r="D295" s="502" t="str">
        <f t="shared" si="26"/>
        <v/>
      </c>
      <c r="E295" s="190" t="str">
        <f t="shared" si="27"/>
        <v/>
      </c>
      <c r="F295" s="196" t="str">
        <f t="shared" si="24"/>
        <v/>
      </c>
      <c r="G295" s="190" t="str">
        <f t="shared" si="28"/>
        <v/>
      </c>
      <c r="H295" s="503" t="str">
        <f t="shared" si="29"/>
        <v/>
      </c>
      <c r="I295" s="49"/>
    </row>
    <row r="296" spans="2:9" ht="20.100000000000001" customHeight="1" x14ac:dyDescent="0.3">
      <c r="B296" s="198">
        <v>288</v>
      </c>
      <c r="C296" s="501" t="str">
        <f t="shared" si="25"/>
        <v/>
      </c>
      <c r="D296" s="502" t="str">
        <f t="shared" si="26"/>
        <v/>
      </c>
      <c r="E296" s="190" t="str">
        <f t="shared" si="27"/>
        <v/>
      </c>
      <c r="F296" s="196" t="str">
        <f t="shared" si="24"/>
        <v/>
      </c>
      <c r="G296" s="190" t="str">
        <f t="shared" si="28"/>
        <v/>
      </c>
      <c r="H296" s="503" t="str">
        <f t="shared" si="29"/>
        <v/>
      </c>
      <c r="I296" s="49"/>
    </row>
    <row r="297" spans="2:9" ht="20.100000000000001" customHeight="1" x14ac:dyDescent="0.3">
      <c r="B297" s="198">
        <v>289</v>
      </c>
      <c r="C297" s="501" t="str">
        <f t="shared" si="25"/>
        <v/>
      </c>
      <c r="D297" s="502" t="str">
        <f t="shared" si="26"/>
        <v/>
      </c>
      <c r="E297" s="190" t="str">
        <f t="shared" si="27"/>
        <v/>
      </c>
      <c r="F297" s="196" t="str">
        <f t="shared" si="24"/>
        <v/>
      </c>
      <c r="G297" s="190" t="str">
        <f t="shared" si="28"/>
        <v/>
      </c>
      <c r="H297" s="503" t="str">
        <f t="shared" si="29"/>
        <v/>
      </c>
      <c r="I297" s="49"/>
    </row>
    <row r="298" spans="2:9" ht="20.100000000000001" customHeight="1" x14ac:dyDescent="0.3">
      <c r="B298" s="198">
        <v>290</v>
      </c>
      <c r="C298" s="501" t="str">
        <f t="shared" si="25"/>
        <v/>
      </c>
      <c r="D298" s="502" t="str">
        <f t="shared" si="26"/>
        <v/>
      </c>
      <c r="E298" s="190" t="str">
        <f t="shared" si="27"/>
        <v/>
      </c>
      <c r="F298" s="196" t="str">
        <f t="shared" si="24"/>
        <v/>
      </c>
      <c r="G298" s="190" t="str">
        <f t="shared" si="28"/>
        <v/>
      </c>
      <c r="H298" s="503" t="str">
        <f t="shared" si="29"/>
        <v/>
      </c>
      <c r="I298" s="49"/>
    </row>
    <row r="299" spans="2:9" ht="20.100000000000001" customHeight="1" x14ac:dyDescent="0.3">
      <c r="B299" s="198">
        <v>291</v>
      </c>
      <c r="C299" s="501" t="str">
        <f t="shared" si="25"/>
        <v/>
      </c>
      <c r="D299" s="502" t="str">
        <f t="shared" si="26"/>
        <v/>
      </c>
      <c r="E299" s="190" t="str">
        <f t="shared" si="27"/>
        <v/>
      </c>
      <c r="F299" s="196" t="str">
        <f t="shared" si="24"/>
        <v/>
      </c>
      <c r="G299" s="190" t="str">
        <f t="shared" si="28"/>
        <v/>
      </c>
      <c r="H299" s="503" t="str">
        <f t="shared" si="29"/>
        <v/>
      </c>
      <c r="I299" s="49"/>
    </row>
    <row r="300" spans="2:9" ht="20.100000000000001" customHeight="1" x14ac:dyDescent="0.3">
      <c r="B300" s="198">
        <v>292</v>
      </c>
      <c r="C300" s="501" t="str">
        <f t="shared" si="25"/>
        <v/>
      </c>
      <c r="D300" s="502" t="str">
        <f t="shared" si="26"/>
        <v/>
      </c>
      <c r="E300" s="190" t="str">
        <f t="shared" si="27"/>
        <v/>
      </c>
      <c r="F300" s="196" t="str">
        <f t="shared" si="24"/>
        <v/>
      </c>
      <c r="G300" s="190" t="str">
        <f t="shared" si="28"/>
        <v/>
      </c>
      <c r="H300" s="503" t="str">
        <f t="shared" si="29"/>
        <v/>
      </c>
      <c r="I300" s="49"/>
    </row>
    <row r="301" spans="2:9" ht="20.100000000000001" customHeight="1" x14ac:dyDescent="0.3">
      <c r="B301" s="198">
        <v>293</v>
      </c>
      <c r="C301" s="501" t="str">
        <f t="shared" si="25"/>
        <v/>
      </c>
      <c r="D301" s="502" t="str">
        <f t="shared" si="26"/>
        <v/>
      </c>
      <c r="E301" s="190" t="str">
        <f t="shared" si="27"/>
        <v/>
      </c>
      <c r="F301" s="196" t="str">
        <f t="shared" si="24"/>
        <v/>
      </c>
      <c r="G301" s="190" t="str">
        <f t="shared" si="28"/>
        <v/>
      </c>
      <c r="H301" s="503" t="str">
        <f t="shared" si="29"/>
        <v/>
      </c>
      <c r="I301" s="49"/>
    </row>
    <row r="302" spans="2:9" ht="20.100000000000001" customHeight="1" x14ac:dyDescent="0.3">
      <c r="B302" s="198">
        <v>294</v>
      </c>
      <c r="C302" s="501" t="str">
        <f t="shared" si="25"/>
        <v/>
      </c>
      <c r="D302" s="502" t="str">
        <f t="shared" si="26"/>
        <v/>
      </c>
      <c r="E302" s="190" t="str">
        <f t="shared" si="27"/>
        <v/>
      </c>
      <c r="F302" s="196" t="str">
        <f t="shared" si="24"/>
        <v/>
      </c>
      <c r="G302" s="190" t="str">
        <f t="shared" si="28"/>
        <v/>
      </c>
      <c r="H302" s="503" t="str">
        <f t="shared" si="29"/>
        <v/>
      </c>
      <c r="I302" s="49"/>
    </row>
    <row r="303" spans="2:9" ht="20.100000000000001" customHeight="1" x14ac:dyDescent="0.3">
      <c r="B303" s="198">
        <v>295</v>
      </c>
      <c r="C303" s="501" t="str">
        <f t="shared" si="25"/>
        <v/>
      </c>
      <c r="D303" s="502" t="str">
        <f t="shared" si="26"/>
        <v/>
      </c>
      <c r="E303" s="190" t="str">
        <f t="shared" si="27"/>
        <v/>
      </c>
      <c r="F303" s="196" t="str">
        <f t="shared" si="24"/>
        <v/>
      </c>
      <c r="G303" s="190" t="str">
        <f t="shared" si="28"/>
        <v/>
      </c>
      <c r="H303" s="503" t="str">
        <f t="shared" si="29"/>
        <v/>
      </c>
      <c r="I303" s="49"/>
    </row>
    <row r="304" spans="2:9" ht="20.100000000000001" customHeight="1" x14ac:dyDescent="0.3">
      <c r="B304" s="198">
        <v>296</v>
      </c>
      <c r="C304" s="501" t="str">
        <f t="shared" si="25"/>
        <v/>
      </c>
      <c r="D304" s="502" t="str">
        <f t="shared" si="26"/>
        <v/>
      </c>
      <c r="E304" s="190" t="str">
        <f t="shared" si="27"/>
        <v/>
      </c>
      <c r="F304" s="196" t="str">
        <f t="shared" si="24"/>
        <v/>
      </c>
      <c r="G304" s="190" t="str">
        <f t="shared" si="28"/>
        <v/>
      </c>
      <c r="H304" s="503" t="str">
        <f t="shared" si="29"/>
        <v/>
      </c>
      <c r="I304" s="49"/>
    </row>
    <row r="305" spans="2:9" ht="20.100000000000001" customHeight="1" x14ac:dyDescent="0.3">
      <c r="B305" s="198">
        <v>297</v>
      </c>
      <c r="C305" s="501" t="str">
        <f t="shared" si="25"/>
        <v/>
      </c>
      <c r="D305" s="502" t="str">
        <f t="shared" si="26"/>
        <v/>
      </c>
      <c r="E305" s="190" t="str">
        <f t="shared" si="27"/>
        <v/>
      </c>
      <c r="F305" s="196" t="str">
        <f t="shared" si="24"/>
        <v/>
      </c>
      <c r="G305" s="190" t="str">
        <f t="shared" si="28"/>
        <v/>
      </c>
      <c r="H305" s="503" t="str">
        <f t="shared" si="29"/>
        <v/>
      </c>
      <c r="I305" s="49"/>
    </row>
    <row r="306" spans="2:9" ht="20.100000000000001" customHeight="1" x14ac:dyDescent="0.3">
      <c r="B306" s="198">
        <v>298</v>
      </c>
      <c r="C306" s="501" t="str">
        <f t="shared" si="25"/>
        <v/>
      </c>
      <c r="D306" s="502" t="str">
        <f t="shared" si="26"/>
        <v/>
      </c>
      <c r="E306" s="190" t="str">
        <f t="shared" si="27"/>
        <v/>
      </c>
      <c r="F306" s="196" t="str">
        <f t="shared" si="24"/>
        <v/>
      </c>
      <c r="G306" s="190" t="str">
        <f t="shared" si="28"/>
        <v/>
      </c>
      <c r="H306" s="503" t="str">
        <f t="shared" si="29"/>
        <v/>
      </c>
      <c r="I306" s="49"/>
    </row>
    <row r="307" spans="2:9" ht="20.100000000000001" customHeight="1" x14ac:dyDescent="0.3">
      <c r="B307" s="198">
        <v>299</v>
      </c>
      <c r="C307" s="501" t="str">
        <f t="shared" si="25"/>
        <v/>
      </c>
      <c r="D307" s="502" t="str">
        <f t="shared" si="26"/>
        <v/>
      </c>
      <c r="E307" s="190" t="str">
        <f t="shared" si="27"/>
        <v/>
      </c>
      <c r="F307" s="196" t="str">
        <f t="shared" si="24"/>
        <v/>
      </c>
      <c r="G307" s="190" t="str">
        <f t="shared" si="28"/>
        <v/>
      </c>
      <c r="H307" s="503" t="str">
        <f t="shared" si="29"/>
        <v/>
      </c>
      <c r="I307" s="49"/>
    </row>
    <row r="308" spans="2:9" ht="20.100000000000001" customHeight="1" x14ac:dyDescent="0.3">
      <c r="B308" s="198">
        <v>300</v>
      </c>
      <c r="C308" s="501" t="str">
        <f t="shared" si="25"/>
        <v/>
      </c>
      <c r="D308" s="502" t="str">
        <f t="shared" si="26"/>
        <v/>
      </c>
      <c r="E308" s="190" t="str">
        <f t="shared" si="27"/>
        <v/>
      </c>
      <c r="F308" s="196" t="str">
        <f t="shared" si="24"/>
        <v/>
      </c>
      <c r="G308" s="190" t="str">
        <f t="shared" si="28"/>
        <v/>
      </c>
      <c r="H308" s="503" t="str">
        <f t="shared" si="29"/>
        <v/>
      </c>
      <c r="I308" s="49"/>
    </row>
    <row r="309" spans="2:9" ht="20.100000000000001" customHeight="1" x14ac:dyDescent="0.3">
      <c r="B309" s="198">
        <v>301</v>
      </c>
      <c r="C309" s="501" t="str">
        <f t="shared" si="25"/>
        <v/>
      </c>
      <c r="D309" s="502" t="str">
        <f t="shared" si="26"/>
        <v/>
      </c>
      <c r="E309" s="190" t="str">
        <f t="shared" si="27"/>
        <v/>
      </c>
      <c r="F309" s="196" t="str">
        <f t="shared" si="24"/>
        <v/>
      </c>
      <c r="G309" s="190" t="str">
        <f t="shared" si="28"/>
        <v/>
      </c>
      <c r="H309" s="503" t="str">
        <f t="shared" si="29"/>
        <v/>
      </c>
      <c r="I309" s="49"/>
    </row>
    <row r="310" spans="2:9" ht="20.100000000000001" customHeight="1" x14ac:dyDescent="0.3">
      <c r="B310" s="198">
        <v>302</v>
      </c>
      <c r="C310" s="501" t="str">
        <f t="shared" si="25"/>
        <v/>
      </c>
      <c r="D310" s="502" t="str">
        <f t="shared" si="26"/>
        <v/>
      </c>
      <c r="E310" s="190" t="str">
        <f t="shared" si="27"/>
        <v/>
      </c>
      <c r="F310" s="196" t="str">
        <f t="shared" si="24"/>
        <v/>
      </c>
      <c r="G310" s="190" t="str">
        <f t="shared" si="28"/>
        <v/>
      </c>
      <c r="H310" s="503" t="str">
        <f t="shared" si="29"/>
        <v/>
      </c>
      <c r="I310" s="49"/>
    </row>
    <row r="311" spans="2:9" ht="20.100000000000001" customHeight="1" x14ac:dyDescent="0.3">
      <c r="B311" s="198">
        <v>303</v>
      </c>
      <c r="C311" s="501" t="str">
        <f t="shared" si="25"/>
        <v/>
      </c>
      <c r="D311" s="502" t="str">
        <f t="shared" si="26"/>
        <v/>
      </c>
      <c r="E311" s="190" t="str">
        <f t="shared" si="27"/>
        <v/>
      </c>
      <c r="F311" s="196" t="str">
        <f t="shared" si="24"/>
        <v/>
      </c>
      <c r="G311" s="190" t="str">
        <f t="shared" si="28"/>
        <v/>
      </c>
      <c r="H311" s="503" t="str">
        <f t="shared" si="29"/>
        <v/>
      </c>
      <c r="I311" s="49"/>
    </row>
    <row r="312" spans="2:9" ht="20.100000000000001" customHeight="1" x14ac:dyDescent="0.3">
      <c r="B312" s="198">
        <v>304</v>
      </c>
      <c r="C312" s="501" t="str">
        <f t="shared" si="25"/>
        <v/>
      </c>
      <c r="D312" s="502" t="str">
        <f t="shared" si="26"/>
        <v/>
      </c>
      <c r="E312" s="190" t="str">
        <f t="shared" si="27"/>
        <v/>
      </c>
      <c r="F312" s="196" t="str">
        <f t="shared" si="24"/>
        <v/>
      </c>
      <c r="G312" s="190" t="str">
        <f t="shared" si="28"/>
        <v/>
      </c>
      <c r="H312" s="503" t="str">
        <f t="shared" si="29"/>
        <v/>
      </c>
      <c r="I312" s="49"/>
    </row>
    <row r="313" spans="2:9" ht="20.100000000000001" customHeight="1" x14ac:dyDescent="0.3">
      <c r="B313" s="198">
        <v>305</v>
      </c>
      <c r="C313" s="501" t="str">
        <f t="shared" si="25"/>
        <v/>
      </c>
      <c r="D313" s="502" t="str">
        <f t="shared" si="26"/>
        <v/>
      </c>
      <c r="E313" s="190" t="str">
        <f t="shared" si="27"/>
        <v/>
      </c>
      <c r="F313" s="196" t="str">
        <f t="shared" si="24"/>
        <v/>
      </c>
      <c r="G313" s="190" t="str">
        <f t="shared" si="28"/>
        <v/>
      </c>
      <c r="H313" s="503" t="str">
        <f t="shared" si="29"/>
        <v/>
      </c>
      <c r="I313" s="49"/>
    </row>
    <row r="314" spans="2:9" ht="20.100000000000001" customHeight="1" x14ac:dyDescent="0.3">
      <c r="B314" s="198">
        <v>306</v>
      </c>
      <c r="C314" s="501" t="str">
        <f t="shared" si="25"/>
        <v/>
      </c>
      <c r="D314" s="502" t="str">
        <f t="shared" si="26"/>
        <v/>
      </c>
      <c r="E314" s="190" t="str">
        <f t="shared" si="27"/>
        <v/>
      </c>
      <c r="F314" s="196" t="str">
        <f t="shared" si="24"/>
        <v/>
      </c>
      <c r="G314" s="190" t="str">
        <f t="shared" si="28"/>
        <v/>
      </c>
      <c r="H314" s="503" t="str">
        <f t="shared" si="29"/>
        <v/>
      </c>
      <c r="I314" s="49"/>
    </row>
    <row r="315" spans="2:9" ht="20.100000000000001" customHeight="1" x14ac:dyDescent="0.3">
      <c r="B315" s="198">
        <v>307</v>
      </c>
      <c r="C315" s="501" t="str">
        <f t="shared" si="25"/>
        <v/>
      </c>
      <c r="D315" s="502" t="str">
        <f t="shared" si="26"/>
        <v/>
      </c>
      <c r="E315" s="190" t="str">
        <f t="shared" si="27"/>
        <v/>
      </c>
      <c r="F315" s="196" t="str">
        <f t="shared" si="24"/>
        <v/>
      </c>
      <c r="G315" s="190" t="str">
        <f t="shared" si="28"/>
        <v/>
      </c>
      <c r="H315" s="503" t="str">
        <f t="shared" si="29"/>
        <v/>
      </c>
      <c r="I315" s="49"/>
    </row>
    <row r="316" spans="2:9" ht="20.100000000000001" customHeight="1" x14ac:dyDescent="0.3">
      <c r="B316" s="198">
        <v>308</v>
      </c>
      <c r="C316" s="501" t="str">
        <f t="shared" si="25"/>
        <v/>
      </c>
      <c r="D316" s="502" t="str">
        <f t="shared" si="26"/>
        <v/>
      </c>
      <c r="E316" s="190" t="str">
        <f t="shared" si="27"/>
        <v/>
      </c>
      <c r="F316" s="196" t="str">
        <f t="shared" si="24"/>
        <v/>
      </c>
      <c r="G316" s="190" t="str">
        <f t="shared" si="28"/>
        <v/>
      </c>
      <c r="H316" s="503" t="str">
        <f t="shared" si="29"/>
        <v/>
      </c>
      <c r="I316" s="49"/>
    </row>
    <row r="317" spans="2:9" ht="20.100000000000001" customHeight="1" x14ac:dyDescent="0.3">
      <c r="B317" s="198">
        <v>309</v>
      </c>
      <c r="C317" s="501" t="str">
        <f t="shared" si="25"/>
        <v/>
      </c>
      <c r="D317" s="502" t="str">
        <f t="shared" si="26"/>
        <v/>
      </c>
      <c r="E317" s="190" t="str">
        <f t="shared" si="27"/>
        <v/>
      </c>
      <c r="F317" s="196" t="str">
        <f t="shared" si="24"/>
        <v/>
      </c>
      <c r="G317" s="190" t="str">
        <f t="shared" si="28"/>
        <v/>
      </c>
      <c r="H317" s="503" t="str">
        <f t="shared" si="29"/>
        <v/>
      </c>
      <c r="I317" s="49"/>
    </row>
    <row r="318" spans="2:9" ht="20.100000000000001" customHeight="1" x14ac:dyDescent="0.3">
      <c r="B318" s="198">
        <v>310</v>
      </c>
      <c r="C318" s="501" t="str">
        <f t="shared" si="25"/>
        <v/>
      </c>
      <c r="D318" s="502" t="str">
        <f t="shared" si="26"/>
        <v/>
      </c>
      <c r="E318" s="190" t="str">
        <f t="shared" si="27"/>
        <v/>
      </c>
      <c r="F318" s="196" t="str">
        <f t="shared" si="24"/>
        <v/>
      </c>
      <c r="G318" s="190" t="str">
        <f t="shared" si="28"/>
        <v/>
      </c>
      <c r="H318" s="503" t="str">
        <f t="shared" si="29"/>
        <v/>
      </c>
      <c r="I318" s="49"/>
    </row>
    <row r="319" spans="2:9" ht="20.100000000000001" customHeight="1" x14ac:dyDescent="0.3">
      <c r="B319" s="198">
        <v>311</v>
      </c>
      <c r="C319" s="501" t="str">
        <f t="shared" si="25"/>
        <v/>
      </c>
      <c r="D319" s="502" t="str">
        <f t="shared" si="26"/>
        <v/>
      </c>
      <c r="E319" s="190" t="str">
        <f t="shared" si="27"/>
        <v/>
      </c>
      <c r="F319" s="196" t="str">
        <f t="shared" si="24"/>
        <v/>
      </c>
      <c r="G319" s="190" t="str">
        <f t="shared" si="28"/>
        <v/>
      </c>
      <c r="H319" s="503" t="str">
        <f t="shared" si="29"/>
        <v/>
      </c>
      <c r="I319" s="49"/>
    </row>
    <row r="320" spans="2:9" ht="20.100000000000001" customHeight="1" x14ac:dyDescent="0.3">
      <c r="B320" s="198">
        <v>312</v>
      </c>
      <c r="C320" s="501" t="str">
        <f t="shared" si="25"/>
        <v/>
      </c>
      <c r="D320" s="502" t="str">
        <f t="shared" si="26"/>
        <v/>
      </c>
      <c r="E320" s="190" t="str">
        <f t="shared" si="27"/>
        <v/>
      </c>
      <c r="F320" s="196" t="str">
        <f t="shared" si="24"/>
        <v/>
      </c>
      <c r="G320" s="190" t="str">
        <f t="shared" si="28"/>
        <v/>
      </c>
      <c r="H320" s="503" t="str">
        <f t="shared" si="29"/>
        <v/>
      </c>
      <c r="I320" s="49"/>
    </row>
    <row r="321" spans="2:9" ht="20.100000000000001" customHeight="1" x14ac:dyDescent="0.3">
      <c r="B321" s="198">
        <v>313</v>
      </c>
      <c r="C321" s="501" t="str">
        <f t="shared" si="25"/>
        <v/>
      </c>
      <c r="D321" s="502" t="str">
        <f t="shared" si="26"/>
        <v/>
      </c>
      <c r="E321" s="190" t="str">
        <f t="shared" si="27"/>
        <v/>
      </c>
      <c r="F321" s="196" t="str">
        <f t="shared" si="24"/>
        <v/>
      </c>
      <c r="G321" s="190" t="str">
        <f t="shared" si="28"/>
        <v/>
      </c>
      <c r="H321" s="503" t="str">
        <f t="shared" si="29"/>
        <v/>
      </c>
      <c r="I321" s="49"/>
    </row>
    <row r="322" spans="2:9" ht="20.100000000000001" customHeight="1" x14ac:dyDescent="0.3">
      <c r="B322" s="198">
        <v>314</v>
      </c>
      <c r="C322" s="501" t="str">
        <f t="shared" si="25"/>
        <v/>
      </c>
      <c r="D322" s="502" t="str">
        <f t="shared" si="26"/>
        <v/>
      </c>
      <c r="E322" s="190" t="str">
        <f t="shared" si="27"/>
        <v/>
      </c>
      <c r="F322" s="196" t="str">
        <f t="shared" si="24"/>
        <v/>
      </c>
      <c r="G322" s="190" t="str">
        <f t="shared" si="28"/>
        <v/>
      </c>
      <c r="H322" s="503" t="str">
        <f t="shared" si="29"/>
        <v/>
      </c>
      <c r="I322" s="49"/>
    </row>
    <row r="323" spans="2:9" ht="20.100000000000001" customHeight="1" x14ac:dyDescent="0.3">
      <c r="B323" s="198">
        <v>315</v>
      </c>
      <c r="C323" s="501" t="str">
        <f t="shared" si="25"/>
        <v/>
      </c>
      <c r="D323" s="502" t="str">
        <f t="shared" si="26"/>
        <v/>
      </c>
      <c r="E323" s="190" t="str">
        <f t="shared" si="27"/>
        <v/>
      </c>
      <c r="F323" s="196" t="str">
        <f t="shared" si="24"/>
        <v/>
      </c>
      <c r="G323" s="190" t="str">
        <f t="shared" si="28"/>
        <v/>
      </c>
      <c r="H323" s="503" t="str">
        <f t="shared" si="29"/>
        <v/>
      </c>
      <c r="I323" s="49"/>
    </row>
    <row r="324" spans="2:9" ht="20.100000000000001" customHeight="1" x14ac:dyDescent="0.3">
      <c r="B324" s="198">
        <v>316</v>
      </c>
      <c r="C324" s="501" t="str">
        <f t="shared" si="25"/>
        <v/>
      </c>
      <c r="D324" s="502" t="str">
        <f t="shared" si="26"/>
        <v/>
      </c>
      <c r="E324" s="190" t="str">
        <f t="shared" si="27"/>
        <v/>
      </c>
      <c r="F324" s="196" t="str">
        <f t="shared" si="24"/>
        <v/>
      </c>
      <c r="G324" s="190" t="str">
        <f t="shared" si="28"/>
        <v/>
      </c>
      <c r="H324" s="503" t="str">
        <f t="shared" si="29"/>
        <v/>
      </c>
      <c r="I324" s="49"/>
    </row>
    <row r="325" spans="2:9" ht="20.100000000000001" customHeight="1" x14ac:dyDescent="0.3">
      <c r="B325" s="198">
        <v>317</v>
      </c>
      <c r="C325" s="501" t="str">
        <f t="shared" si="25"/>
        <v/>
      </c>
      <c r="D325" s="502" t="str">
        <f t="shared" si="26"/>
        <v/>
      </c>
      <c r="E325" s="190" t="str">
        <f t="shared" si="27"/>
        <v/>
      </c>
      <c r="F325" s="196" t="str">
        <f t="shared" si="24"/>
        <v/>
      </c>
      <c r="G325" s="190" t="str">
        <f t="shared" si="28"/>
        <v/>
      </c>
      <c r="H325" s="503" t="str">
        <f t="shared" si="29"/>
        <v/>
      </c>
      <c r="I325" s="49"/>
    </row>
    <row r="326" spans="2:9" ht="20.100000000000001" customHeight="1" x14ac:dyDescent="0.3">
      <c r="B326" s="198">
        <v>318</v>
      </c>
      <c r="C326" s="501" t="str">
        <f t="shared" si="25"/>
        <v/>
      </c>
      <c r="D326" s="502" t="str">
        <f t="shared" si="26"/>
        <v/>
      </c>
      <c r="E326" s="190" t="str">
        <f t="shared" si="27"/>
        <v/>
      </c>
      <c r="F326" s="196" t="str">
        <f t="shared" si="24"/>
        <v/>
      </c>
      <c r="G326" s="190" t="str">
        <f t="shared" si="28"/>
        <v/>
      </c>
      <c r="H326" s="503" t="str">
        <f t="shared" si="29"/>
        <v/>
      </c>
      <c r="I326" s="49"/>
    </row>
    <row r="327" spans="2:9" ht="20.100000000000001" customHeight="1" x14ac:dyDescent="0.3">
      <c r="B327" s="198">
        <v>319</v>
      </c>
      <c r="C327" s="501" t="str">
        <f t="shared" si="25"/>
        <v/>
      </c>
      <c r="D327" s="502" t="str">
        <f t="shared" si="26"/>
        <v/>
      </c>
      <c r="E327" s="190" t="str">
        <f t="shared" si="27"/>
        <v/>
      </c>
      <c r="F327" s="196" t="str">
        <f t="shared" si="24"/>
        <v/>
      </c>
      <c r="G327" s="190" t="str">
        <f t="shared" si="28"/>
        <v/>
      </c>
      <c r="H327" s="503" t="str">
        <f t="shared" si="29"/>
        <v/>
      </c>
      <c r="I327" s="49"/>
    </row>
    <row r="328" spans="2:9" ht="20.100000000000001" customHeight="1" x14ac:dyDescent="0.3">
      <c r="B328" s="198">
        <v>320</v>
      </c>
      <c r="C328" s="501" t="str">
        <f t="shared" si="25"/>
        <v/>
      </c>
      <c r="D328" s="502" t="str">
        <f t="shared" si="26"/>
        <v/>
      </c>
      <c r="E328" s="190" t="str">
        <f t="shared" si="27"/>
        <v/>
      </c>
      <c r="F328" s="196" t="str">
        <f t="shared" si="24"/>
        <v/>
      </c>
      <c r="G328" s="190" t="str">
        <f t="shared" si="28"/>
        <v/>
      </c>
      <c r="H328" s="503" t="str">
        <f t="shared" si="29"/>
        <v/>
      </c>
      <c r="I328" s="49"/>
    </row>
    <row r="329" spans="2:9" ht="20.100000000000001" customHeight="1" x14ac:dyDescent="0.3">
      <c r="B329" s="198">
        <v>321</v>
      </c>
      <c r="C329" s="501" t="str">
        <f t="shared" si="25"/>
        <v/>
      </c>
      <c r="D329" s="502" t="str">
        <f t="shared" si="26"/>
        <v/>
      </c>
      <c r="E329" s="190" t="str">
        <f t="shared" si="27"/>
        <v/>
      </c>
      <c r="F329" s="196" t="str">
        <f t="shared" si="24"/>
        <v/>
      </c>
      <c r="G329" s="190" t="str">
        <f t="shared" si="28"/>
        <v/>
      </c>
      <c r="H329" s="503" t="str">
        <f t="shared" si="29"/>
        <v/>
      </c>
      <c r="I329" s="49"/>
    </row>
    <row r="330" spans="2:9" ht="20.100000000000001" customHeight="1" x14ac:dyDescent="0.3">
      <c r="B330" s="198">
        <v>322</v>
      </c>
      <c r="C330" s="501" t="str">
        <f t="shared" si="25"/>
        <v/>
      </c>
      <c r="D330" s="502" t="str">
        <f t="shared" si="26"/>
        <v/>
      </c>
      <c r="E330" s="190" t="str">
        <f t="shared" si="27"/>
        <v/>
      </c>
      <c r="F330" s="196" t="str">
        <f t="shared" ref="F330:F393" si="30">IF($H$4="","",IF($F$4="원리금균등상환",IFERROR(D330+E330,""),IF($F$4="원금균등상환",D330+E330,"")))</f>
        <v/>
      </c>
      <c r="G330" s="190" t="str">
        <f t="shared" si="28"/>
        <v/>
      </c>
      <c r="H330" s="503" t="str">
        <f t="shared" si="29"/>
        <v/>
      </c>
      <c r="I330" s="49"/>
    </row>
    <row r="331" spans="2:9" ht="20.100000000000001" customHeight="1" x14ac:dyDescent="0.3">
      <c r="B331" s="198">
        <v>323</v>
      </c>
      <c r="C331" s="501" t="str">
        <f t="shared" ref="C331:C394" si="31">IF($H$4="","",IF(B331&gt;($B$6),"",IF(B331&lt;=($B$6),DATE(YEAR($G$4),MONTH($G$4)+B330,DAY($G$4)),"")))</f>
        <v/>
      </c>
      <c r="D331" s="502" t="str">
        <f t="shared" ref="D331:D394" si="32">IF($H$4="","",IF($F$4="원리금균등상환",IFERROR(IF(B331&lt;=$D$6,0,-PPMT($E$4/12,B331-$D$6,($B$6-$D$6),$D$4)),""),IF($F$4="원금균등상환",IF(B331&lt;($D$6+1),0,IF(B331&gt;$B$6,0,$D$4/($B$6-$D$6))),IF($F$4="만기일시상환",0,""))))</f>
        <v/>
      </c>
      <c r="E331" s="190" t="str">
        <f t="shared" ref="E331:E394" si="33">IF($H$4="","",IF($F$4="원리금균등상환",IFERROR(IF(B331&lt;=$D$6,$H330*($E$4/12),-IPMT($E$4/12,B331-$D$6,($B$6-$D$6),$D$4)),""),IF($F$4="원금균등상환",(H330-D331)*$E$4/12,IF($F$4="만기일시상환",IFERROR(IF(B331&lt;=$B$6,$D$4*($E$4/12),""),"")))))</f>
        <v/>
      </c>
      <c r="F331" s="196" t="str">
        <f t="shared" si="30"/>
        <v/>
      </c>
      <c r="G331" s="190" t="str">
        <f t="shared" ref="G331:G394" si="34">IFERROR(IF(B331&gt;(($D$6+$B$6)*12),"",IF(B331=1,D331,D331+G330)),"")</f>
        <v/>
      </c>
      <c r="H331" s="503" t="str">
        <f t="shared" ref="H331:H394" si="35">IFERROR(IF($H$4="","",H330-D331),"")</f>
        <v/>
      </c>
      <c r="I331" s="49"/>
    </row>
    <row r="332" spans="2:9" ht="20.100000000000001" customHeight="1" x14ac:dyDescent="0.3">
      <c r="B332" s="198">
        <v>324</v>
      </c>
      <c r="C332" s="501" t="str">
        <f t="shared" si="31"/>
        <v/>
      </c>
      <c r="D332" s="502" t="str">
        <f t="shared" si="32"/>
        <v/>
      </c>
      <c r="E332" s="190" t="str">
        <f t="shared" si="33"/>
        <v/>
      </c>
      <c r="F332" s="196" t="str">
        <f t="shared" si="30"/>
        <v/>
      </c>
      <c r="G332" s="190" t="str">
        <f t="shared" si="34"/>
        <v/>
      </c>
      <c r="H332" s="503" t="str">
        <f t="shared" si="35"/>
        <v/>
      </c>
      <c r="I332" s="49"/>
    </row>
    <row r="333" spans="2:9" ht="20.100000000000001" customHeight="1" x14ac:dyDescent="0.3">
      <c r="B333" s="198">
        <v>325</v>
      </c>
      <c r="C333" s="501" t="str">
        <f t="shared" si="31"/>
        <v/>
      </c>
      <c r="D333" s="502" t="str">
        <f t="shared" si="32"/>
        <v/>
      </c>
      <c r="E333" s="190" t="str">
        <f t="shared" si="33"/>
        <v/>
      </c>
      <c r="F333" s="196" t="str">
        <f t="shared" si="30"/>
        <v/>
      </c>
      <c r="G333" s="190" t="str">
        <f t="shared" si="34"/>
        <v/>
      </c>
      <c r="H333" s="503" t="str">
        <f t="shared" si="35"/>
        <v/>
      </c>
      <c r="I333" s="49"/>
    </row>
    <row r="334" spans="2:9" ht="20.100000000000001" customHeight="1" x14ac:dyDescent="0.3">
      <c r="B334" s="198">
        <v>326</v>
      </c>
      <c r="C334" s="501" t="str">
        <f t="shared" si="31"/>
        <v/>
      </c>
      <c r="D334" s="502" t="str">
        <f t="shared" si="32"/>
        <v/>
      </c>
      <c r="E334" s="190" t="str">
        <f t="shared" si="33"/>
        <v/>
      </c>
      <c r="F334" s="196" t="str">
        <f t="shared" si="30"/>
        <v/>
      </c>
      <c r="G334" s="190" t="str">
        <f t="shared" si="34"/>
        <v/>
      </c>
      <c r="H334" s="503" t="str">
        <f t="shared" si="35"/>
        <v/>
      </c>
      <c r="I334" s="49"/>
    </row>
    <row r="335" spans="2:9" ht="20.100000000000001" customHeight="1" x14ac:dyDescent="0.3">
      <c r="B335" s="198">
        <v>327</v>
      </c>
      <c r="C335" s="501" t="str">
        <f t="shared" si="31"/>
        <v/>
      </c>
      <c r="D335" s="502" t="str">
        <f t="shared" si="32"/>
        <v/>
      </c>
      <c r="E335" s="190" t="str">
        <f t="shared" si="33"/>
        <v/>
      </c>
      <c r="F335" s="196" t="str">
        <f t="shared" si="30"/>
        <v/>
      </c>
      <c r="G335" s="190" t="str">
        <f t="shared" si="34"/>
        <v/>
      </c>
      <c r="H335" s="503" t="str">
        <f t="shared" si="35"/>
        <v/>
      </c>
      <c r="I335" s="49"/>
    </row>
    <row r="336" spans="2:9" ht="20.100000000000001" customHeight="1" x14ac:dyDescent="0.3">
      <c r="B336" s="198">
        <v>328</v>
      </c>
      <c r="C336" s="501" t="str">
        <f t="shared" si="31"/>
        <v/>
      </c>
      <c r="D336" s="502" t="str">
        <f t="shared" si="32"/>
        <v/>
      </c>
      <c r="E336" s="190" t="str">
        <f t="shared" si="33"/>
        <v/>
      </c>
      <c r="F336" s="196" t="str">
        <f t="shared" si="30"/>
        <v/>
      </c>
      <c r="G336" s="190" t="str">
        <f t="shared" si="34"/>
        <v/>
      </c>
      <c r="H336" s="503" t="str">
        <f t="shared" si="35"/>
        <v/>
      </c>
      <c r="I336" s="49"/>
    </row>
    <row r="337" spans="2:9" ht="20.100000000000001" customHeight="1" x14ac:dyDescent="0.3">
      <c r="B337" s="198">
        <v>329</v>
      </c>
      <c r="C337" s="501" t="str">
        <f t="shared" si="31"/>
        <v/>
      </c>
      <c r="D337" s="502" t="str">
        <f t="shared" si="32"/>
        <v/>
      </c>
      <c r="E337" s="190" t="str">
        <f t="shared" si="33"/>
        <v/>
      </c>
      <c r="F337" s="196" t="str">
        <f t="shared" si="30"/>
        <v/>
      </c>
      <c r="G337" s="190" t="str">
        <f t="shared" si="34"/>
        <v/>
      </c>
      <c r="H337" s="503" t="str">
        <f t="shared" si="35"/>
        <v/>
      </c>
      <c r="I337" s="49"/>
    </row>
    <row r="338" spans="2:9" ht="20.100000000000001" customHeight="1" x14ac:dyDescent="0.3">
      <c r="B338" s="198">
        <v>330</v>
      </c>
      <c r="C338" s="501" t="str">
        <f t="shared" si="31"/>
        <v/>
      </c>
      <c r="D338" s="502" t="str">
        <f t="shared" si="32"/>
        <v/>
      </c>
      <c r="E338" s="190" t="str">
        <f t="shared" si="33"/>
        <v/>
      </c>
      <c r="F338" s="196" t="str">
        <f t="shared" si="30"/>
        <v/>
      </c>
      <c r="G338" s="190" t="str">
        <f t="shared" si="34"/>
        <v/>
      </c>
      <c r="H338" s="503" t="str">
        <f t="shared" si="35"/>
        <v/>
      </c>
      <c r="I338" s="49"/>
    </row>
    <row r="339" spans="2:9" ht="20.100000000000001" customHeight="1" x14ac:dyDescent="0.3">
      <c r="B339" s="198">
        <v>331</v>
      </c>
      <c r="C339" s="501" t="str">
        <f t="shared" si="31"/>
        <v/>
      </c>
      <c r="D339" s="502" t="str">
        <f t="shared" si="32"/>
        <v/>
      </c>
      <c r="E339" s="190" t="str">
        <f t="shared" si="33"/>
        <v/>
      </c>
      <c r="F339" s="196" t="str">
        <f t="shared" si="30"/>
        <v/>
      </c>
      <c r="G339" s="190" t="str">
        <f t="shared" si="34"/>
        <v/>
      </c>
      <c r="H339" s="503" t="str">
        <f t="shared" si="35"/>
        <v/>
      </c>
      <c r="I339" s="49"/>
    </row>
    <row r="340" spans="2:9" ht="20.100000000000001" customHeight="1" x14ac:dyDescent="0.3">
      <c r="B340" s="198">
        <v>332</v>
      </c>
      <c r="C340" s="501" t="str">
        <f t="shared" si="31"/>
        <v/>
      </c>
      <c r="D340" s="502" t="str">
        <f t="shared" si="32"/>
        <v/>
      </c>
      <c r="E340" s="190" t="str">
        <f t="shared" si="33"/>
        <v/>
      </c>
      <c r="F340" s="196" t="str">
        <f t="shared" si="30"/>
        <v/>
      </c>
      <c r="G340" s="190" t="str">
        <f t="shared" si="34"/>
        <v/>
      </c>
      <c r="H340" s="503" t="str">
        <f t="shared" si="35"/>
        <v/>
      </c>
      <c r="I340" s="49"/>
    </row>
    <row r="341" spans="2:9" ht="20.100000000000001" customHeight="1" x14ac:dyDescent="0.3">
      <c r="B341" s="198">
        <v>333</v>
      </c>
      <c r="C341" s="501" t="str">
        <f t="shared" si="31"/>
        <v/>
      </c>
      <c r="D341" s="502" t="str">
        <f t="shared" si="32"/>
        <v/>
      </c>
      <c r="E341" s="190" t="str">
        <f t="shared" si="33"/>
        <v/>
      </c>
      <c r="F341" s="196" t="str">
        <f t="shared" si="30"/>
        <v/>
      </c>
      <c r="G341" s="190" t="str">
        <f t="shared" si="34"/>
        <v/>
      </c>
      <c r="H341" s="503" t="str">
        <f t="shared" si="35"/>
        <v/>
      </c>
      <c r="I341" s="49"/>
    </row>
    <row r="342" spans="2:9" ht="20.100000000000001" customHeight="1" x14ac:dyDescent="0.3">
      <c r="B342" s="198">
        <v>334</v>
      </c>
      <c r="C342" s="501" t="str">
        <f t="shared" si="31"/>
        <v/>
      </c>
      <c r="D342" s="502" t="str">
        <f t="shared" si="32"/>
        <v/>
      </c>
      <c r="E342" s="190" t="str">
        <f t="shared" si="33"/>
        <v/>
      </c>
      <c r="F342" s="196" t="str">
        <f t="shared" si="30"/>
        <v/>
      </c>
      <c r="G342" s="190" t="str">
        <f t="shared" si="34"/>
        <v/>
      </c>
      <c r="H342" s="503" t="str">
        <f t="shared" si="35"/>
        <v/>
      </c>
      <c r="I342" s="49"/>
    </row>
    <row r="343" spans="2:9" ht="20.100000000000001" customHeight="1" x14ac:dyDescent="0.3">
      <c r="B343" s="198">
        <v>335</v>
      </c>
      <c r="C343" s="501" t="str">
        <f t="shared" si="31"/>
        <v/>
      </c>
      <c r="D343" s="502" t="str">
        <f t="shared" si="32"/>
        <v/>
      </c>
      <c r="E343" s="190" t="str">
        <f t="shared" si="33"/>
        <v/>
      </c>
      <c r="F343" s="196" t="str">
        <f t="shared" si="30"/>
        <v/>
      </c>
      <c r="G343" s="190" t="str">
        <f t="shared" si="34"/>
        <v/>
      </c>
      <c r="H343" s="503" t="str">
        <f t="shared" si="35"/>
        <v/>
      </c>
      <c r="I343" s="49"/>
    </row>
    <row r="344" spans="2:9" ht="20.100000000000001" customHeight="1" x14ac:dyDescent="0.3">
      <c r="B344" s="198">
        <v>336</v>
      </c>
      <c r="C344" s="501" t="str">
        <f t="shared" si="31"/>
        <v/>
      </c>
      <c r="D344" s="502" t="str">
        <f t="shared" si="32"/>
        <v/>
      </c>
      <c r="E344" s="190" t="str">
        <f t="shared" si="33"/>
        <v/>
      </c>
      <c r="F344" s="196" t="str">
        <f t="shared" si="30"/>
        <v/>
      </c>
      <c r="G344" s="190" t="str">
        <f t="shared" si="34"/>
        <v/>
      </c>
      <c r="H344" s="503" t="str">
        <f t="shared" si="35"/>
        <v/>
      </c>
      <c r="I344" s="49"/>
    </row>
    <row r="345" spans="2:9" ht="20.100000000000001" customHeight="1" x14ac:dyDescent="0.3">
      <c r="B345" s="198">
        <v>337</v>
      </c>
      <c r="C345" s="501" t="str">
        <f t="shared" si="31"/>
        <v/>
      </c>
      <c r="D345" s="502" t="str">
        <f t="shared" si="32"/>
        <v/>
      </c>
      <c r="E345" s="190" t="str">
        <f t="shared" si="33"/>
        <v/>
      </c>
      <c r="F345" s="196" t="str">
        <f t="shared" si="30"/>
        <v/>
      </c>
      <c r="G345" s="190" t="str">
        <f t="shared" si="34"/>
        <v/>
      </c>
      <c r="H345" s="503" t="str">
        <f t="shared" si="35"/>
        <v/>
      </c>
      <c r="I345" s="49"/>
    </row>
    <row r="346" spans="2:9" ht="20.100000000000001" customHeight="1" x14ac:dyDescent="0.3">
      <c r="B346" s="198">
        <v>338</v>
      </c>
      <c r="C346" s="501" t="str">
        <f t="shared" si="31"/>
        <v/>
      </c>
      <c r="D346" s="502" t="str">
        <f t="shared" si="32"/>
        <v/>
      </c>
      <c r="E346" s="190" t="str">
        <f t="shared" si="33"/>
        <v/>
      </c>
      <c r="F346" s="196" t="str">
        <f t="shared" si="30"/>
        <v/>
      </c>
      <c r="G346" s="190" t="str">
        <f t="shared" si="34"/>
        <v/>
      </c>
      <c r="H346" s="503" t="str">
        <f t="shared" si="35"/>
        <v/>
      </c>
      <c r="I346" s="49"/>
    </row>
    <row r="347" spans="2:9" ht="20.100000000000001" customHeight="1" x14ac:dyDescent="0.3">
      <c r="B347" s="198">
        <v>339</v>
      </c>
      <c r="C347" s="501" t="str">
        <f t="shared" si="31"/>
        <v/>
      </c>
      <c r="D347" s="502" t="str">
        <f t="shared" si="32"/>
        <v/>
      </c>
      <c r="E347" s="190" t="str">
        <f t="shared" si="33"/>
        <v/>
      </c>
      <c r="F347" s="196" t="str">
        <f t="shared" si="30"/>
        <v/>
      </c>
      <c r="G347" s="190" t="str">
        <f t="shared" si="34"/>
        <v/>
      </c>
      <c r="H347" s="503" t="str">
        <f t="shared" si="35"/>
        <v/>
      </c>
      <c r="I347" s="49"/>
    </row>
    <row r="348" spans="2:9" ht="20.100000000000001" customHeight="1" x14ac:dyDescent="0.3">
      <c r="B348" s="198">
        <v>340</v>
      </c>
      <c r="C348" s="501" t="str">
        <f t="shared" si="31"/>
        <v/>
      </c>
      <c r="D348" s="502" t="str">
        <f t="shared" si="32"/>
        <v/>
      </c>
      <c r="E348" s="190" t="str">
        <f t="shared" si="33"/>
        <v/>
      </c>
      <c r="F348" s="196" t="str">
        <f t="shared" si="30"/>
        <v/>
      </c>
      <c r="G348" s="190" t="str">
        <f t="shared" si="34"/>
        <v/>
      </c>
      <c r="H348" s="503" t="str">
        <f t="shared" si="35"/>
        <v/>
      </c>
      <c r="I348" s="49"/>
    </row>
    <row r="349" spans="2:9" ht="20.100000000000001" customHeight="1" x14ac:dyDescent="0.3">
      <c r="B349" s="198">
        <v>341</v>
      </c>
      <c r="C349" s="501" t="str">
        <f t="shared" si="31"/>
        <v/>
      </c>
      <c r="D349" s="502" t="str">
        <f t="shared" si="32"/>
        <v/>
      </c>
      <c r="E349" s="190" t="str">
        <f t="shared" si="33"/>
        <v/>
      </c>
      <c r="F349" s="196" t="str">
        <f t="shared" si="30"/>
        <v/>
      </c>
      <c r="G349" s="190" t="str">
        <f t="shared" si="34"/>
        <v/>
      </c>
      <c r="H349" s="503" t="str">
        <f t="shared" si="35"/>
        <v/>
      </c>
      <c r="I349" s="49"/>
    </row>
    <row r="350" spans="2:9" ht="20.100000000000001" customHeight="1" x14ac:dyDescent="0.3">
      <c r="B350" s="198">
        <v>342</v>
      </c>
      <c r="C350" s="501" t="str">
        <f t="shared" si="31"/>
        <v/>
      </c>
      <c r="D350" s="502" t="str">
        <f t="shared" si="32"/>
        <v/>
      </c>
      <c r="E350" s="190" t="str">
        <f t="shared" si="33"/>
        <v/>
      </c>
      <c r="F350" s="196" t="str">
        <f t="shared" si="30"/>
        <v/>
      </c>
      <c r="G350" s="190" t="str">
        <f t="shared" si="34"/>
        <v/>
      </c>
      <c r="H350" s="503" t="str">
        <f t="shared" si="35"/>
        <v/>
      </c>
      <c r="I350" s="49"/>
    </row>
    <row r="351" spans="2:9" ht="20.100000000000001" customHeight="1" x14ac:dyDescent="0.3">
      <c r="B351" s="198">
        <v>343</v>
      </c>
      <c r="C351" s="501" t="str">
        <f t="shared" si="31"/>
        <v/>
      </c>
      <c r="D351" s="502" t="str">
        <f t="shared" si="32"/>
        <v/>
      </c>
      <c r="E351" s="190" t="str">
        <f t="shared" si="33"/>
        <v/>
      </c>
      <c r="F351" s="196" t="str">
        <f t="shared" si="30"/>
        <v/>
      </c>
      <c r="G351" s="190" t="str">
        <f t="shared" si="34"/>
        <v/>
      </c>
      <c r="H351" s="503" t="str">
        <f t="shared" si="35"/>
        <v/>
      </c>
      <c r="I351" s="49"/>
    </row>
    <row r="352" spans="2:9" ht="20.100000000000001" customHeight="1" x14ac:dyDescent="0.3">
      <c r="B352" s="198">
        <v>344</v>
      </c>
      <c r="C352" s="501" t="str">
        <f t="shared" si="31"/>
        <v/>
      </c>
      <c r="D352" s="502" t="str">
        <f t="shared" si="32"/>
        <v/>
      </c>
      <c r="E352" s="190" t="str">
        <f t="shared" si="33"/>
        <v/>
      </c>
      <c r="F352" s="196" t="str">
        <f t="shared" si="30"/>
        <v/>
      </c>
      <c r="G352" s="190" t="str">
        <f t="shared" si="34"/>
        <v/>
      </c>
      <c r="H352" s="503" t="str">
        <f t="shared" si="35"/>
        <v/>
      </c>
      <c r="I352" s="49"/>
    </row>
    <row r="353" spans="2:9" ht="20.100000000000001" customHeight="1" x14ac:dyDescent="0.3">
      <c r="B353" s="198">
        <v>345</v>
      </c>
      <c r="C353" s="501" t="str">
        <f t="shared" si="31"/>
        <v/>
      </c>
      <c r="D353" s="502" t="str">
        <f t="shared" si="32"/>
        <v/>
      </c>
      <c r="E353" s="190" t="str">
        <f t="shared" si="33"/>
        <v/>
      </c>
      <c r="F353" s="196" t="str">
        <f t="shared" si="30"/>
        <v/>
      </c>
      <c r="G353" s="190" t="str">
        <f t="shared" si="34"/>
        <v/>
      </c>
      <c r="H353" s="503" t="str">
        <f t="shared" si="35"/>
        <v/>
      </c>
      <c r="I353" s="49"/>
    </row>
    <row r="354" spans="2:9" ht="20.100000000000001" customHeight="1" x14ac:dyDescent="0.3">
      <c r="B354" s="198">
        <v>346</v>
      </c>
      <c r="C354" s="501" t="str">
        <f t="shared" si="31"/>
        <v/>
      </c>
      <c r="D354" s="502" t="str">
        <f t="shared" si="32"/>
        <v/>
      </c>
      <c r="E354" s="190" t="str">
        <f t="shared" si="33"/>
        <v/>
      </c>
      <c r="F354" s="196" t="str">
        <f t="shared" si="30"/>
        <v/>
      </c>
      <c r="G354" s="190" t="str">
        <f t="shared" si="34"/>
        <v/>
      </c>
      <c r="H354" s="503" t="str">
        <f t="shared" si="35"/>
        <v/>
      </c>
      <c r="I354" s="49"/>
    </row>
    <row r="355" spans="2:9" ht="20.100000000000001" customHeight="1" x14ac:dyDescent="0.3">
      <c r="B355" s="198">
        <v>347</v>
      </c>
      <c r="C355" s="501" t="str">
        <f t="shared" si="31"/>
        <v/>
      </c>
      <c r="D355" s="502" t="str">
        <f t="shared" si="32"/>
        <v/>
      </c>
      <c r="E355" s="190" t="str">
        <f t="shared" si="33"/>
        <v/>
      </c>
      <c r="F355" s="196" t="str">
        <f t="shared" si="30"/>
        <v/>
      </c>
      <c r="G355" s="190" t="str">
        <f t="shared" si="34"/>
        <v/>
      </c>
      <c r="H355" s="503" t="str">
        <f t="shared" si="35"/>
        <v/>
      </c>
      <c r="I355" s="49"/>
    </row>
    <row r="356" spans="2:9" ht="20.100000000000001" customHeight="1" x14ac:dyDescent="0.3">
      <c r="B356" s="198">
        <v>348</v>
      </c>
      <c r="C356" s="501" t="str">
        <f t="shared" si="31"/>
        <v/>
      </c>
      <c r="D356" s="502" t="str">
        <f t="shared" si="32"/>
        <v/>
      </c>
      <c r="E356" s="190" t="str">
        <f t="shared" si="33"/>
        <v/>
      </c>
      <c r="F356" s="196" t="str">
        <f t="shared" si="30"/>
        <v/>
      </c>
      <c r="G356" s="190" t="str">
        <f t="shared" si="34"/>
        <v/>
      </c>
      <c r="H356" s="503" t="str">
        <f t="shared" si="35"/>
        <v/>
      </c>
      <c r="I356" s="49"/>
    </row>
    <row r="357" spans="2:9" ht="20.100000000000001" customHeight="1" x14ac:dyDescent="0.3">
      <c r="B357" s="198">
        <v>349</v>
      </c>
      <c r="C357" s="501" t="str">
        <f t="shared" si="31"/>
        <v/>
      </c>
      <c r="D357" s="502" t="str">
        <f t="shared" si="32"/>
        <v/>
      </c>
      <c r="E357" s="190" t="str">
        <f t="shared" si="33"/>
        <v/>
      </c>
      <c r="F357" s="196" t="str">
        <f t="shared" si="30"/>
        <v/>
      </c>
      <c r="G357" s="190" t="str">
        <f t="shared" si="34"/>
        <v/>
      </c>
      <c r="H357" s="503" t="str">
        <f t="shared" si="35"/>
        <v/>
      </c>
      <c r="I357" s="49"/>
    </row>
    <row r="358" spans="2:9" ht="20.100000000000001" customHeight="1" x14ac:dyDescent="0.3">
      <c r="B358" s="198">
        <v>350</v>
      </c>
      <c r="C358" s="501" t="str">
        <f t="shared" si="31"/>
        <v/>
      </c>
      <c r="D358" s="502" t="str">
        <f t="shared" si="32"/>
        <v/>
      </c>
      <c r="E358" s="190" t="str">
        <f t="shared" si="33"/>
        <v/>
      </c>
      <c r="F358" s="196" t="str">
        <f t="shared" si="30"/>
        <v/>
      </c>
      <c r="G358" s="190" t="str">
        <f t="shared" si="34"/>
        <v/>
      </c>
      <c r="H358" s="503" t="str">
        <f t="shared" si="35"/>
        <v/>
      </c>
      <c r="I358" s="49"/>
    </row>
    <row r="359" spans="2:9" ht="20.100000000000001" customHeight="1" x14ac:dyDescent="0.3">
      <c r="B359" s="198">
        <v>351</v>
      </c>
      <c r="C359" s="501" t="str">
        <f t="shared" si="31"/>
        <v/>
      </c>
      <c r="D359" s="502" t="str">
        <f t="shared" si="32"/>
        <v/>
      </c>
      <c r="E359" s="190" t="str">
        <f t="shared" si="33"/>
        <v/>
      </c>
      <c r="F359" s="196" t="str">
        <f t="shared" si="30"/>
        <v/>
      </c>
      <c r="G359" s="190" t="str">
        <f t="shared" si="34"/>
        <v/>
      </c>
      <c r="H359" s="503" t="str">
        <f t="shared" si="35"/>
        <v/>
      </c>
      <c r="I359" s="49"/>
    </row>
    <row r="360" spans="2:9" ht="20.100000000000001" customHeight="1" x14ac:dyDescent="0.3">
      <c r="B360" s="198">
        <v>352</v>
      </c>
      <c r="C360" s="501" t="str">
        <f t="shared" si="31"/>
        <v/>
      </c>
      <c r="D360" s="502" t="str">
        <f t="shared" si="32"/>
        <v/>
      </c>
      <c r="E360" s="190" t="str">
        <f t="shared" si="33"/>
        <v/>
      </c>
      <c r="F360" s="196" t="str">
        <f t="shared" si="30"/>
        <v/>
      </c>
      <c r="G360" s="190" t="str">
        <f t="shared" si="34"/>
        <v/>
      </c>
      <c r="H360" s="503" t="str">
        <f t="shared" si="35"/>
        <v/>
      </c>
      <c r="I360" s="49"/>
    </row>
    <row r="361" spans="2:9" ht="20.100000000000001" customHeight="1" x14ac:dyDescent="0.3">
      <c r="B361" s="198">
        <v>353</v>
      </c>
      <c r="C361" s="501" t="str">
        <f t="shared" si="31"/>
        <v/>
      </c>
      <c r="D361" s="502" t="str">
        <f t="shared" si="32"/>
        <v/>
      </c>
      <c r="E361" s="190" t="str">
        <f t="shared" si="33"/>
        <v/>
      </c>
      <c r="F361" s="196" t="str">
        <f t="shared" si="30"/>
        <v/>
      </c>
      <c r="G361" s="190" t="str">
        <f t="shared" si="34"/>
        <v/>
      </c>
      <c r="H361" s="503" t="str">
        <f t="shared" si="35"/>
        <v/>
      </c>
      <c r="I361" s="49"/>
    </row>
    <row r="362" spans="2:9" ht="20.100000000000001" customHeight="1" x14ac:dyDescent="0.3">
      <c r="B362" s="198">
        <v>354</v>
      </c>
      <c r="C362" s="501" t="str">
        <f t="shared" si="31"/>
        <v/>
      </c>
      <c r="D362" s="502" t="str">
        <f t="shared" si="32"/>
        <v/>
      </c>
      <c r="E362" s="190" t="str">
        <f t="shared" si="33"/>
        <v/>
      </c>
      <c r="F362" s="196" t="str">
        <f t="shared" si="30"/>
        <v/>
      </c>
      <c r="G362" s="190" t="str">
        <f t="shared" si="34"/>
        <v/>
      </c>
      <c r="H362" s="503" t="str">
        <f t="shared" si="35"/>
        <v/>
      </c>
      <c r="I362" s="49"/>
    </row>
    <row r="363" spans="2:9" ht="20.100000000000001" customHeight="1" x14ac:dyDescent="0.3">
      <c r="B363" s="198">
        <v>355</v>
      </c>
      <c r="C363" s="501" t="str">
        <f t="shared" si="31"/>
        <v/>
      </c>
      <c r="D363" s="502" t="str">
        <f t="shared" si="32"/>
        <v/>
      </c>
      <c r="E363" s="190" t="str">
        <f t="shared" si="33"/>
        <v/>
      </c>
      <c r="F363" s="196" t="str">
        <f t="shared" si="30"/>
        <v/>
      </c>
      <c r="G363" s="190" t="str">
        <f t="shared" si="34"/>
        <v/>
      </c>
      <c r="H363" s="503" t="str">
        <f t="shared" si="35"/>
        <v/>
      </c>
      <c r="I363" s="49"/>
    </row>
    <row r="364" spans="2:9" ht="20.100000000000001" customHeight="1" x14ac:dyDescent="0.3">
      <c r="B364" s="198">
        <v>356</v>
      </c>
      <c r="C364" s="501" t="str">
        <f t="shared" si="31"/>
        <v/>
      </c>
      <c r="D364" s="502" t="str">
        <f t="shared" si="32"/>
        <v/>
      </c>
      <c r="E364" s="190" t="str">
        <f t="shared" si="33"/>
        <v/>
      </c>
      <c r="F364" s="196" t="str">
        <f t="shared" si="30"/>
        <v/>
      </c>
      <c r="G364" s="190" t="str">
        <f t="shared" si="34"/>
        <v/>
      </c>
      <c r="H364" s="503" t="str">
        <f t="shared" si="35"/>
        <v/>
      </c>
      <c r="I364" s="49"/>
    </row>
    <row r="365" spans="2:9" ht="20.100000000000001" customHeight="1" x14ac:dyDescent="0.3">
      <c r="B365" s="198">
        <v>357</v>
      </c>
      <c r="C365" s="501" t="str">
        <f t="shared" si="31"/>
        <v/>
      </c>
      <c r="D365" s="502" t="str">
        <f t="shared" si="32"/>
        <v/>
      </c>
      <c r="E365" s="190" t="str">
        <f t="shared" si="33"/>
        <v/>
      </c>
      <c r="F365" s="196" t="str">
        <f t="shared" si="30"/>
        <v/>
      </c>
      <c r="G365" s="190" t="str">
        <f t="shared" si="34"/>
        <v/>
      </c>
      <c r="H365" s="503" t="str">
        <f t="shared" si="35"/>
        <v/>
      </c>
      <c r="I365" s="49"/>
    </row>
    <row r="366" spans="2:9" ht="20.100000000000001" customHeight="1" x14ac:dyDescent="0.3">
      <c r="B366" s="198">
        <v>358</v>
      </c>
      <c r="C366" s="501" t="str">
        <f t="shared" si="31"/>
        <v/>
      </c>
      <c r="D366" s="502" t="str">
        <f t="shared" si="32"/>
        <v/>
      </c>
      <c r="E366" s="190" t="str">
        <f t="shared" si="33"/>
        <v/>
      </c>
      <c r="F366" s="196" t="str">
        <f t="shared" si="30"/>
        <v/>
      </c>
      <c r="G366" s="190" t="str">
        <f t="shared" si="34"/>
        <v/>
      </c>
      <c r="H366" s="503" t="str">
        <f t="shared" si="35"/>
        <v/>
      </c>
      <c r="I366" s="49"/>
    </row>
    <row r="367" spans="2:9" ht="20.100000000000001" customHeight="1" x14ac:dyDescent="0.3">
      <c r="B367" s="198">
        <v>359</v>
      </c>
      <c r="C367" s="501" t="str">
        <f t="shared" si="31"/>
        <v/>
      </c>
      <c r="D367" s="502" t="str">
        <f t="shared" si="32"/>
        <v/>
      </c>
      <c r="E367" s="190" t="str">
        <f t="shared" si="33"/>
        <v/>
      </c>
      <c r="F367" s="196" t="str">
        <f t="shared" si="30"/>
        <v/>
      </c>
      <c r="G367" s="190" t="str">
        <f t="shared" si="34"/>
        <v/>
      </c>
      <c r="H367" s="503" t="str">
        <f t="shared" si="35"/>
        <v/>
      </c>
      <c r="I367" s="49"/>
    </row>
    <row r="368" spans="2:9" ht="20.100000000000001" customHeight="1" x14ac:dyDescent="0.3">
      <c r="B368" s="198">
        <v>360</v>
      </c>
      <c r="C368" s="501" t="str">
        <f t="shared" si="31"/>
        <v/>
      </c>
      <c r="D368" s="502" t="str">
        <f t="shared" si="32"/>
        <v/>
      </c>
      <c r="E368" s="190" t="str">
        <f t="shared" si="33"/>
        <v/>
      </c>
      <c r="F368" s="196" t="str">
        <f t="shared" si="30"/>
        <v/>
      </c>
      <c r="G368" s="190" t="str">
        <f t="shared" si="34"/>
        <v/>
      </c>
      <c r="H368" s="503" t="str">
        <f t="shared" si="35"/>
        <v/>
      </c>
      <c r="I368" s="49"/>
    </row>
    <row r="369" spans="2:9" ht="20.100000000000001" customHeight="1" x14ac:dyDescent="0.3">
      <c r="B369" s="198">
        <v>361</v>
      </c>
      <c r="C369" s="501" t="str">
        <f t="shared" si="31"/>
        <v/>
      </c>
      <c r="D369" s="502" t="str">
        <f t="shared" si="32"/>
        <v/>
      </c>
      <c r="E369" s="190" t="str">
        <f t="shared" si="33"/>
        <v/>
      </c>
      <c r="F369" s="196" t="str">
        <f t="shared" si="30"/>
        <v/>
      </c>
      <c r="G369" s="190" t="str">
        <f t="shared" si="34"/>
        <v/>
      </c>
      <c r="H369" s="503" t="str">
        <f t="shared" si="35"/>
        <v/>
      </c>
      <c r="I369" s="49"/>
    </row>
    <row r="370" spans="2:9" ht="20.100000000000001" customHeight="1" x14ac:dyDescent="0.3">
      <c r="B370" s="198">
        <v>362</v>
      </c>
      <c r="C370" s="501" t="str">
        <f t="shared" si="31"/>
        <v/>
      </c>
      <c r="D370" s="502" t="str">
        <f t="shared" si="32"/>
        <v/>
      </c>
      <c r="E370" s="190" t="str">
        <f t="shared" si="33"/>
        <v/>
      </c>
      <c r="F370" s="196" t="str">
        <f t="shared" si="30"/>
        <v/>
      </c>
      <c r="G370" s="190" t="str">
        <f t="shared" si="34"/>
        <v/>
      </c>
      <c r="H370" s="503" t="str">
        <f t="shared" si="35"/>
        <v/>
      </c>
      <c r="I370" s="49"/>
    </row>
    <row r="371" spans="2:9" ht="20.100000000000001" customHeight="1" x14ac:dyDescent="0.3">
      <c r="B371" s="198">
        <v>363</v>
      </c>
      <c r="C371" s="501" t="str">
        <f t="shared" si="31"/>
        <v/>
      </c>
      <c r="D371" s="502" t="str">
        <f t="shared" si="32"/>
        <v/>
      </c>
      <c r="E371" s="190" t="str">
        <f t="shared" si="33"/>
        <v/>
      </c>
      <c r="F371" s="196" t="str">
        <f t="shared" si="30"/>
        <v/>
      </c>
      <c r="G371" s="190" t="str">
        <f t="shared" si="34"/>
        <v/>
      </c>
      <c r="H371" s="503" t="str">
        <f t="shared" si="35"/>
        <v/>
      </c>
      <c r="I371" s="49"/>
    </row>
    <row r="372" spans="2:9" ht="20.100000000000001" customHeight="1" x14ac:dyDescent="0.3">
      <c r="B372" s="198">
        <v>364</v>
      </c>
      <c r="C372" s="501" t="str">
        <f t="shared" si="31"/>
        <v/>
      </c>
      <c r="D372" s="502" t="str">
        <f t="shared" si="32"/>
        <v/>
      </c>
      <c r="E372" s="190" t="str">
        <f t="shared" si="33"/>
        <v/>
      </c>
      <c r="F372" s="196" t="str">
        <f t="shared" si="30"/>
        <v/>
      </c>
      <c r="G372" s="190" t="str">
        <f t="shared" si="34"/>
        <v/>
      </c>
      <c r="H372" s="503" t="str">
        <f t="shared" si="35"/>
        <v/>
      </c>
      <c r="I372" s="49"/>
    </row>
    <row r="373" spans="2:9" ht="20.100000000000001" customHeight="1" x14ac:dyDescent="0.3">
      <c r="B373" s="198">
        <v>365</v>
      </c>
      <c r="C373" s="501" t="str">
        <f t="shared" si="31"/>
        <v/>
      </c>
      <c r="D373" s="502" t="str">
        <f t="shared" si="32"/>
        <v/>
      </c>
      <c r="E373" s="190" t="str">
        <f t="shared" si="33"/>
        <v/>
      </c>
      <c r="F373" s="196" t="str">
        <f t="shared" si="30"/>
        <v/>
      </c>
      <c r="G373" s="190" t="str">
        <f t="shared" si="34"/>
        <v/>
      </c>
      <c r="H373" s="503" t="str">
        <f t="shared" si="35"/>
        <v/>
      </c>
      <c r="I373" s="49"/>
    </row>
    <row r="374" spans="2:9" ht="20.100000000000001" customHeight="1" x14ac:dyDescent="0.3">
      <c r="B374" s="198">
        <v>366</v>
      </c>
      <c r="C374" s="501" t="str">
        <f t="shared" si="31"/>
        <v/>
      </c>
      <c r="D374" s="502" t="str">
        <f t="shared" si="32"/>
        <v/>
      </c>
      <c r="E374" s="190" t="str">
        <f t="shared" si="33"/>
        <v/>
      </c>
      <c r="F374" s="196" t="str">
        <f t="shared" si="30"/>
        <v/>
      </c>
      <c r="G374" s="190" t="str">
        <f t="shared" si="34"/>
        <v/>
      </c>
      <c r="H374" s="503" t="str">
        <f t="shared" si="35"/>
        <v/>
      </c>
      <c r="I374" s="49"/>
    </row>
    <row r="375" spans="2:9" ht="20.100000000000001" customHeight="1" x14ac:dyDescent="0.3">
      <c r="B375" s="198">
        <v>367</v>
      </c>
      <c r="C375" s="501" t="str">
        <f t="shared" si="31"/>
        <v/>
      </c>
      <c r="D375" s="502" t="str">
        <f t="shared" si="32"/>
        <v/>
      </c>
      <c r="E375" s="190" t="str">
        <f t="shared" si="33"/>
        <v/>
      </c>
      <c r="F375" s="196" t="str">
        <f t="shared" si="30"/>
        <v/>
      </c>
      <c r="G375" s="190" t="str">
        <f t="shared" si="34"/>
        <v/>
      </c>
      <c r="H375" s="503" t="str">
        <f t="shared" si="35"/>
        <v/>
      </c>
      <c r="I375" s="49"/>
    </row>
    <row r="376" spans="2:9" ht="20.100000000000001" customHeight="1" x14ac:dyDescent="0.3">
      <c r="B376" s="198">
        <v>368</v>
      </c>
      <c r="C376" s="501" t="str">
        <f t="shared" si="31"/>
        <v/>
      </c>
      <c r="D376" s="502" t="str">
        <f t="shared" si="32"/>
        <v/>
      </c>
      <c r="E376" s="190" t="str">
        <f t="shared" si="33"/>
        <v/>
      </c>
      <c r="F376" s="196" t="str">
        <f t="shared" si="30"/>
        <v/>
      </c>
      <c r="G376" s="190" t="str">
        <f t="shared" si="34"/>
        <v/>
      </c>
      <c r="H376" s="503" t="str">
        <f t="shared" si="35"/>
        <v/>
      </c>
      <c r="I376" s="49"/>
    </row>
    <row r="377" spans="2:9" ht="20.100000000000001" customHeight="1" x14ac:dyDescent="0.3">
      <c r="B377" s="198">
        <v>369</v>
      </c>
      <c r="C377" s="501" t="str">
        <f t="shared" si="31"/>
        <v/>
      </c>
      <c r="D377" s="502" t="str">
        <f t="shared" si="32"/>
        <v/>
      </c>
      <c r="E377" s="190" t="str">
        <f t="shared" si="33"/>
        <v/>
      </c>
      <c r="F377" s="196" t="str">
        <f t="shared" si="30"/>
        <v/>
      </c>
      <c r="G377" s="190" t="str">
        <f t="shared" si="34"/>
        <v/>
      </c>
      <c r="H377" s="503" t="str">
        <f t="shared" si="35"/>
        <v/>
      </c>
      <c r="I377" s="49"/>
    </row>
    <row r="378" spans="2:9" ht="20.100000000000001" customHeight="1" x14ac:dyDescent="0.3">
      <c r="B378" s="198">
        <v>370</v>
      </c>
      <c r="C378" s="501" t="str">
        <f t="shared" si="31"/>
        <v/>
      </c>
      <c r="D378" s="502" t="str">
        <f t="shared" si="32"/>
        <v/>
      </c>
      <c r="E378" s="190" t="str">
        <f t="shared" si="33"/>
        <v/>
      </c>
      <c r="F378" s="196" t="str">
        <f t="shared" si="30"/>
        <v/>
      </c>
      <c r="G378" s="190" t="str">
        <f t="shared" si="34"/>
        <v/>
      </c>
      <c r="H378" s="503" t="str">
        <f t="shared" si="35"/>
        <v/>
      </c>
      <c r="I378" s="49"/>
    </row>
    <row r="379" spans="2:9" ht="20.100000000000001" customHeight="1" x14ac:dyDescent="0.3">
      <c r="B379" s="198">
        <v>371</v>
      </c>
      <c r="C379" s="501" t="str">
        <f t="shared" si="31"/>
        <v/>
      </c>
      <c r="D379" s="502" t="str">
        <f t="shared" si="32"/>
        <v/>
      </c>
      <c r="E379" s="190" t="str">
        <f t="shared" si="33"/>
        <v/>
      </c>
      <c r="F379" s="196" t="str">
        <f t="shared" si="30"/>
        <v/>
      </c>
      <c r="G379" s="190" t="str">
        <f t="shared" si="34"/>
        <v/>
      </c>
      <c r="H379" s="503" t="str">
        <f t="shared" si="35"/>
        <v/>
      </c>
      <c r="I379" s="49"/>
    </row>
    <row r="380" spans="2:9" ht="20.100000000000001" customHeight="1" x14ac:dyDescent="0.3">
      <c r="B380" s="198">
        <v>372</v>
      </c>
      <c r="C380" s="501" t="str">
        <f t="shared" si="31"/>
        <v/>
      </c>
      <c r="D380" s="502" t="str">
        <f t="shared" si="32"/>
        <v/>
      </c>
      <c r="E380" s="190" t="str">
        <f t="shared" si="33"/>
        <v/>
      </c>
      <c r="F380" s="196" t="str">
        <f t="shared" si="30"/>
        <v/>
      </c>
      <c r="G380" s="190" t="str">
        <f t="shared" si="34"/>
        <v/>
      </c>
      <c r="H380" s="503" t="str">
        <f t="shared" si="35"/>
        <v/>
      </c>
      <c r="I380" s="49"/>
    </row>
    <row r="381" spans="2:9" ht="20.100000000000001" customHeight="1" x14ac:dyDescent="0.3">
      <c r="B381" s="198">
        <v>373</v>
      </c>
      <c r="C381" s="501" t="str">
        <f t="shared" si="31"/>
        <v/>
      </c>
      <c r="D381" s="502" t="str">
        <f t="shared" si="32"/>
        <v/>
      </c>
      <c r="E381" s="190" t="str">
        <f t="shared" si="33"/>
        <v/>
      </c>
      <c r="F381" s="196" t="str">
        <f t="shared" si="30"/>
        <v/>
      </c>
      <c r="G381" s="190" t="str">
        <f t="shared" si="34"/>
        <v/>
      </c>
      <c r="H381" s="503" t="str">
        <f t="shared" si="35"/>
        <v/>
      </c>
      <c r="I381" s="49"/>
    </row>
    <row r="382" spans="2:9" ht="20.100000000000001" customHeight="1" x14ac:dyDescent="0.3">
      <c r="B382" s="198">
        <v>374</v>
      </c>
      <c r="C382" s="501" t="str">
        <f t="shared" si="31"/>
        <v/>
      </c>
      <c r="D382" s="502" t="str">
        <f t="shared" si="32"/>
        <v/>
      </c>
      <c r="E382" s="190" t="str">
        <f t="shared" si="33"/>
        <v/>
      </c>
      <c r="F382" s="196" t="str">
        <f t="shared" si="30"/>
        <v/>
      </c>
      <c r="G382" s="190" t="str">
        <f t="shared" si="34"/>
        <v/>
      </c>
      <c r="H382" s="503" t="str">
        <f t="shared" si="35"/>
        <v/>
      </c>
      <c r="I382" s="49"/>
    </row>
    <row r="383" spans="2:9" ht="20.100000000000001" customHeight="1" x14ac:dyDescent="0.3">
      <c r="B383" s="198">
        <v>375</v>
      </c>
      <c r="C383" s="501" t="str">
        <f t="shared" si="31"/>
        <v/>
      </c>
      <c r="D383" s="502" t="str">
        <f t="shared" si="32"/>
        <v/>
      </c>
      <c r="E383" s="190" t="str">
        <f t="shared" si="33"/>
        <v/>
      </c>
      <c r="F383" s="196" t="str">
        <f t="shared" si="30"/>
        <v/>
      </c>
      <c r="G383" s="190" t="str">
        <f t="shared" si="34"/>
        <v/>
      </c>
      <c r="H383" s="503" t="str">
        <f t="shared" si="35"/>
        <v/>
      </c>
      <c r="I383" s="49"/>
    </row>
    <row r="384" spans="2:9" ht="20.100000000000001" customHeight="1" x14ac:dyDescent="0.3">
      <c r="B384" s="198">
        <v>376</v>
      </c>
      <c r="C384" s="501" t="str">
        <f t="shared" si="31"/>
        <v/>
      </c>
      <c r="D384" s="502" t="str">
        <f t="shared" si="32"/>
        <v/>
      </c>
      <c r="E384" s="190" t="str">
        <f t="shared" si="33"/>
        <v/>
      </c>
      <c r="F384" s="196" t="str">
        <f t="shared" si="30"/>
        <v/>
      </c>
      <c r="G384" s="190" t="str">
        <f t="shared" si="34"/>
        <v/>
      </c>
      <c r="H384" s="503" t="str">
        <f t="shared" si="35"/>
        <v/>
      </c>
      <c r="I384" s="49"/>
    </row>
    <row r="385" spans="2:9" ht="20.100000000000001" customHeight="1" x14ac:dyDescent="0.3">
      <c r="B385" s="198">
        <v>377</v>
      </c>
      <c r="C385" s="501" t="str">
        <f t="shared" si="31"/>
        <v/>
      </c>
      <c r="D385" s="502" t="str">
        <f t="shared" si="32"/>
        <v/>
      </c>
      <c r="E385" s="190" t="str">
        <f t="shared" si="33"/>
        <v/>
      </c>
      <c r="F385" s="196" t="str">
        <f t="shared" si="30"/>
        <v/>
      </c>
      <c r="G385" s="190" t="str">
        <f t="shared" si="34"/>
        <v/>
      </c>
      <c r="H385" s="503" t="str">
        <f t="shared" si="35"/>
        <v/>
      </c>
      <c r="I385" s="49"/>
    </row>
    <row r="386" spans="2:9" ht="20.100000000000001" customHeight="1" x14ac:dyDescent="0.3">
      <c r="B386" s="198">
        <v>378</v>
      </c>
      <c r="C386" s="501" t="str">
        <f t="shared" si="31"/>
        <v/>
      </c>
      <c r="D386" s="502" t="str">
        <f t="shared" si="32"/>
        <v/>
      </c>
      <c r="E386" s="190" t="str">
        <f t="shared" si="33"/>
        <v/>
      </c>
      <c r="F386" s="196" t="str">
        <f t="shared" si="30"/>
        <v/>
      </c>
      <c r="G386" s="190" t="str">
        <f t="shared" si="34"/>
        <v/>
      </c>
      <c r="H386" s="503" t="str">
        <f t="shared" si="35"/>
        <v/>
      </c>
      <c r="I386" s="49"/>
    </row>
    <row r="387" spans="2:9" ht="20.100000000000001" customHeight="1" x14ac:dyDescent="0.3">
      <c r="B387" s="198">
        <v>379</v>
      </c>
      <c r="C387" s="501" t="str">
        <f t="shared" si="31"/>
        <v/>
      </c>
      <c r="D387" s="502" t="str">
        <f t="shared" si="32"/>
        <v/>
      </c>
      <c r="E387" s="190" t="str">
        <f t="shared" si="33"/>
        <v/>
      </c>
      <c r="F387" s="196" t="str">
        <f t="shared" si="30"/>
        <v/>
      </c>
      <c r="G387" s="190" t="str">
        <f t="shared" si="34"/>
        <v/>
      </c>
      <c r="H387" s="503" t="str">
        <f t="shared" si="35"/>
        <v/>
      </c>
      <c r="I387" s="49"/>
    </row>
    <row r="388" spans="2:9" ht="20.100000000000001" customHeight="1" x14ac:dyDescent="0.3">
      <c r="B388" s="198">
        <v>380</v>
      </c>
      <c r="C388" s="501" t="str">
        <f t="shared" si="31"/>
        <v/>
      </c>
      <c r="D388" s="502" t="str">
        <f t="shared" si="32"/>
        <v/>
      </c>
      <c r="E388" s="190" t="str">
        <f t="shared" si="33"/>
        <v/>
      </c>
      <c r="F388" s="196" t="str">
        <f t="shared" si="30"/>
        <v/>
      </c>
      <c r="G388" s="190" t="str">
        <f t="shared" si="34"/>
        <v/>
      </c>
      <c r="H388" s="503" t="str">
        <f t="shared" si="35"/>
        <v/>
      </c>
      <c r="I388" s="49"/>
    </row>
    <row r="389" spans="2:9" ht="20.100000000000001" customHeight="1" x14ac:dyDescent="0.3">
      <c r="B389" s="198">
        <v>381</v>
      </c>
      <c r="C389" s="501" t="str">
        <f t="shared" si="31"/>
        <v/>
      </c>
      <c r="D389" s="502" t="str">
        <f t="shared" si="32"/>
        <v/>
      </c>
      <c r="E389" s="190" t="str">
        <f t="shared" si="33"/>
        <v/>
      </c>
      <c r="F389" s="196" t="str">
        <f t="shared" si="30"/>
        <v/>
      </c>
      <c r="G389" s="190" t="str">
        <f t="shared" si="34"/>
        <v/>
      </c>
      <c r="H389" s="503" t="str">
        <f t="shared" si="35"/>
        <v/>
      </c>
      <c r="I389" s="49"/>
    </row>
    <row r="390" spans="2:9" ht="20.100000000000001" customHeight="1" x14ac:dyDescent="0.3">
      <c r="B390" s="198">
        <v>382</v>
      </c>
      <c r="C390" s="501" t="str">
        <f t="shared" si="31"/>
        <v/>
      </c>
      <c r="D390" s="502" t="str">
        <f t="shared" si="32"/>
        <v/>
      </c>
      <c r="E390" s="190" t="str">
        <f t="shared" si="33"/>
        <v/>
      </c>
      <c r="F390" s="196" t="str">
        <f t="shared" si="30"/>
        <v/>
      </c>
      <c r="G390" s="190" t="str">
        <f t="shared" si="34"/>
        <v/>
      </c>
      <c r="H390" s="503" t="str">
        <f t="shared" si="35"/>
        <v/>
      </c>
      <c r="I390" s="49"/>
    </row>
    <row r="391" spans="2:9" ht="20.100000000000001" customHeight="1" x14ac:dyDescent="0.3">
      <c r="B391" s="198">
        <v>383</v>
      </c>
      <c r="C391" s="501" t="str">
        <f t="shared" si="31"/>
        <v/>
      </c>
      <c r="D391" s="502" t="str">
        <f t="shared" si="32"/>
        <v/>
      </c>
      <c r="E391" s="190" t="str">
        <f t="shared" si="33"/>
        <v/>
      </c>
      <c r="F391" s="196" t="str">
        <f t="shared" si="30"/>
        <v/>
      </c>
      <c r="G391" s="190" t="str">
        <f t="shared" si="34"/>
        <v/>
      </c>
      <c r="H391" s="503" t="str">
        <f t="shared" si="35"/>
        <v/>
      </c>
      <c r="I391" s="49"/>
    </row>
    <row r="392" spans="2:9" ht="20.100000000000001" customHeight="1" x14ac:dyDescent="0.3">
      <c r="B392" s="198">
        <v>384</v>
      </c>
      <c r="C392" s="501" t="str">
        <f t="shared" si="31"/>
        <v/>
      </c>
      <c r="D392" s="502" t="str">
        <f t="shared" si="32"/>
        <v/>
      </c>
      <c r="E392" s="190" t="str">
        <f t="shared" si="33"/>
        <v/>
      </c>
      <c r="F392" s="196" t="str">
        <f t="shared" si="30"/>
        <v/>
      </c>
      <c r="G392" s="190" t="str">
        <f t="shared" si="34"/>
        <v/>
      </c>
      <c r="H392" s="503" t="str">
        <f t="shared" si="35"/>
        <v/>
      </c>
      <c r="I392" s="49"/>
    </row>
    <row r="393" spans="2:9" ht="20.100000000000001" customHeight="1" x14ac:dyDescent="0.3">
      <c r="B393" s="198">
        <v>385</v>
      </c>
      <c r="C393" s="501" t="str">
        <f t="shared" si="31"/>
        <v/>
      </c>
      <c r="D393" s="502" t="str">
        <f t="shared" si="32"/>
        <v/>
      </c>
      <c r="E393" s="190" t="str">
        <f t="shared" si="33"/>
        <v/>
      </c>
      <c r="F393" s="196" t="str">
        <f t="shared" si="30"/>
        <v/>
      </c>
      <c r="G393" s="190" t="str">
        <f t="shared" si="34"/>
        <v/>
      </c>
      <c r="H393" s="503" t="str">
        <f t="shared" si="35"/>
        <v/>
      </c>
      <c r="I393" s="49"/>
    </row>
    <row r="394" spans="2:9" ht="20.100000000000001" customHeight="1" x14ac:dyDescent="0.3">
      <c r="B394" s="198">
        <v>386</v>
      </c>
      <c r="C394" s="501" t="str">
        <f t="shared" si="31"/>
        <v/>
      </c>
      <c r="D394" s="502" t="str">
        <f t="shared" si="32"/>
        <v/>
      </c>
      <c r="E394" s="190" t="str">
        <f t="shared" si="33"/>
        <v/>
      </c>
      <c r="F394" s="196" t="str">
        <f t="shared" ref="F394:F457" si="36">IF($H$4="","",IF($F$4="원리금균등상환",IFERROR(D394+E394,""),IF($F$4="원금균등상환",D394+E394,"")))</f>
        <v/>
      </c>
      <c r="G394" s="190" t="str">
        <f t="shared" si="34"/>
        <v/>
      </c>
      <c r="H394" s="503" t="str">
        <f t="shared" si="35"/>
        <v/>
      </c>
      <c r="I394" s="49"/>
    </row>
    <row r="395" spans="2:9" ht="20.100000000000001" customHeight="1" x14ac:dyDescent="0.3">
      <c r="B395" s="198">
        <v>387</v>
      </c>
      <c r="C395" s="501" t="str">
        <f t="shared" ref="C395:C458" si="37">IF($H$4="","",IF(B395&gt;($B$6),"",IF(B395&lt;=($B$6),DATE(YEAR($G$4),MONTH($G$4)+B394,DAY($G$4)),"")))</f>
        <v/>
      </c>
      <c r="D395" s="502" t="str">
        <f t="shared" ref="D395:D458" si="38">IF($H$4="","",IF($F$4="원리금균등상환",IFERROR(IF(B395&lt;=$D$6,0,-PPMT($E$4/12,B395-$D$6,($B$6-$D$6),$D$4)),""),IF($F$4="원금균등상환",IF(B395&lt;($D$6+1),0,IF(B395&gt;$B$6,0,$D$4/($B$6-$D$6))),IF($F$4="만기일시상환",0,""))))</f>
        <v/>
      </c>
      <c r="E395" s="190" t="str">
        <f t="shared" ref="E395:E458" si="39">IF($H$4="","",IF($F$4="원리금균등상환",IFERROR(IF(B395&lt;=$D$6,$H394*($E$4/12),-IPMT($E$4/12,B395-$D$6,($B$6-$D$6),$D$4)),""),IF($F$4="원금균등상환",(H394-D395)*$E$4/12,IF($F$4="만기일시상환",IFERROR(IF(B395&lt;=$B$6,$D$4*($E$4/12),""),"")))))</f>
        <v/>
      </c>
      <c r="F395" s="196" t="str">
        <f t="shared" si="36"/>
        <v/>
      </c>
      <c r="G395" s="190" t="str">
        <f t="shared" ref="G395:G458" si="40">IFERROR(IF(B395&gt;(($D$6+$B$6)*12),"",IF(B395=1,D395,D395+G394)),"")</f>
        <v/>
      </c>
      <c r="H395" s="503" t="str">
        <f t="shared" ref="H395:H458" si="41">IFERROR(IF($H$4="","",H394-D395),"")</f>
        <v/>
      </c>
      <c r="I395" s="49"/>
    </row>
    <row r="396" spans="2:9" ht="20.100000000000001" customHeight="1" x14ac:dyDescent="0.3">
      <c r="B396" s="198">
        <v>388</v>
      </c>
      <c r="C396" s="501" t="str">
        <f t="shared" si="37"/>
        <v/>
      </c>
      <c r="D396" s="502" t="str">
        <f t="shared" si="38"/>
        <v/>
      </c>
      <c r="E396" s="190" t="str">
        <f t="shared" si="39"/>
        <v/>
      </c>
      <c r="F396" s="196" t="str">
        <f t="shared" si="36"/>
        <v/>
      </c>
      <c r="G396" s="190" t="str">
        <f t="shared" si="40"/>
        <v/>
      </c>
      <c r="H396" s="503" t="str">
        <f t="shared" si="41"/>
        <v/>
      </c>
      <c r="I396" s="49"/>
    </row>
    <row r="397" spans="2:9" ht="20.100000000000001" customHeight="1" x14ac:dyDescent="0.3">
      <c r="B397" s="198">
        <v>389</v>
      </c>
      <c r="C397" s="501" t="str">
        <f t="shared" si="37"/>
        <v/>
      </c>
      <c r="D397" s="502" t="str">
        <f t="shared" si="38"/>
        <v/>
      </c>
      <c r="E397" s="190" t="str">
        <f t="shared" si="39"/>
        <v/>
      </c>
      <c r="F397" s="196" t="str">
        <f t="shared" si="36"/>
        <v/>
      </c>
      <c r="G397" s="190" t="str">
        <f t="shared" si="40"/>
        <v/>
      </c>
      <c r="H397" s="503" t="str">
        <f t="shared" si="41"/>
        <v/>
      </c>
      <c r="I397" s="49"/>
    </row>
    <row r="398" spans="2:9" ht="20.100000000000001" customHeight="1" x14ac:dyDescent="0.3">
      <c r="B398" s="198">
        <v>390</v>
      </c>
      <c r="C398" s="501" t="str">
        <f t="shared" si="37"/>
        <v/>
      </c>
      <c r="D398" s="502" t="str">
        <f t="shared" si="38"/>
        <v/>
      </c>
      <c r="E398" s="190" t="str">
        <f t="shared" si="39"/>
        <v/>
      </c>
      <c r="F398" s="196" t="str">
        <f t="shared" si="36"/>
        <v/>
      </c>
      <c r="G398" s="190" t="str">
        <f t="shared" si="40"/>
        <v/>
      </c>
      <c r="H398" s="503" t="str">
        <f t="shared" si="41"/>
        <v/>
      </c>
      <c r="I398" s="49"/>
    </row>
    <row r="399" spans="2:9" ht="20.100000000000001" customHeight="1" x14ac:dyDescent="0.3">
      <c r="B399" s="198">
        <v>391</v>
      </c>
      <c r="C399" s="501" t="str">
        <f t="shared" si="37"/>
        <v/>
      </c>
      <c r="D399" s="502" t="str">
        <f t="shared" si="38"/>
        <v/>
      </c>
      <c r="E399" s="190" t="str">
        <f t="shared" si="39"/>
        <v/>
      </c>
      <c r="F399" s="196" t="str">
        <f t="shared" si="36"/>
        <v/>
      </c>
      <c r="G399" s="190" t="str">
        <f t="shared" si="40"/>
        <v/>
      </c>
      <c r="H399" s="503" t="str">
        <f t="shared" si="41"/>
        <v/>
      </c>
      <c r="I399" s="49"/>
    </row>
    <row r="400" spans="2:9" ht="20.100000000000001" customHeight="1" x14ac:dyDescent="0.3">
      <c r="B400" s="198">
        <v>392</v>
      </c>
      <c r="C400" s="501" t="str">
        <f t="shared" si="37"/>
        <v/>
      </c>
      <c r="D400" s="502" t="str">
        <f t="shared" si="38"/>
        <v/>
      </c>
      <c r="E400" s="190" t="str">
        <f t="shared" si="39"/>
        <v/>
      </c>
      <c r="F400" s="196" t="str">
        <f t="shared" si="36"/>
        <v/>
      </c>
      <c r="G400" s="190" t="str">
        <f t="shared" si="40"/>
        <v/>
      </c>
      <c r="H400" s="503" t="str">
        <f t="shared" si="41"/>
        <v/>
      </c>
      <c r="I400" s="49"/>
    </row>
    <row r="401" spans="2:9" ht="20.100000000000001" customHeight="1" x14ac:dyDescent="0.3">
      <c r="B401" s="198">
        <v>393</v>
      </c>
      <c r="C401" s="501" t="str">
        <f t="shared" si="37"/>
        <v/>
      </c>
      <c r="D401" s="502" t="str">
        <f t="shared" si="38"/>
        <v/>
      </c>
      <c r="E401" s="190" t="str">
        <f t="shared" si="39"/>
        <v/>
      </c>
      <c r="F401" s="196" t="str">
        <f t="shared" si="36"/>
        <v/>
      </c>
      <c r="G401" s="190" t="str">
        <f t="shared" si="40"/>
        <v/>
      </c>
      <c r="H401" s="503" t="str">
        <f t="shared" si="41"/>
        <v/>
      </c>
      <c r="I401" s="49"/>
    </row>
    <row r="402" spans="2:9" ht="20.100000000000001" customHeight="1" x14ac:dyDescent="0.3">
      <c r="B402" s="198">
        <v>394</v>
      </c>
      <c r="C402" s="501" t="str">
        <f t="shared" si="37"/>
        <v/>
      </c>
      <c r="D402" s="502" t="str">
        <f t="shared" si="38"/>
        <v/>
      </c>
      <c r="E402" s="190" t="str">
        <f t="shared" si="39"/>
        <v/>
      </c>
      <c r="F402" s="196" t="str">
        <f t="shared" si="36"/>
        <v/>
      </c>
      <c r="G402" s="190" t="str">
        <f t="shared" si="40"/>
        <v/>
      </c>
      <c r="H402" s="503" t="str">
        <f t="shared" si="41"/>
        <v/>
      </c>
      <c r="I402" s="49"/>
    </row>
    <row r="403" spans="2:9" ht="20.100000000000001" customHeight="1" x14ac:dyDescent="0.3">
      <c r="B403" s="198">
        <v>395</v>
      </c>
      <c r="C403" s="501" t="str">
        <f t="shared" si="37"/>
        <v/>
      </c>
      <c r="D403" s="502" t="str">
        <f t="shared" si="38"/>
        <v/>
      </c>
      <c r="E403" s="190" t="str">
        <f t="shared" si="39"/>
        <v/>
      </c>
      <c r="F403" s="196" t="str">
        <f t="shared" si="36"/>
        <v/>
      </c>
      <c r="G403" s="190" t="str">
        <f t="shared" si="40"/>
        <v/>
      </c>
      <c r="H403" s="503" t="str">
        <f t="shared" si="41"/>
        <v/>
      </c>
      <c r="I403" s="49"/>
    </row>
    <row r="404" spans="2:9" ht="20.100000000000001" customHeight="1" x14ac:dyDescent="0.3">
      <c r="B404" s="198">
        <v>396</v>
      </c>
      <c r="C404" s="501" t="str">
        <f t="shared" si="37"/>
        <v/>
      </c>
      <c r="D404" s="502" t="str">
        <f t="shared" si="38"/>
        <v/>
      </c>
      <c r="E404" s="190" t="str">
        <f t="shared" si="39"/>
        <v/>
      </c>
      <c r="F404" s="196" t="str">
        <f t="shared" si="36"/>
        <v/>
      </c>
      <c r="G404" s="190" t="str">
        <f t="shared" si="40"/>
        <v/>
      </c>
      <c r="H404" s="503" t="str">
        <f t="shared" si="41"/>
        <v/>
      </c>
      <c r="I404" s="49"/>
    </row>
    <row r="405" spans="2:9" ht="20.100000000000001" customHeight="1" x14ac:dyDescent="0.3">
      <c r="B405" s="198">
        <v>397</v>
      </c>
      <c r="C405" s="501" t="str">
        <f t="shared" si="37"/>
        <v/>
      </c>
      <c r="D405" s="502" t="str">
        <f t="shared" si="38"/>
        <v/>
      </c>
      <c r="E405" s="190" t="str">
        <f t="shared" si="39"/>
        <v/>
      </c>
      <c r="F405" s="196" t="str">
        <f t="shared" si="36"/>
        <v/>
      </c>
      <c r="G405" s="190" t="str">
        <f t="shared" si="40"/>
        <v/>
      </c>
      <c r="H405" s="503" t="str">
        <f t="shared" si="41"/>
        <v/>
      </c>
      <c r="I405" s="49"/>
    </row>
    <row r="406" spans="2:9" ht="20.100000000000001" customHeight="1" x14ac:dyDescent="0.3">
      <c r="B406" s="198">
        <v>398</v>
      </c>
      <c r="C406" s="501" t="str">
        <f t="shared" si="37"/>
        <v/>
      </c>
      <c r="D406" s="502" t="str">
        <f t="shared" si="38"/>
        <v/>
      </c>
      <c r="E406" s="190" t="str">
        <f t="shared" si="39"/>
        <v/>
      </c>
      <c r="F406" s="196" t="str">
        <f t="shared" si="36"/>
        <v/>
      </c>
      <c r="G406" s="190" t="str">
        <f t="shared" si="40"/>
        <v/>
      </c>
      <c r="H406" s="503" t="str">
        <f t="shared" si="41"/>
        <v/>
      </c>
      <c r="I406" s="49"/>
    </row>
    <row r="407" spans="2:9" ht="20.100000000000001" customHeight="1" x14ac:dyDescent="0.3">
      <c r="B407" s="198">
        <v>399</v>
      </c>
      <c r="C407" s="501" t="str">
        <f t="shared" si="37"/>
        <v/>
      </c>
      <c r="D407" s="502" t="str">
        <f t="shared" si="38"/>
        <v/>
      </c>
      <c r="E407" s="190" t="str">
        <f t="shared" si="39"/>
        <v/>
      </c>
      <c r="F407" s="196" t="str">
        <f t="shared" si="36"/>
        <v/>
      </c>
      <c r="G407" s="190" t="str">
        <f t="shared" si="40"/>
        <v/>
      </c>
      <c r="H407" s="503" t="str">
        <f t="shared" si="41"/>
        <v/>
      </c>
      <c r="I407" s="49"/>
    </row>
    <row r="408" spans="2:9" ht="20.100000000000001" customHeight="1" x14ac:dyDescent="0.3">
      <c r="B408" s="198">
        <v>400</v>
      </c>
      <c r="C408" s="501" t="str">
        <f t="shared" si="37"/>
        <v/>
      </c>
      <c r="D408" s="502" t="str">
        <f t="shared" si="38"/>
        <v/>
      </c>
      <c r="E408" s="190" t="str">
        <f t="shared" si="39"/>
        <v/>
      </c>
      <c r="F408" s="196" t="str">
        <f t="shared" si="36"/>
        <v/>
      </c>
      <c r="G408" s="190" t="str">
        <f t="shared" si="40"/>
        <v/>
      </c>
      <c r="H408" s="503" t="str">
        <f t="shared" si="41"/>
        <v/>
      </c>
      <c r="I408" s="49"/>
    </row>
    <row r="409" spans="2:9" ht="20.100000000000001" customHeight="1" x14ac:dyDescent="0.3">
      <c r="B409" s="198">
        <v>401</v>
      </c>
      <c r="C409" s="501" t="str">
        <f t="shared" si="37"/>
        <v/>
      </c>
      <c r="D409" s="502" t="str">
        <f t="shared" si="38"/>
        <v/>
      </c>
      <c r="E409" s="190" t="str">
        <f t="shared" si="39"/>
        <v/>
      </c>
      <c r="F409" s="196" t="str">
        <f t="shared" si="36"/>
        <v/>
      </c>
      <c r="G409" s="190" t="str">
        <f t="shared" si="40"/>
        <v/>
      </c>
      <c r="H409" s="503" t="str">
        <f t="shared" si="41"/>
        <v/>
      </c>
      <c r="I409" s="49"/>
    </row>
    <row r="410" spans="2:9" ht="20.100000000000001" customHeight="1" x14ac:dyDescent="0.3">
      <c r="B410" s="198">
        <v>402</v>
      </c>
      <c r="C410" s="501" t="str">
        <f t="shared" si="37"/>
        <v/>
      </c>
      <c r="D410" s="502" t="str">
        <f t="shared" si="38"/>
        <v/>
      </c>
      <c r="E410" s="190" t="str">
        <f t="shared" si="39"/>
        <v/>
      </c>
      <c r="F410" s="196" t="str">
        <f t="shared" si="36"/>
        <v/>
      </c>
      <c r="G410" s="190" t="str">
        <f t="shared" si="40"/>
        <v/>
      </c>
      <c r="H410" s="503" t="str">
        <f t="shared" si="41"/>
        <v/>
      </c>
      <c r="I410" s="49"/>
    </row>
    <row r="411" spans="2:9" ht="20.100000000000001" customHeight="1" x14ac:dyDescent="0.3">
      <c r="B411" s="198">
        <v>403</v>
      </c>
      <c r="C411" s="501" t="str">
        <f t="shared" si="37"/>
        <v/>
      </c>
      <c r="D411" s="502" t="str">
        <f t="shared" si="38"/>
        <v/>
      </c>
      <c r="E411" s="190" t="str">
        <f t="shared" si="39"/>
        <v/>
      </c>
      <c r="F411" s="196" t="str">
        <f t="shared" si="36"/>
        <v/>
      </c>
      <c r="G411" s="190" t="str">
        <f t="shared" si="40"/>
        <v/>
      </c>
      <c r="H411" s="503" t="str">
        <f t="shared" si="41"/>
        <v/>
      </c>
      <c r="I411" s="49"/>
    </row>
    <row r="412" spans="2:9" ht="20.100000000000001" customHeight="1" x14ac:dyDescent="0.3">
      <c r="B412" s="198">
        <v>404</v>
      </c>
      <c r="C412" s="501" t="str">
        <f t="shared" si="37"/>
        <v/>
      </c>
      <c r="D412" s="502" t="str">
        <f t="shared" si="38"/>
        <v/>
      </c>
      <c r="E412" s="190" t="str">
        <f t="shared" si="39"/>
        <v/>
      </c>
      <c r="F412" s="196" t="str">
        <f t="shared" si="36"/>
        <v/>
      </c>
      <c r="G412" s="190" t="str">
        <f t="shared" si="40"/>
        <v/>
      </c>
      <c r="H412" s="503" t="str">
        <f t="shared" si="41"/>
        <v/>
      </c>
      <c r="I412" s="49"/>
    </row>
    <row r="413" spans="2:9" ht="20.100000000000001" customHeight="1" x14ac:dyDescent="0.3">
      <c r="B413" s="198">
        <v>405</v>
      </c>
      <c r="C413" s="501" t="str">
        <f t="shared" si="37"/>
        <v/>
      </c>
      <c r="D413" s="502" t="str">
        <f t="shared" si="38"/>
        <v/>
      </c>
      <c r="E413" s="190" t="str">
        <f t="shared" si="39"/>
        <v/>
      </c>
      <c r="F413" s="196" t="str">
        <f t="shared" si="36"/>
        <v/>
      </c>
      <c r="G413" s="190" t="str">
        <f t="shared" si="40"/>
        <v/>
      </c>
      <c r="H413" s="503" t="str">
        <f t="shared" si="41"/>
        <v/>
      </c>
      <c r="I413" s="49"/>
    </row>
    <row r="414" spans="2:9" ht="20.100000000000001" customHeight="1" x14ac:dyDescent="0.3">
      <c r="B414" s="198">
        <v>406</v>
      </c>
      <c r="C414" s="501" t="str">
        <f t="shared" si="37"/>
        <v/>
      </c>
      <c r="D414" s="502" t="str">
        <f t="shared" si="38"/>
        <v/>
      </c>
      <c r="E414" s="190" t="str">
        <f t="shared" si="39"/>
        <v/>
      </c>
      <c r="F414" s="196" t="str">
        <f t="shared" si="36"/>
        <v/>
      </c>
      <c r="G414" s="190" t="str">
        <f t="shared" si="40"/>
        <v/>
      </c>
      <c r="H414" s="503" t="str">
        <f t="shared" si="41"/>
        <v/>
      </c>
      <c r="I414" s="49"/>
    </row>
    <row r="415" spans="2:9" ht="20.100000000000001" customHeight="1" x14ac:dyDescent="0.3">
      <c r="B415" s="198">
        <v>407</v>
      </c>
      <c r="C415" s="501" t="str">
        <f t="shared" si="37"/>
        <v/>
      </c>
      <c r="D415" s="502" t="str">
        <f t="shared" si="38"/>
        <v/>
      </c>
      <c r="E415" s="190" t="str">
        <f t="shared" si="39"/>
        <v/>
      </c>
      <c r="F415" s="196" t="str">
        <f t="shared" si="36"/>
        <v/>
      </c>
      <c r="G415" s="190" t="str">
        <f t="shared" si="40"/>
        <v/>
      </c>
      <c r="H415" s="503" t="str">
        <f t="shared" si="41"/>
        <v/>
      </c>
      <c r="I415" s="49"/>
    </row>
    <row r="416" spans="2:9" ht="20.100000000000001" customHeight="1" x14ac:dyDescent="0.3">
      <c r="B416" s="198">
        <v>408</v>
      </c>
      <c r="C416" s="501" t="str">
        <f t="shared" si="37"/>
        <v/>
      </c>
      <c r="D416" s="502" t="str">
        <f t="shared" si="38"/>
        <v/>
      </c>
      <c r="E416" s="190" t="str">
        <f t="shared" si="39"/>
        <v/>
      </c>
      <c r="F416" s="196" t="str">
        <f t="shared" si="36"/>
        <v/>
      </c>
      <c r="G416" s="190" t="str">
        <f t="shared" si="40"/>
        <v/>
      </c>
      <c r="H416" s="503" t="str">
        <f t="shared" si="41"/>
        <v/>
      </c>
      <c r="I416" s="49"/>
    </row>
    <row r="417" spans="2:9" ht="20.100000000000001" customHeight="1" x14ac:dyDescent="0.3">
      <c r="B417" s="198">
        <v>409</v>
      </c>
      <c r="C417" s="501" t="str">
        <f t="shared" si="37"/>
        <v/>
      </c>
      <c r="D417" s="502" t="str">
        <f t="shared" si="38"/>
        <v/>
      </c>
      <c r="E417" s="190" t="str">
        <f t="shared" si="39"/>
        <v/>
      </c>
      <c r="F417" s="196" t="str">
        <f t="shared" si="36"/>
        <v/>
      </c>
      <c r="G417" s="190" t="str">
        <f t="shared" si="40"/>
        <v/>
      </c>
      <c r="H417" s="503" t="str">
        <f t="shared" si="41"/>
        <v/>
      </c>
      <c r="I417" s="49"/>
    </row>
    <row r="418" spans="2:9" ht="20.100000000000001" customHeight="1" x14ac:dyDescent="0.3">
      <c r="B418" s="198">
        <v>410</v>
      </c>
      <c r="C418" s="501" t="str">
        <f t="shared" si="37"/>
        <v/>
      </c>
      <c r="D418" s="502" t="str">
        <f t="shared" si="38"/>
        <v/>
      </c>
      <c r="E418" s="190" t="str">
        <f t="shared" si="39"/>
        <v/>
      </c>
      <c r="F418" s="196" t="str">
        <f t="shared" si="36"/>
        <v/>
      </c>
      <c r="G418" s="190" t="str">
        <f t="shared" si="40"/>
        <v/>
      </c>
      <c r="H418" s="503" t="str">
        <f t="shared" si="41"/>
        <v/>
      </c>
      <c r="I418" s="49"/>
    </row>
    <row r="419" spans="2:9" ht="20.100000000000001" customHeight="1" x14ac:dyDescent="0.3">
      <c r="B419" s="198">
        <v>411</v>
      </c>
      <c r="C419" s="501" t="str">
        <f t="shared" si="37"/>
        <v/>
      </c>
      <c r="D419" s="502" t="str">
        <f t="shared" si="38"/>
        <v/>
      </c>
      <c r="E419" s="190" t="str">
        <f t="shared" si="39"/>
        <v/>
      </c>
      <c r="F419" s="196" t="str">
        <f t="shared" si="36"/>
        <v/>
      </c>
      <c r="G419" s="190" t="str">
        <f t="shared" si="40"/>
        <v/>
      </c>
      <c r="H419" s="503" t="str">
        <f t="shared" si="41"/>
        <v/>
      </c>
      <c r="I419" s="49"/>
    </row>
    <row r="420" spans="2:9" ht="20.100000000000001" customHeight="1" x14ac:dyDescent="0.3">
      <c r="B420" s="198">
        <v>412</v>
      </c>
      <c r="C420" s="501" t="str">
        <f t="shared" si="37"/>
        <v/>
      </c>
      <c r="D420" s="502" t="str">
        <f t="shared" si="38"/>
        <v/>
      </c>
      <c r="E420" s="190" t="str">
        <f t="shared" si="39"/>
        <v/>
      </c>
      <c r="F420" s="196" t="str">
        <f t="shared" si="36"/>
        <v/>
      </c>
      <c r="G420" s="190" t="str">
        <f t="shared" si="40"/>
        <v/>
      </c>
      <c r="H420" s="503" t="str">
        <f t="shared" si="41"/>
        <v/>
      </c>
      <c r="I420" s="49"/>
    </row>
    <row r="421" spans="2:9" ht="20.100000000000001" customHeight="1" x14ac:dyDescent="0.3">
      <c r="B421" s="198">
        <v>413</v>
      </c>
      <c r="C421" s="501" t="str">
        <f t="shared" si="37"/>
        <v/>
      </c>
      <c r="D421" s="502" t="str">
        <f t="shared" si="38"/>
        <v/>
      </c>
      <c r="E421" s="190" t="str">
        <f t="shared" si="39"/>
        <v/>
      </c>
      <c r="F421" s="196" t="str">
        <f t="shared" si="36"/>
        <v/>
      </c>
      <c r="G421" s="190" t="str">
        <f t="shared" si="40"/>
        <v/>
      </c>
      <c r="H421" s="503" t="str">
        <f t="shared" si="41"/>
        <v/>
      </c>
      <c r="I421" s="49"/>
    </row>
    <row r="422" spans="2:9" ht="20.100000000000001" customHeight="1" x14ac:dyDescent="0.3">
      <c r="B422" s="198">
        <v>414</v>
      </c>
      <c r="C422" s="501" t="str">
        <f t="shared" si="37"/>
        <v/>
      </c>
      <c r="D422" s="502" t="str">
        <f t="shared" si="38"/>
        <v/>
      </c>
      <c r="E422" s="190" t="str">
        <f t="shared" si="39"/>
        <v/>
      </c>
      <c r="F422" s="196" t="str">
        <f t="shared" si="36"/>
        <v/>
      </c>
      <c r="G422" s="190" t="str">
        <f t="shared" si="40"/>
        <v/>
      </c>
      <c r="H422" s="503" t="str">
        <f t="shared" si="41"/>
        <v/>
      </c>
      <c r="I422" s="49"/>
    </row>
    <row r="423" spans="2:9" ht="20.100000000000001" customHeight="1" x14ac:dyDescent="0.3">
      <c r="B423" s="198">
        <v>415</v>
      </c>
      <c r="C423" s="501" t="str">
        <f t="shared" si="37"/>
        <v/>
      </c>
      <c r="D423" s="502" t="str">
        <f t="shared" si="38"/>
        <v/>
      </c>
      <c r="E423" s="190" t="str">
        <f t="shared" si="39"/>
        <v/>
      </c>
      <c r="F423" s="196" t="str">
        <f t="shared" si="36"/>
        <v/>
      </c>
      <c r="G423" s="190" t="str">
        <f t="shared" si="40"/>
        <v/>
      </c>
      <c r="H423" s="503" t="str">
        <f t="shared" si="41"/>
        <v/>
      </c>
      <c r="I423" s="49"/>
    </row>
    <row r="424" spans="2:9" ht="20.100000000000001" customHeight="1" x14ac:dyDescent="0.3">
      <c r="B424" s="198">
        <v>416</v>
      </c>
      <c r="C424" s="501" t="str">
        <f t="shared" si="37"/>
        <v/>
      </c>
      <c r="D424" s="502" t="str">
        <f t="shared" si="38"/>
        <v/>
      </c>
      <c r="E424" s="190" t="str">
        <f t="shared" si="39"/>
        <v/>
      </c>
      <c r="F424" s="196" t="str">
        <f t="shared" si="36"/>
        <v/>
      </c>
      <c r="G424" s="190" t="str">
        <f t="shared" si="40"/>
        <v/>
      </c>
      <c r="H424" s="503" t="str">
        <f t="shared" si="41"/>
        <v/>
      </c>
      <c r="I424" s="49"/>
    </row>
    <row r="425" spans="2:9" ht="20.100000000000001" customHeight="1" x14ac:dyDescent="0.3">
      <c r="B425" s="198">
        <v>417</v>
      </c>
      <c r="C425" s="501" t="str">
        <f t="shared" si="37"/>
        <v/>
      </c>
      <c r="D425" s="502" t="str">
        <f t="shared" si="38"/>
        <v/>
      </c>
      <c r="E425" s="190" t="str">
        <f t="shared" si="39"/>
        <v/>
      </c>
      <c r="F425" s="196" t="str">
        <f t="shared" si="36"/>
        <v/>
      </c>
      <c r="G425" s="190" t="str">
        <f t="shared" si="40"/>
        <v/>
      </c>
      <c r="H425" s="503" t="str">
        <f t="shared" si="41"/>
        <v/>
      </c>
      <c r="I425" s="49"/>
    </row>
    <row r="426" spans="2:9" ht="20.100000000000001" customHeight="1" x14ac:dyDescent="0.3">
      <c r="B426" s="198">
        <v>418</v>
      </c>
      <c r="C426" s="501" t="str">
        <f t="shared" si="37"/>
        <v/>
      </c>
      <c r="D426" s="502" t="str">
        <f t="shared" si="38"/>
        <v/>
      </c>
      <c r="E426" s="190" t="str">
        <f t="shared" si="39"/>
        <v/>
      </c>
      <c r="F426" s="196" t="str">
        <f t="shared" si="36"/>
        <v/>
      </c>
      <c r="G426" s="190" t="str">
        <f t="shared" si="40"/>
        <v/>
      </c>
      <c r="H426" s="503" t="str">
        <f t="shared" si="41"/>
        <v/>
      </c>
      <c r="I426" s="49"/>
    </row>
    <row r="427" spans="2:9" ht="20.100000000000001" customHeight="1" x14ac:dyDescent="0.3">
      <c r="B427" s="198">
        <v>419</v>
      </c>
      <c r="C427" s="501" t="str">
        <f t="shared" si="37"/>
        <v/>
      </c>
      <c r="D427" s="502" t="str">
        <f t="shared" si="38"/>
        <v/>
      </c>
      <c r="E427" s="190" t="str">
        <f t="shared" si="39"/>
        <v/>
      </c>
      <c r="F427" s="196" t="str">
        <f t="shared" si="36"/>
        <v/>
      </c>
      <c r="G427" s="190" t="str">
        <f t="shared" si="40"/>
        <v/>
      </c>
      <c r="H427" s="503" t="str">
        <f t="shared" si="41"/>
        <v/>
      </c>
      <c r="I427" s="49"/>
    </row>
    <row r="428" spans="2:9" ht="20.100000000000001" customHeight="1" x14ac:dyDescent="0.3">
      <c r="B428" s="198">
        <v>420</v>
      </c>
      <c r="C428" s="501" t="str">
        <f t="shared" si="37"/>
        <v/>
      </c>
      <c r="D428" s="502" t="str">
        <f t="shared" si="38"/>
        <v/>
      </c>
      <c r="E428" s="190" t="str">
        <f t="shared" si="39"/>
        <v/>
      </c>
      <c r="F428" s="196" t="str">
        <f t="shared" si="36"/>
        <v/>
      </c>
      <c r="G428" s="190" t="str">
        <f t="shared" si="40"/>
        <v/>
      </c>
      <c r="H428" s="503" t="str">
        <f t="shared" si="41"/>
        <v/>
      </c>
      <c r="I428" s="49"/>
    </row>
    <row r="429" spans="2:9" ht="20.100000000000001" customHeight="1" x14ac:dyDescent="0.3">
      <c r="B429" s="198">
        <v>421</v>
      </c>
      <c r="C429" s="501" t="str">
        <f t="shared" si="37"/>
        <v/>
      </c>
      <c r="D429" s="502" t="str">
        <f t="shared" si="38"/>
        <v/>
      </c>
      <c r="E429" s="190" t="str">
        <f t="shared" si="39"/>
        <v/>
      </c>
      <c r="F429" s="196" t="str">
        <f t="shared" si="36"/>
        <v/>
      </c>
      <c r="G429" s="190" t="str">
        <f t="shared" si="40"/>
        <v/>
      </c>
      <c r="H429" s="503" t="str">
        <f t="shared" si="41"/>
        <v/>
      </c>
      <c r="I429" s="49"/>
    </row>
    <row r="430" spans="2:9" ht="20.100000000000001" customHeight="1" x14ac:dyDescent="0.3">
      <c r="B430" s="198">
        <v>422</v>
      </c>
      <c r="C430" s="501" t="str">
        <f t="shared" si="37"/>
        <v/>
      </c>
      <c r="D430" s="502" t="str">
        <f t="shared" si="38"/>
        <v/>
      </c>
      <c r="E430" s="190" t="str">
        <f t="shared" si="39"/>
        <v/>
      </c>
      <c r="F430" s="196" t="str">
        <f t="shared" si="36"/>
        <v/>
      </c>
      <c r="G430" s="190" t="str">
        <f t="shared" si="40"/>
        <v/>
      </c>
      <c r="H430" s="503" t="str">
        <f t="shared" si="41"/>
        <v/>
      </c>
      <c r="I430" s="49"/>
    </row>
    <row r="431" spans="2:9" ht="20.100000000000001" customHeight="1" x14ac:dyDescent="0.3">
      <c r="B431" s="198">
        <v>423</v>
      </c>
      <c r="C431" s="501" t="str">
        <f t="shared" si="37"/>
        <v/>
      </c>
      <c r="D431" s="502" t="str">
        <f t="shared" si="38"/>
        <v/>
      </c>
      <c r="E431" s="190" t="str">
        <f t="shared" si="39"/>
        <v/>
      </c>
      <c r="F431" s="196" t="str">
        <f t="shared" si="36"/>
        <v/>
      </c>
      <c r="G431" s="190" t="str">
        <f t="shared" si="40"/>
        <v/>
      </c>
      <c r="H431" s="503" t="str">
        <f t="shared" si="41"/>
        <v/>
      </c>
      <c r="I431" s="49"/>
    </row>
    <row r="432" spans="2:9" ht="20.100000000000001" customHeight="1" x14ac:dyDescent="0.3">
      <c r="B432" s="198">
        <v>424</v>
      </c>
      <c r="C432" s="501" t="str">
        <f t="shared" si="37"/>
        <v/>
      </c>
      <c r="D432" s="502" t="str">
        <f t="shared" si="38"/>
        <v/>
      </c>
      <c r="E432" s="190" t="str">
        <f t="shared" si="39"/>
        <v/>
      </c>
      <c r="F432" s="196" t="str">
        <f t="shared" si="36"/>
        <v/>
      </c>
      <c r="G432" s="190" t="str">
        <f t="shared" si="40"/>
        <v/>
      </c>
      <c r="H432" s="503" t="str">
        <f t="shared" si="41"/>
        <v/>
      </c>
      <c r="I432" s="49"/>
    </row>
    <row r="433" spans="2:9" ht="20.100000000000001" customHeight="1" x14ac:dyDescent="0.3">
      <c r="B433" s="198">
        <v>425</v>
      </c>
      <c r="C433" s="501" t="str">
        <f t="shared" si="37"/>
        <v/>
      </c>
      <c r="D433" s="502" t="str">
        <f t="shared" si="38"/>
        <v/>
      </c>
      <c r="E433" s="190" t="str">
        <f t="shared" si="39"/>
        <v/>
      </c>
      <c r="F433" s="196" t="str">
        <f t="shared" si="36"/>
        <v/>
      </c>
      <c r="G433" s="190" t="str">
        <f t="shared" si="40"/>
        <v/>
      </c>
      <c r="H433" s="503" t="str">
        <f t="shared" si="41"/>
        <v/>
      </c>
      <c r="I433" s="49"/>
    </row>
    <row r="434" spans="2:9" ht="20.100000000000001" customHeight="1" x14ac:dyDescent="0.3">
      <c r="B434" s="198">
        <v>426</v>
      </c>
      <c r="C434" s="501" t="str">
        <f t="shared" si="37"/>
        <v/>
      </c>
      <c r="D434" s="502" t="str">
        <f t="shared" si="38"/>
        <v/>
      </c>
      <c r="E434" s="190" t="str">
        <f t="shared" si="39"/>
        <v/>
      </c>
      <c r="F434" s="196" t="str">
        <f t="shared" si="36"/>
        <v/>
      </c>
      <c r="G434" s="190" t="str">
        <f t="shared" si="40"/>
        <v/>
      </c>
      <c r="H434" s="503" t="str">
        <f t="shared" si="41"/>
        <v/>
      </c>
      <c r="I434" s="49"/>
    </row>
    <row r="435" spans="2:9" ht="20.100000000000001" customHeight="1" x14ac:dyDescent="0.3">
      <c r="B435" s="198">
        <v>427</v>
      </c>
      <c r="C435" s="501" t="str">
        <f t="shared" si="37"/>
        <v/>
      </c>
      <c r="D435" s="502" t="str">
        <f t="shared" si="38"/>
        <v/>
      </c>
      <c r="E435" s="190" t="str">
        <f t="shared" si="39"/>
        <v/>
      </c>
      <c r="F435" s="196" t="str">
        <f t="shared" si="36"/>
        <v/>
      </c>
      <c r="G435" s="190" t="str">
        <f t="shared" si="40"/>
        <v/>
      </c>
      <c r="H435" s="503" t="str">
        <f t="shared" si="41"/>
        <v/>
      </c>
      <c r="I435" s="49"/>
    </row>
    <row r="436" spans="2:9" ht="20.100000000000001" customHeight="1" x14ac:dyDescent="0.3">
      <c r="B436" s="198">
        <v>428</v>
      </c>
      <c r="C436" s="501" t="str">
        <f t="shared" si="37"/>
        <v/>
      </c>
      <c r="D436" s="502" t="str">
        <f t="shared" si="38"/>
        <v/>
      </c>
      <c r="E436" s="190" t="str">
        <f t="shared" si="39"/>
        <v/>
      </c>
      <c r="F436" s="196" t="str">
        <f t="shared" si="36"/>
        <v/>
      </c>
      <c r="G436" s="190" t="str">
        <f t="shared" si="40"/>
        <v/>
      </c>
      <c r="H436" s="503" t="str">
        <f t="shared" si="41"/>
        <v/>
      </c>
      <c r="I436" s="49"/>
    </row>
    <row r="437" spans="2:9" ht="20.100000000000001" customHeight="1" x14ac:dyDescent="0.3">
      <c r="B437" s="198">
        <v>429</v>
      </c>
      <c r="C437" s="501" t="str">
        <f t="shared" si="37"/>
        <v/>
      </c>
      <c r="D437" s="502" t="str">
        <f t="shared" si="38"/>
        <v/>
      </c>
      <c r="E437" s="190" t="str">
        <f t="shared" si="39"/>
        <v/>
      </c>
      <c r="F437" s="196" t="str">
        <f t="shared" si="36"/>
        <v/>
      </c>
      <c r="G437" s="190" t="str">
        <f t="shared" si="40"/>
        <v/>
      </c>
      <c r="H437" s="503" t="str">
        <f t="shared" si="41"/>
        <v/>
      </c>
      <c r="I437" s="49"/>
    </row>
    <row r="438" spans="2:9" ht="20.100000000000001" customHeight="1" x14ac:dyDescent="0.3">
      <c r="B438" s="198">
        <v>430</v>
      </c>
      <c r="C438" s="501" t="str">
        <f t="shared" si="37"/>
        <v/>
      </c>
      <c r="D438" s="502" t="str">
        <f t="shared" si="38"/>
        <v/>
      </c>
      <c r="E438" s="190" t="str">
        <f t="shared" si="39"/>
        <v/>
      </c>
      <c r="F438" s="196" t="str">
        <f t="shared" si="36"/>
        <v/>
      </c>
      <c r="G438" s="190" t="str">
        <f t="shared" si="40"/>
        <v/>
      </c>
      <c r="H438" s="503" t="str">
        <f t="shared" si="41"/>
        <v/>
      </c>
      <c r="I438" s="49"/>
    </row>
    <row r="439" spans="2:9" ht="20.100000000000001" customHeight="1" x14ac:dyDescent="0.3">
      <c r="B439" s="198">
        <v>431</v>
      </c>
      <c r="C439" s="501" t="str">
        <f t="shared" si="37"/>
        <v/>
      </c>
      <c r="D439" s="502" t="str">
        <f t="shared" si="38"/>
        <v/>
      </c>
      <c r="E439" s="190" t="str">
        <f t="shared" si="39"/>
        <v/>
      </c>
      <c r="F439" s="196" t="str">
        <f t="shared" si="36"/>
        <v/>
      </c>
      <c r="G439" s="190" t="str">
        <f t="shared" si="40"/>
        <v/>
      </c>
      <c r="H439" s="503" t="str">
        <f t="shared" si="41"/>
        <v/>
      </c>
      <c r="I439" s="49"/>
    </row>
    <row r="440" spans="2:9" ht="20.100000000000001" customHeight="1" x14ac:dyDescent="0.3">
      <c r="B440" s="198">
        <v>432</v>
      </c>
      <c r="C440" s="501" t="str">
        <f t="shared" si="37"/>
        <v/>
      </c>
      <c r="D440" s="502" t="str">
        <f t="shared" si="38"/>
        <v/>
      </c>
      <c r="E440" s="190" t="str">
        <f t="shared" si="39"/>
        <v/>
      </c>
      <c r="F440" s="196" t="str">
        <f t="shared" si="36"/>
        <v/>
      </c>
      <c r="G440" s="190" t="str">
        <f t="shared" si="40"/>
        <v/>
      </c>
      <c r="H440" s="503" t="str">
        <f t="shared" si="41"/>
        <v/>
      </c>
      <c r="I440" s="49"/>
    </row>
    <row r="441" spans="2:9" ht="20.100000000000001" customHeight="1" x14ac:dyDescent="0.3">
      <c r="B441" s="198">
        <v>433</v>
      </c>
      <c r="C441" s="501" t="str">
        <f t="shared" si="37"/>
        <v/>
      </c>
      <c r="D441" s="502" t="str">
        <f t="shared" si="38"/>
        <v/>
      </c>
      <c r="E441" s="190" t="str">
        <f t="shared" si="39"/>
        <v/>
      </c>
      <c r="F441" s="196" t="str">
        <f t="shared" si="36"/>
        <v/>
      </c>
      <c r="G441" s="190" t="str">
        <f t="shared" si="40"/>
        <v/>
      </c>
      <c r="H441" s="503" t="str">
        <f t="shared" si="41"/>
        <v/>
      </c>
      <c r="I441" s="49"/>
    </row>
    <row r="442" spans="2:9" ht="20.100000000000001" customHeight="1" x14ac:dyDescent="0.3">
      <c r="B442" s="198">
        <v>434</v>
      </c>
      <c r="C442" s="501" t="str">
        <f t="shared" si="37"/>
        <v/>
      </c>
      <c r="D442" s="502" t="str">
        <f t="shared" si="38"/>
        <v/>
      </c>
      <c r="E442" s="190" t="str">
        <f t="shared" si="39"/>
        <v/>
      </c>
      <c r="F442" s="196" t="str">
        <f t="shared" si="36"/>
        <v/>
      </c>
      <c r="G442" s="190" t="str">
        <f t="shared" si="40"/>
        <v/>
      </c>
      <c r="H442" s="503" t="str">
        <f t="shared" si="41"/>
        <v/>
      </c>
      <c r="I442" s="49"/>
    </row>
    <row r="443" spans="2:9" ht="20.100000000000001" customHeight="1" x14ac:dyDescent="0.3">
      <c r="B443" s="198">
        <v>435</v>
      </c>
      <c r="C443" s="501" t="str">
        <f t="shared" si="37"/>
        <v/>
      </c>
      <c r="D443" s="502" t="str">
        <f t="shared" si="38"/>
        <v/>
      </c>
      <c r="E443" s="190" t="str">
        <f t="shared" si="39"/>
        <v/>
      </c>
      <c r="F443" s="196" t="str">
        <f t="shared" si="36"/>
        <v/>
      </c>
      <c r="G443" s="190" t="str">
        <f t="shared" si="40"/>
        <v/>
      </c>
      <c r="H443" s="503" t="str">
        <f t="shared" si="41"/>
        <v/>
      </c>
      <c r="I443" s="49"/>
    </row>
    <row r="444" spans="2:9" ht="20.100000000000001" customHeight="1" x14ac:dyDescent="0.3">
      <c r="B444" s="198">
        <v>436</v>
      </c>
      <c r="C444" s="501" t="str">
        <f t="shared" si="37"/>
        <v/>
      </c>
      <c r="D444" s="502" t="str">
        <f t="shared" si="38"/>
        <v/>
      </c>
      <c r="E444" s="190" t="str">
        <f t="shared" si="39"/>
        <v/>
      </c>
      <c r="F444" s="196" t="str">
        <f t="shared" si="36"/>
        <v/>
      </c>
      <c r="G444" s="190" t="str">
        <f t="shared" si="40"/>
        <v/>
      </c>
      <c r="H444" s="503" t="str">
        <f t="shared" si="41"/>
        <v/>
      </c>
      <c r="I444" s="49"/>
    </row>
    <row r="445" spans="2:9" ht="20.100000000000001" customHeight="1" x14ac:dyDescent="0.3">
      <c r="B445" s="198">
        <v>437</v>
      </c>
      <c r="C445" s="501" t="str">
        <f t="shared" si="37"/>
        <v/>
      </c>
      <c r="D445" s="502" t="str">
        <f t="shared" si="38"/>
        <v/>
      </c>
      <c r="E445" s="190" t="str">
        <f t="shared" si="39"/>
        <v/>
      </c>
      <c r="F445" s="196" t="str">
        <f t="shared" si="36"/>
        <v/>
      </c>
      <c r="G445" s="190" t="str">
        <f t="shared" si="40"/>
        <v/>
      </c>
      <c r="H445" s="503" t="str">
        <f t="shared" si="41"/>
        <v/>
      </c>
      <c r="I445" s="49"/>
    </row>
    <row r="446" spans="2:9" ht="20.100000000000001" customHeight="1" x14ac:dyDescent="0.3">
      <c r="B446" s="198">
        <v>438</v>
      </c>
      <c r="C446" s="501" t="str">
        <f t="shared" si="37"/>
        <v/>
      </c>
      <c r="D446" s="502" t="str">
        <f t="shared" si="38"/>
        <v/>
      </c>
      <c r="E446" s="190" t="str">
        <f t="shared" si="39"/>
        <v/>
      </c>
      <c r="F446" s="196" t="str">
        <f t="shared" si="36"/>
        <v/>
      </c>
      <c r="G446" s="190" t="str">
        <f t="shared" si="40"/>
        <v/>
      </c>
      <c r="H446" s="503" t="str">
        <f t="shared" si="41"/>
        <v/>
      </c>
      <c r="I446" s="49"/>
    </row>
    <row r="447" spans="2:9" ht="20.100000000000001" customHeight="1" x14ac:dyDescent="0.3">
      <c r="B447" s="198">
        <v>439</v>
      </c>
      <c r="C447" s="501" t="str">
        <f t="shared" si="37"/>
        <v/>
      </c>
      <c r="D447" s="502" t="str">
        <f t="shared" si="38"/>
        <v/>
      </c>
      <c r="E447" s="190" t="str">
        <f t="shared" si="39"/>
        <v/>
      </c>
      <c r="F447" s="196" t="str">
        <f t="shared" si="36"/>
        <v/>
      </c>
      <c r="G447" s="190" t="str">
        <f t="shared" si="40"/>
        <v/>
      </c>
      <c r="H447" s="503" t="str">
        <f t="shared" si="41"/>
        <v/>
      </c>
      <c r="I447" s="49"/>
    </row>
    <row r="448" spans="2:9" ht="20.100000000000001" customHeight="1" x14ac:dyDescent="0.3">
      <c r="B448" s="198">
        <v>440</v>
      </c>
      <c r="C448" s="501" t="str">
        <f t="shared" si="37"/>
        <v/>
      </c>
      <c r="D448" s="502" t="str">
        <f t="shared" si="38"/>
        <v/>
      </c>
      <c r="E448" s="190" t="str">
        <f t="shared" si="39"/>
        <v/>
      </c>
      <c r="F448" s="196" t="str">
        <f t="shared" si="36"/>
        <v/>
      </c>
      <c r="G448" s="190" t="str">
        <f t="shared" si="40"/>
        <v/>
      </c>
      <c r="H448" s="503" t="str">
        <f t="shared" si="41"/>
        <v/>
      </c>
      <c r="I448" s="49"/>
    </row>
    <row r="449" spans="2:9" ht="20.100000000000001" customHeight="1" x14ac:dyDescent="0.3">
      <c r="B449" s="198">
        <v>441</v>
      </c>
      <c r="C449" s="501" t="str">
        <f t="shared" si="37"/>
        <v/>
      </c>
      <c r="D449" s="502" t="str">
        <f t="shared" si="38"/>
        <v/>
      </c>
      <c r="E449" s="190" t="str">
        <f t="shared" si="39"/>
        <v/>
      </c>
      <c r="F449" s="196" t="str">
        <f t="shared" si="36"/>
        <v/>
      </c>
      <c r="G449" s="190" t="str">
        <f t="shared" si="40"/>
        <v/>
      </c>
      <c r="H449" s="503" t="str">
        <f t="shared" si="41"/>
        <v/>
      </c>
      <c r="I449" s="49"/>
    </row>
    <row r="450" spans="2:9" ht="20.100000000000001" customHeight="1" x14ac:dyDescent="0.3">
      <c r="B450" s="198">
        <v>442</v>
      </c>
      <c r="C450" s="501" t="str">
        <f t="shared" si="37"/>
        <v/>
      </c>
      <c r="D450" s="502" t="str">
        <f t="shared" si="38"/>
        <v/>
      </c>
      <c r="E450" s="190" t="str">
        <f t="shared" si="39"/>
        <v/>
      </c>
      <c r="F450" s="196" t="str">
        <f t="shared" si="36"/>
        <v/>
      </c>
      <c r="G450" s="190" t="str">
        <f t="shared" si="40"/>
        <v/>
      </c>
      <c r="H450" s="503" t="str">
        <f t="shared" si="41"/>
        <v/>
      </c>
      <c r="I450" s="49"/>
    </row>
    <row r="451" spans="2:9" ht="20.100000000000001" customHeight="1" x14ac:dyDescent="0.3">
      <c r="B451" s="198">
        <v>443</v>
      </c>
      <c r="C451" s="501" t="str">
        <f t="shared" si="37"/>
        <v/>
      </c>
      <c r="D451" s="502" t="str">
        <f t="shared" si="38"/>
        <v/>
      </c>
      <c r="E451" s="190" t="str">
        <f t="shared" si="39"/>
        <v/>
      </c>
      <c r="F451" s="196" t="str">
        <f t="shared" si="36"/>
        <v/>
      </c>
      <c r="G451" s="190" t="str">
        <f t="shared" si="40"/>
        <v/>
      </c>
      <c r="H451" s="503" t="str">
        <f t="shared" si="41"/>
        <v/>
      </c>
      <c r="I451" s="49"/>
    </row>
    <row r="452" spans="2:9" ht="20.100000000000001" customHeight="1" x14ac:dyDescent="0.3">
      <c r="B452" s="198">
        <v>444</v>
      </c>
      <c r="C452" s="501" t="str">
        <f t="shared" si="37"/>
        <v/>
      </c>
      <c r="D452" s="502" t="str">
        <f t="shared" si="38"/>
        <v/>
      </c>
      <c r="E452" s="190" t="str">
        <f t="shared" si="39"/>
        <v/>
      </c>
      <c r="F452" s="196" t="str">
        <f t="shared" si="36"/>
        <v/>
      </c>
      <c r="G452" s="190" t="str">
        <f t="shared" si="40"/>
        <v/>
      </c>
      <c r="H452" s="503" t="str">
        <f t="shared" si="41"/>
        <v/>
      </c>
      <c r="I452" s="49"/>
    </row>
    <row r="453" spans="2:9" ht="20.100000000000001" customHeight="1" x14ac:dyDescent="0.3">
      <c r="B453" s="198">
        <v>445</v>
      </c>
      <c r="C453" s="501" t="str">
        <f t="shared" si="37"/>
        <v/>
      </c>
      <c r="D453" s="502" t="str">
        <f t="shared" si="38"/>
        <v/>
      </c>
      <c r="E453" s="190" t="str">
        <f t="shared" si="39"/>
        <v/>
      </c>
      <c r="F453" s="196" t="str">
        <f t="shared" si="36"/>
        <v/>
      </c>
      <c r="G453" s="190" t="str">
        <f t="shared" si="40"/>
        <v/>
      </c>
      <c r="H453" s="503" t="str">
        <f t="shared" si="41"/>
        <v/>
      </c>
      <c r="I453" s="49"/>
    </row>
    <row r="454" spans="2:9" ht="20.100000000000001" customHeight="1" x14ac:dyDescent="0.3">
      <c r="B454" s="198">
        <v>446</v>
      </c>
      <c r="C454" s="501" t="str">
        <f t="shared" si="37"/>
        <v/>
      </c>
      <c r="D454" s="502" t="str">
        <f t="shared" si="38"/>
        <v/>
      </c>
      <c r="E454" s="190" t="str">
        <f t="shared" si="39"/>
        <v/>
      </c>
      <c r="F454" s="196" t="str">
        <f t="shared" si="36"/>
        <v/>
      </c>
      <c r="G454" s="190" t="str">
        <f t="shared" si="40"/>
        <v/>
      </c>
      <c r="H454" s="503" t="str">
        <f t="shared" si="41"/>
        <v/>
      </c>
      <c r="I454" s="49"/>
    </row>
    <row r="455" spans="2:9" ht="20.100000000000001" customHeight="1" x14ac:dyDescent="0.3">
      <c r="B455" s="198">
        <v>447</v>
      </c>
      <c r="C455" s="501" t="str">
        <f t="shared" si="37"/>
        <v/>
      </c>
      <c r="D455" s="502" t="str">
        <f t="shared" si="38"/>
        <v/>
      </c>
      <c r="E455" s="190" t="str">
        <f t="shared" si="39"/>
        <v/>
      </c>
      <c r="F455" s="196" t="str">
        <f t="shared" si="36"/>
        <v/>
      </c>
      <c r="G455" s="190" t="str">
        <f t="shared" si="40"/>
        <v/>
      </c>
      <c r="H455" s="503" t="str">
        <f t="shared" si="41"/>
        <v/>
      </c>
      <c r="I455" s="49"/>
    </row>
    <row r="456" spans="2:9" ht="20.100000000000001" customHeight="1" x14ac:dyDescent="0.3">
      <c r="B456" s="198">
        <v>448</v>
      </c>
      <c r="C456" s="501" t="str">
        <f t="shared" si="37"/>
        <v/>
      </c>
      <c r="D456" s="502" t="str">
        <f t="shared" si="38"/>
        <v/>
      </c>
      <c r="E456" s="190" t="str">
        <f t="shared" si="39"/>
        <v/>
      </c>
      <c r="F456" s="196" t="str">
        <f t="shared" si="36"/>
        <v/>
      </c>
      <c r="G456" s="190" t="str">
        <f t="shared" si="40"/>
        <v/>
      </c>
      <c r="H456" s="503" t="str">
        <f t="shared" si="41"/>
        <v/>
      </c>
      <c r="I456" s="49"/>
    </row>
    <row r="457" spans="2:9" ht="20.100000000000001" customHeight="1" x14ac:dyDescent="0.3">
      <c r="B457" s="198">
        <v>449</v>
      </c>
      <c r="C457" s="501" t="str">
        <f t="shared" si="37"/>
        <v/>
      </c>
      <c r="D457" s="502" t="str">
        <f t="shared" si="38"/>
        <v/>
      </c>
      <c r="E457" s="190" t="str">
        <f t="shared" si="39"/>
        <v/>
      </c>
      <c r="F457" s="196" t="str">
        <f t="shared" si="36"/>
        <v/>
      </c>
      <c r="G457" s="190" t="str">
        <f t="shared" si="40"/>
        <v/>
      </c>
      <c r="H457" s="503" t="str">
        <f t="shared" si="41"/>
        <v/>
      </c>
      <c r="I457" s="49"/>
    </row>
    <row r="458" spans="2:9" ht="20.100000000000001" customHeight="1" x14ac:dyDescent="0.3">
      <c r="B458" s="198">
        <v>450</v>
      </c>
      <c r="C458" s="501" t="str">
        <f t="shared" si="37"/>
        <v/>
      </c>
      <c r="D458" s="502" t="str">
        <f t="shared" si="38"/>
        <v/>
      </c>
      <c r="E458" s="190" t="str">
        <f t="shared" si="39"/>
        <v/>
      </c>
      <c r="F458" s="196" t="str">
        <f t="shared" ref="F458:F521" si="42">IF($H$4="","",IF($F$4="원리금균등상환",IFERROR(D458+E458,""),IF($F$4="원금균등상환",D458+E458,"")))</f>
        <v/>
      </c>
      <c r="G458" s="190" t="str">
        <f t="shared" si="40"/>
        <v/>
      </c>
      <c r="H458" s="503" t="str">
        <f t="shared" si="41"/>
        <v/>
      </c>
      <c r="I458" s="49"/>
    </row>
    <row r="459" spans="2:9" ht="20.100000000000001" customHeight="1" x14ac:dyDescent="0.3">
      <c r="B459" s="198">
        <v>451</v>
      </c>
      <c r="C459" s="501" t="str">
        <f t="shared" ref="C459:C522" si="43">IF($H$4="","",IF(B459&gt;($B$6),"",IF(B459&lt;=($B$6),DATE(YEAR($G$4),MONTH($G$4)+B458,DAY($G$4)),"")))</f>
        <v/>
      </c>
      <c r="D459" s="502" t="str">
        <f t="shared" ref="D459:D522" si="44">IF($H$4="","",IF($F$4="원리금균등상환",IFERROR(IF(B459&lt;=$D$6,0,-PPMT($E$4/12,B459-$D$6,($B$6-$D$6),$D$4)),""),IF($F$4="원금균등상환",IF(B459&lt;($D$6+1),0,IF(B459&gt;$B$6,0,$D$4/($B$6-$D$6))),IF($F$4="만기일시상환",0,""))))</f>
        <v/>
      </c>
      <c r="E459" s="190" t="str">
        <f t="shared" ref="E459:E522" si="45">IF($H$4="","",IF($F$4="원리금균등상환",IFERROR(IF(B459&lt;=$D$6,$H458*($E$4/12),-IPMT($E$4/12,B459-$D$6,($B$6-$D$6),$D$4)),""),IF($F$4="원금균등상환",(H458-D459)*$E$4/12,IF($F$4="만기일시상환",IFERROR(IF(B459&lt;=$B$6,$D$4*($E$4/12),""),"")))))</f>
        <v/>
      </c>
      <c r="F459" s="196" t="str">
        <f t="shared" si="42"/>
        <v/>
      </c>
      <c r="G459" s="190" t="str">
        <f t="shared" ref="G459:G522" si="46">IFERROR(IF(B459&gt;(($D$6+$B$6)*12),"",IF(B459=1,D459,D459+G458)),"")</f>
        <v/>
      </c>
      <c r="H459" s="503" t="str">
        <f t="shared" ref="H459:H522" si="47">IFERROR(IF($H$4="","",H458-D459),"")</f>
        <v/>
      </c>
      <c r="I459" s="49"/>
    </row>
    <row r="460" spans="2:9" ht="20.100000000000001" customHeight="1" x14ac:dyDescent="0.3">
      <c r="B460" s="198">
        <v>452</v>
      </c>
      <c r="C460" s="501" t="str">
        <f t="shared" si="43"/>
        <v/>
      </c>
      <c r="D460" s="502" t="str">
        <f t="shared" si="44"/>
        <v/>
      </c>
      <c r="E460" s="190" t="str">
        <f t="shared" si="45"/>
        <v/>
      </c>
      <c r="F460" s="196" t="str">
        <f t="shared" si="42"/>
        <v/>
      </c>
      <c r="G460" s="190" t="str">
        <f t="shared" si="46"/>
        <v/>
      </c>
      <c r="H460" s="503" t="str">
        <f t="shared" si="47"/>
        <v/>
      </c>
      <c r="I460" s="49"/>
    </row>
    <row r="461" spans="2:9" ht="20.100000000000001" customHeight="1" x14ac:dyDescent="0.3">
      <c r="B461" s="198">
        <v>453</v>
      </c>
      <c r="C461" s="501" t="str">
        <f t="shared" si="43"/>
        <v/>
      </c>
      <c r="D461" s="502" t="str">
        <f t="shared" si="44"/>
        <v/>
      </c>
      <c r="E461" s="190" t="str">
        <f t="shared" si="45"/>
        <v/>
      </c>
      <c r="F461" s="196" t="str">
        <f t="shared" si="42"/>
        <v/>
      </c>
      <c r="G461" s="190" t="str">
        <f t="shared" si="46"/>
        <v/>
      </c>
      <c r="H461" s="503" t="str">
        <f t="shared" si="47"/>
        <v/>
      </c>
      <c r="I461" s="49"/>
    </row>
    <row r="462" spans="2:9" ht="20.100000000000001" customHeight="1" x14ac:dyDescent="0.3">
      <c r="B462" s="198">
        <v>454</v>
      </c>
      <c r="C462" s="501" t="str">
        <f t="shared" si="43"/>
        <v/>
      </c>
      <c r="D462" s="502" t="str">
        <f t="shared" si="44"/>
        <v/>
      </c>
      <c r="E462" s="190" t="str">
        <f t="shared" si="45"/>
        <v/>
      </c>
      <c r="F462" s="196" t="str">
        <f t="shared" si="42"/>
        <v/>
      </c>
      <c r="G462" s="190" t="str">
        <f t="shared" si="46"/>
        <v/>
      </c>
      <c r="H462" s="503" t="str">
        <f t="shared" si="47"/>
        <v/>
      </c>
      <c r="I462" s="49"/>
    </row>
    <row r="463" spans="2:9" ht="20.100000000000001" customHeight="1" x14ac:dyDescent="0.3">
      <c r="B463" s="198">
        <v>455</v>
      </c>
      <c r="C463" s="501" t="str">
        <f t="shared" si="43"/>
        <v/>
      </c>
      <c r="D463" s="502" t="str">
        <f t="shared" si="44"/>
        <v/>
      </c>
      <c r="E463" s="190" t="str">
        <f t="shared" si="45"/>
        <v/>
      </c>
      <c r="F463" s="196" t="str">
        <f t="shared" si="42"/>
        <v/>
      </c>
      <c r="G463" s="190" t="str">
        <f t="shared" si="46"/>
        <v/>
      </c>
      <c r="H463" s="503" t="str">
        <f t="shared" si="47"/>
        <v/>
      </c>
      <c r="I463" s="49"/>
    </row>
    <row r="464" spans="2:9" ht="20.100000000000001" customHeight="1" x14ac:dyDescent="0.3">
      <c r="B464" s="198">
        <v>456</v>
      </c>
      <c r="C464" s="501" t="str">
        <f t="shared" si="43"/>
        <v/>
      </c>
      <c r="D464" s="502" t="str">
        <f t="shared" si="44"/>
        <v/>
      </c>
      <c r="E464" s="190" t="str">
        <f t="shared" si="45"/>
        <v/>
      </c>
      <c r="F464" s="196" t="str">
        <f t="shared" si="42"/>
        <v/>
      </c>
      <c r="G464" s="190" t="str">
        <f t="shared" si="46"/>
        <v/>
      </c>
      <c r="H464" s="503" t="str">
        <f t="shared" si="47"/>
        <v/>
      </c>
      <c r="I464" s="49"/>
    </row>
    <row r="465" spans="2:9" ht="20.100000000000001" customHeight="1" x14ac:dyDescent="0.3">
      <c r="B465" s="198">
        <v>457</v>
      </c>
      <c r="C465" s="501" t="str">
        <f t="shared" si="43"/>
        <v/>
      </c>
      <c r="D465" s="502" t="str">
        <f t="shared" si="44"/>
        <v/>
      </c>
      <c r="E465" s="190" t="str">
        <f t="shared" si="45"/>
        <v/>
      </c>
      <c r="F465" s="196" t="str">
        <f t="shared" si="42"/>
        <v/>
      </c>
      <c r="G465" s="190" t="str">
        <f t="shared" si="46"/>
        <v/>
      </c>
      <c r="H465" s="503" t="str">
        <f t="shared" si="47"/>
        <v/>
      </c>
      <c r="I465" s="49"/>
    </row>
    <row r="466" spans="2:9" ht="20.100000000000001" customHeight="1" x14ac:dyDescent="0.3">
      <c r="B466" s="198">
        <v>458</v>
      </c>
      <c r="C466" s="501" t="str">
        <f t="shared" si="43"/>
        <v/>
      </c>
      <c r="D466" s="502" t="str">
        <f t="shared" si="44"/>
        <v/>
      </c>
      <c r="E466" s="190" t="str">
        <f t="shared" si="45"/>
        <v/>
      </c>
      <c r="F466" s="196" t="str">
        <f t="shared" si="42"/>
        <v/>
      </c>
      <c r="G466" s="190" t="str">
        <f t="shared" si="46"/>
        <v/>
      </c>
      <c r="H466" s="503" t="str">
        <f t="shared" si="47"/>
        <v/>
      </c>
      <c r="I466" s="49"/>
    </row>
    <row r="467" spans="2:9" ht="20.100000000000001" customHeight="1" x14ac:dyDescent="0.3">
      <c r="B467" s="198">
        <v>459</v>
      </c>
      <c r="C467" s="501" t="str">
        <f t="shared" si="43"/>
        <v/>
      </c>
      <c r="D467" s="502" t="str">
        <f t="shared" si="44"/>
        <v/>
      </c>
      <c r="E467" s="190" t="str">
        <f t="shared" si="45"/>
        <v/>
      </c>
      <c r="F467" s="196" t="str">
        <f t="shared" si="42"/>
        <v/>
      </c>
      <c r="G467" s="190" t="str">
        <f t="shared" si="46"/>
        <v/>
      </c>
      <c r="H467" s="503" t="str">
        <f t="shared" si="47"/>
        <v/>
      </c>
      <c r="I467" s="49"/>
    </row>
    <row r="468" spans="2:9" ht="20.100000000000001" customHeight="1" x14ac:dyDescent="0.3">
      <c r="B468" s="198">
        <v>460</v>
      </c>
      <c r="C468" s="501" t="str">
        <f t="shared" si="43"/>
        <v/>
      </c>
      <c r="D468" s="502" t="str">
        <f t="shared" si="44"/>
        <v/>
      </c>
      <c r="E468" s="190" t="str">
        <f t="shared" si="45"/>
        <v/>
      </c>
      <c r="F468" s="196" t="str">
        <f t="shared" si="42"/>
        <v/>
      </c>
      <c r="G468" s="190" t="str">
        <f t="shared" si="46"/>
        <v/>
      </c>
      <c r="H468" s="503" t="str">
        <f t="shared" si="47"/>
        <v/>
      </c>
      <c r="I468" s="49"/>
    </row>
    <row r="469" spans="2:9" ht="20.100000000000001" customHeight="1" x14ac:dyDescent="0.3">
      <c r="B469" s="198">
        <v>461</v>
      </c>
      <c r="C469" s="501" t="str">
        <f t="shared" si="43"/>
        <v/>
      </c>
      <c r="D469" s="502" t="str">
        <f t="shared" si="44"/>
        <v/>
      </c>
      <c r="E469" s="190" t="str">
        <f t="shared" si="45"/>
        <v/>
      </c>
      <c r="F469" s="196" t="str">
        <f t="shared" si="42"/>
        <v/>
      </c>
      <c r="G469" s="190" t="str">
        <f t="shared" si="46"/>
        <v/>
      </c>
      <c r="H469" s="503" t="str">
        <f t="shared" si="47"/>
        <v/>
      </c>
      <c r="I469" s="49"/>
    </row>
    <row r="470" spans="2:9" ht="20.100000000000001" customHeight="1" x14ac:dyDescent="0.3">
      <c r="B470" s="198">
        <v>462</v>
      </c>
      <c r="C470" s="501" t="str">
        <f t="shared" si="43"/>
        <v/>
      </c>
      <c r="D470" s="502" t="str">
        <f t="shared" si="44"/>
        <v/>
      </c>
      <c r="E470" s="190" t="str">
        <f t="shared" si="45"/>
        <v/>
      </c>
      <c r="F470" s="196" t="str">
        <f t="shared" si="42"/>
        <v/>
      </c>
      <c r="G470" s="190" t="str">
        <f t="shared" si="46"/>
        <v/>
      </c>
      <c r="H470" s="503" t="str">
        <f t="shared" si="47"/>
        <v/>
      </c>
      <c r="I470" s="49"/>
    </row>
    <row r="471" spans="2:9" ht="20.100000000000001" customHeight="1" x14ac:dyDescent="0.3">
      <c r="B471" s="198">
        <v>463</v>
      </c>
      <c r="C471" s="501" t="str">
        <f t="shared" si="43"/>
        <v/>
      </c>
      <c r="D471" s="502" t="str">
        <f t="shared" si="44"/>
        <v/>
      </c>
      <c r="E471" s="190" t="str">
        <f t="shared" si="45"/>
        <v/>
      </c>
      <c r="F471" s="196" t="str">
        <f t="shared" si="42"/>
        <v/>
      </c>
      <c r="G471" s="190" t="str">
        <f t="shared" si="46"/>
        <v/>
      </c>
      <c r="H471" s="503" t="str">
        <f t="shared" si="47"/>
        <v/>
      </c>
      <c r="I471" s="49"/>
    </row>
    <row r="472" spans="2:9" ht="20.100000000000001" customHeight="1" x14ac:dyDescent="0.3">
      <c r="B472" s="198">
        <v>464</v>
      </c>
      <c r="C472" s="501" t="str">
        <f t="shared" si="43"/>
        <v/>
      </c>
      <c r="D472" s="502" t="str">
        <f t="shared" si="44"/>
        <v/>
      </c>
      <c r="E472" s="190" t="str">
        <f t="shared" si="45"/>
        <v/>
      </c>
      <c r="F472" s="196" t="str">
        <f t="shared" si="42"/>
        <v/>
      </c>
      <c r="G472" s="190" t="str">
        <f t="shared" si="46"/>
        <v/>
      </c>
      <c r="H472" s="503" t="str">
        <f t="shared" si="47"/>
        <v/>
      </c>
      <c r="I472" s="49"/>
    </row>
    <row r="473" spans="2:9" ht="20.100000000000001" customHeight="1" x14ac:dyDescent="0.3">
      <c r="B473" s="198">
        <v>465</v>
      </c>
      <c r="C473" s="501" t="str">
        <f t="shared" si="43"/>
        <v/>
      </c>
      <c r="D473" s="502" t="str">
        <f t="shared" si="44"/>
        <v/>
      </c>
      <c r="E473" s="190" t="str">
        <f t="shared" si="45"/>
        <v/>
      </c>
      <c r="F473" s="196" t="str">
        <f t="shared" si="42"/>
        <v/>
      </c>
      <c r="G473" s="190" t="str">
        <f t="shared" si="46"/>
        <v/>
      </c>
      <c r="H473" s="503" t="str">
        <f t="shared" si="47"/>
        <v/>
      </c>
      <c r="I473" s="49"/>
    </row>
    <row r="474" spans="2:9" ht="20.100000000000001" customHeight="1" x14ac:dyDescent="0.3">
      <c r="B474" s="198">
        <v>466</v>
      </c>
      <c r="C474" s="501" t="str">
        <f t="shared" si="43"/>
        <v/>
      </c>
      <c r="D474" s="502" t="str">
        <f t="shared" si="44"/>
        <v/>
      </c>
      <c r="E474" s="190" t="str">
        <f t="shared" si="45"/>
        <v/>
      </c>
      <c r="F474" s="196" t="str">
        <f t="shared" si="42"/>
        <v/>
      </c>
      <c r="G474" s="190" t="str">
        <f t="shared" si="46"/>
        <v/>
      </c>
      <c r="H474" s="503" t="str">
        <f t="shared" si="47"/>
        <v/>
      </c>
      <c r="I474" s="49"/>
    </row>
    <row r="475" spans="2:9" ht="20.100000000000001" customHeight="1" x14ac:dyDescent="0.3">
      <c r="B475" s="198">
        <v>467</v>
      </c>
      <c r="C475" s="501" t="str">
        <f t="shared" si="43"/>
        <v/>
      </c>
      <c r="D475" s="502" t="str">
        <f t="shared" si="44"/>
        <v/>
      </c>
      <c r="E475" s="190" t="str">
        <f t="shared" si="45"/>
        <v/>
      </c>
      <c r="F475" s="196" t="str">
        <f t="shared" si="42"/>
        <v/>
      </c>
      <c r="G475" s="190" t="str">
        <f t="shared" si="46"/>
        <v/>
      </c>
      <c r="H475" s="503" t="str">
        <f t="shared" si="47"/>
        <v/>
      </c>
      <c r="I475" s="49"/>
    </row>
    <row r="476" spans="2:9" ht="20.100000000000001" customHeight="1" x14ac:dyDescent="0.3">
      <c r="B476" s="198">
        <v>468</v>
      </c>
      <c r="C476" s="501" t="str">
        <f t="shared" si="43"/>
        <v/>
      </c>
      <c r="D476" s="502" t="str">
        <f t="shared" si="44"/>
        <v/>
      </c>
      <c r="E476" s="190" t="str">
        <f t="shared" si="45"/>
        <v/>
      </c>
      <c r="F476" s="196" t="str">
        <f t="shared" si="42"/>
        <v/>
      </c>
      <c r="G476" s="190" t="str">
        <f t="shared" si="46"/>
        <v/>
      </c>
      <c r="H476" s="503" t="str">
        <f t="shared" si="47"/>
        <v/>
      </c>
      <c r="I476" s="49"/>
    </row>
    <row r="477" spans="2:9" ht="20.100000000000001" customHeight="1" x14ac:dyDescent="0.3">
      <c r="B477" s="198">
        <v>469</v>
      </c>
      <c r="C477" s="501" t="str">
        <f t="shared" si="43"/>
        <v/>
      </c>
      <c r="D477" s="502" t="str">
        <f t="shared" si="44"/>
        <v/>
      </c>
      <c r="E477" s="190" t="str">
        <f t="shared" si="45"/>
        <v/>
      </c>
      <c r="F477" s="196" t="str">
        <f t="shared" si="42"/>
        <v/>
      </c>
      <c r="G477" s="190" t="str">
        <f t="shared" si="46"/>
        <v/>
      </c>
      <c r="H477" s="503" t="str">
        <f t="shared" si="47"/>
        <v/>
      </c>
      <c r="I477" s="49"/>
    </row>
    <row r="478" spans="2:9" ht="20.100000000000001" customHeight="1" x14ac:dyDescent="0.3">
      <c r="B478" s="198">
        <v>470</v>
      </c>
      <c r="C478" s="501" t="str">
        <f t="shared" si="43"/>
        <v/>
      </c>
      <c r="D478" s="502" t="str">
        <f t="shared" si="44"/>
        <v/>
      </c>
      <c r="E478" s="190" t="str">
        <f t="shared" si="45"/>
        <v/>
      </c>
      <c r="F478" s="196" t="str">
        <f t="shared" si="42"/>
        <v/>
      </c>
      <c r="G478" s="190" t="str">
        <f t="shared" si="46"/>
        <v/>
      </c>
      <c r="H478" s="503" t="str">
        <f t="shared" si="47"/>
        <v/>
      </c>
      <c r="I478" s="49"/>
    </row>
    <row r="479" spans="2:9" ht="20.100000000000001" customHeight="1" x14ac:dyDescent="0.3">
      <c r="B479" s="198">
        <v>471</v>
      </c>
      <c r="C479" s="501" t="str">
        <f t="shared" si="43"/>
        <v/>
      </c>
      <c r="D479" s="502" t="str">
        <f t="shared" si="44"/>
        <v/>
      </c>
      <c r="E479" s="190" t="str">
        <f t="shared" si="45"/>
        <v/>
      </c>
      <c r="F479" s="196" t="str">
        <f t="shared" si="42"/>
        <v/>
      </c>
      <c r="G479" s="190" t="str">
        <f t="shared" si="46"/>
        <v/>
      </c>
      <c r="H479" s="503" t="str">
        <f t="shared" si="47"/>
        <v/>
      </c>
      <c r="I479" s="49"/>
    </row>
    <row r="480" spans="2:9" ht="20.100000000000001" customHeight="1" x14ac:dyDescent="0.3">
      <c r="B480" s="198">
        <v>472</v>
      </c>
      <c r="C480" s="501" t="str">
        <f t="shared" si="43"/>
        <v/>
      </c>
      <c r="D480" s="502" t="str">
        <f t="shared" si="44"/>
        <v/>
      </c>
      <c r="E480" s="190" t="str">
        <f t="shared" si="45"/>
        <v/>
      </c>
      <c r="F480" s="196" t="str">
        <f t="shared" si="42"/>
        <v/>
      </c>
      <c r="G480" s="190" t="str">
        <f t="shared" si="46"/>
        <v/>
      </c>
      <c r="H480" s="503" t="str">
        <f t="shared" si="47"/>
        <v/>
      </c>
      <c r="I480" s="49"/>
    </row>
    <row r="481" spans="2:9" ht="20.100000000000001" customHeight="1" x14ac:dyDescent="0.3">
      <c r="B481" s="198">
        <v>473</v>
      </c>
      <c r="C481" s="501" t="str">
        <f t="shared" si="43"/>
        <v/>
      </c>
      <c r="D481" s="502" t="str">
        <f t="shared" si="44"/>
        <v/>
      </c>
      <c r="E481" s="190" t="str">
        <f t="shared" si="45"/>
        <v/>
      </c>
      <c r="F481" s="196" t="str">
        <f t="shared" si="42"/>
        <v/>
      </c>
      <c r="G481" s="190" t="str">
        <f t="shared" si="46"/>
        <v/>
      </c>
      <c r="H481" s="503" t="str">
        <f t="shared" si="47"/>
        <v/>
      </c>
      <c r="I481" s="49"/>
    </row>
    <row r="482" spans="2:9" ht="20.100000000000001" customHeight="1" x14ac:dyDescent="0.3">
      <c r="B482" s="198">
        <v>474</v>
      </c>
      <c r="C482" s="501" t="str">
        <f t="shared" si="43"/>
        <v/>
      </c>
      <c r="D482" s="502" t="str">
        <f t="shared" si="44"/>
        <v/>
      </c>
      <c r="E482" s="190" t="str">
        <f t="shared" si="45"/>
        <v/>
      </c>
      <c r="F482" s="196" t="str">
        <f t="shared" si="42"/>
        <v/>
      </c>
      <c r="G482" s="190" t="str">
        <f t="shared" si="46"/>
        <v/>
      </c>
      <c r="H482" s="503" t="str">
        <f t="shared" si="47"/>
        <v/>
      </c>
      <c r="I482" s="49"/>
    </row>
    <row r="483" spans="2:9" ht="20.100000000000001" customHeight="1" x14ac:dyDescent="0.3">
      <c r="B483" s="198">
        <v>475</v>
      </c>
      <c r="C483" s="501" t="str">
        <f t="shared" si="43"/>
        <v/>
      </c>
      <c r="D483" s="502" t="str">
        <f t="shared" si="44"/>
        <v/>
      </c>
      <c r="E483" s="190" t="str">
        <f t="shared" si="45"/>
        <v/>
      </c>
      <c r="F483" s="196" t="str">
        <f t="shared" si="42"/>
        <v/>
      </c>
      <c r="G483" s="190" t="str">
        <f t="shared" si="46"/>
        <v/>
      </c>
      <c r="H483" s="503" t="str">
        <f t="shared" si="47"/>
        <v/>
      </c>
      <c r="I483" s="49"/>
    </row>
    <row r="484" spans="2:9" ht="20.100000000000001" customHeight="1" x14ac:dyDescent="0.3">
      <c r="B484" s="198">
        <v>476</v>
      </c>
      <c r="C484" s="501" t="str">
        <f t="shared" si="43"/>
        <v/>
      </c>
      <c r="D484" s="502" t="str">
        <f t="shared" si="44"/>
        <v/>
      </c>
      <c r="E484" s="190" t="str">
        <f t="shared" si="45"/>
        <v/>
      </c>
      <c r="F484" s="196" t="str">
        <f t="shared" si="42"/>
        <v/>
      </c>
      <c r="G484" s="190" t="str">
        <f t="shared" si="46"/>
        <v/>
      </c>
      <c r="H484" s="503" t="str">
        <f t="shared" si="47"/>
        <v/>
      </c>
      <c r="I484" s="49"/>
    </row>
    <row r="485" spans="2:9" ht="20.100000000000001" customHeight="1" x14ac:dyDescent="0.3">
      <c r="B485" s="198">
        <v>477</v>
      </c>
      <c r="C485" s="501" t="str">
        <f t="shared" si="43"/>
        <v/>
      </c>
      <c r="D485" s="502" t="str">
        <f t="shared" si="44"/>
        <v/>
      </c>
      <c r="E485" s="190" t="str">
        <f t="shared" si="45"/>
        <v/>
      </c>
      <c r="F485" s="196" t="str">
        <f t="shared" si="42"/>
        <v/>
      </c>
      <c r="G485" s="190" t="str">
        <f t="shared" si="46"/>
        <v/>
      </c>
      <c r="H485" s="503" t="str">
        <f t="shared" si="47"/>
        <v/>
      </c>
      <c r="I485" s="49"/>
    </row>
    <row r="486" spans="2:9" ht="20.100000000000001" customHeight="1" x14ac:dyDescent="0.3">
      <c r="B486" s="198">
        <v>478</v>
      </c>
      <c r="C486" s="501" t="str">
        <f t="shared" si="43"/>
        <v/>
      </c>
      <c r="D486" s="502" t="str">
        <f t="shared" si="44"/>
        <v/>
      </c>
      <c r="E486" s="190" t="str">
        <f t="shared" si="45"/>
        <v/>
      </c>
      <c r="F486" s="196" t="str">
        <f t="shared" si="42"/>
        <v/>
      </c>
      <c r="G486" s="190" t="str">
        <f t="shared" si="46"/>
        <v/>
      </c>
      <c r="H486" s="503" t="str">
        <f t="shared" si="47"/>
        <v/>
      </c>
      <c r="I486" s="49"/>
    </row>
    <row r="487" spans="2:9" ht="20.100000000000001" customHeight="1" x14ac:dyDescent="0.3">
      <c r="B487" s="198">
        <v>479</v>
      </c>
      <c r="C487" s="501" t="str">
        <f t="shared" si="43"/>
        <v/>
      </c>
      <c r="D487" s="502" t="str">
        <f t="shared" si="44"/>
        <v/>
      </c>
      <c r="E487" s="190" t="str">
        <f t="shared" si="45"/>
        <v/>
      </c>
      <c r="F487" s="196" t="str">
        <f t="shared" si="42"/>
        <v/>
      </c>
      <c r="G487" s="190" t="str">
        <f t="shared" si="46"/>
        <v/>
      </c>
      <c r="H487" s="503" t="str">
        <f t="shared" si="47"/>
        <v/>
      </c>
      <c r="I487" s="49"/>
    </row>
    <row r="488" spans="2:9" ht="20.100000000000001" customHeight="1" x14ac:dyDescent="0.3">
      <c r="B488" s="198">
        <v>480</v>
      </c>
      <c r="C488" s="501" t="str">
        <f t="shared" si="43"/>
        <v/>
      </c>
      <c r="D488" s="502" t="str">
        <f t="shared" si="44"/>
        <v/>
      </c>
      <c r="E488" s="190" t="str">
        <f t="shared" si="45"/>
        <v/>
      </c>
      <c r="F488" s="196" t="str">
        <f t="shared" si="42"/>
        <v/>
      </c>
      <c r="G488" s="190" t="str">
        <f t="shared" si="46"/>
        <v/>
      </c>
      <c r="H488" s="503" t="str">
        <f t="shared" si="47"/>
        <v/>
      </c>
      <c r="I488" s="49"/>
    </row>
    <row r="489" spans="2:9" ht="20.100000000000001" customHeight="1" x14ac:dyDescent="0.3">
      <c r="B489" s="198">
        <v>481</v>
      </c>
      <c r="C489" s="501" t="str">
        <f t="shared" si="43"/>
        <v/>
      </c>
      <c r="D489" s="502" t="str">
        <f t="shared" si="44"/>
        <v/>
      </c>
      <c r="E489" s="190" t="str">
        <f t="shared" si="45"/>
        <v/>
      </c>
      <c r="F489" s="196" t="str">
        <f t="shared" si="42"/>
        <v/>
      </c>
      <c r="G489" s="190" t="str">
        <f t="shared" si="46"/>
        <v/>
      </c>
      <c r="H489" s="503" t="str">
        <f t="shared" si="47"/>
        <v/>
      </c>
      <c r="I489" s="49"/>
    </row>
    <row r="490" spans="2:9" ht="20.100000000000001" customHeight="1" x14ac:dyDescent="0.3">
      <c r="B490" s="198">
        <v>482</v>
      </c>
      <c r="C490" s="501" t="str">
        <f t="shared" si="43"/>
        <v/>
      </c>
      <c r="D490" s="502" t="str">
        <f t="shared" si="44"/>
        <v/>
      </c>
      <c r="E490" s="190" t="str">
        <f t="shared" si="45"/>
        <v/>
      </c>
      <c r="F490" s="196" t="str">
        <f t="shared" si="42"/>
        <v/>
      </c>
      <c r="G490" s="190" t="str">
        <f t="shared" si="46"/>
        <v/>
      </c>
      <c r="H490" s="503" t="str">
        <f t="shared" si="47"/>
        <v/>
      </c>
      <c r="I490" s="49"/>
    </row>
    <row r="491" spans="2:9" ht="20.100000000000001" customHeight="1" x14ac:dyDescent="0.3">
      <c r="B491" s="198">
        <v>483</v>
      </c>
      <c r="C491" s="501" t="str">
        <f t="shared" si="43"/>
        <v/>
      </c>
      <c r="D491" s="502" t="str">
        <f t="shared" si="44"/>
        <v/>
      </c>
      <c r="E491" s="190" t="str">
        <f t="shared" si="45"/>
        <v/>
      </c>
      <c r="F491" s="196" t="str">
        <f t="shared" si="42"/>
        <v/>
      </c>
      <c r="G491" s="190" t="str">
        <f t="shared" si="46"/>
        <v/>
      </c>
      <c r="H491" s="503" t="str">
        <f t="shared" si="47"/>
        <v/>
      </c>
      <c r="I491" s="49"/>
    </row>
    <row r="492" spans="2:9" ht="20.100000000000001" customHeight="1" x14ac:dyDescent="0.3">
      <c r="B492" s="198">
        <v>484</v>
      </c>
      <c r="C492" s="501" t="str">
        <f t="shared" si="43"/>
        <v/>
      </c>
      <c r="D492" s="502" t="str">
        <f t="shared" si="44"/>
        <v/>
      </c>
      <c r="E492" s="190" t="str">
        <f t="shared" si="45"/>
        <v/>
      </c>
      <c r="F492" s="196" t="str">
        <f t="shared" si="42"/>
        <v/>
      </c>
      <c r="G492" s="190" t="str">
        <f t="shared" si="46"/>
        <v/>
      </c>
      <c r="H492" s="503" t="str">
        <f t="shared" si="47"/>
        <v/>
      </c>
      <c r="I492" s="49"/>
    </row>
    <row r="493" spans="2:9" ht="20.100000000000001" customHeight="1" x14ac:dyDescent="0.3">
      <c r="B493" s="198">
        <v>485</v>
      </c>
      <c r="C493" s="501" t="str">
        <f t="shared" si="43"/>
        <v/>
      </c>
      <c r="D493" s="502" t="str">
        <f t="shared" si="44"/>
        <v/>
      </c>
      <c r="E493" s="190" t="str">
        <f t="shared" si="45"/>
        <v/>
      </c>
      <c r="F493" s="196" t="str">
        <f t="shared" si="42"/>
        <v/>
      </c>
      <c r="G493" s="190" t="str">
        <f t="shared" si="46"/>
        <v/>
      </c>
      <c r="H493" s="503" t="str">
        <f t="shared" si="47"/>
        <v/>
      </c>
      <c r="I493" s="49"/>
    </row>
    <row r="494" spans="2:9" ht="20.100000000000001" customHeight="1" x14ac:dyDescent="0.3">
      <c r="B494" s="198">
        <v>486</v>
      </c>
      <c r="C494" s="501" t="str">
        <f t="shared" si="43"/>
        <v/>
      </c>
      <c r="D494" s="502" t="str">
        <f t="shared" si="44"/>
        <v/>
      </c>
      <c r="E494" s="190" t="str">
        <f t="shared" si="45"/>
        <v/>
      </c>
      <c r="F494" s="196" t="str">
        <f t="shared" si="42"/>
        <v/>
      </c>
      <c r="G494" s="190" t="str">
        <f t="shared" si="46"/>
        <v/>
      </c>
      <c r="H494" s="503" t="str">
        <f t="shared" si="47"/>
        <v/>
      </c>
      <c r="I494" s="49"/>
    </row>
    <row r="495" spans="2:9" ht="20.100000000000001" customHeight="1" x14ac:dyDescent="0.3">
      <c r="B495" s="198">
        <v>487</v>
      </c>
      <c r="C495" s="501" t="str">
        <f t="shared" si="43"/>
        <v/>
      </c>
      <c r="D495" s="502" t="str">
        <f t="shared" si="44"/>
        <v/>
      </c>
      <c r="E495" s="190" t="str">
        <f t="shared" si="45"/>
        <v/>
      </c>
      <c r="F495" s="196" t="str">
        <f t="shared" si="42"/>
        <v/>
      </c>
      <c r="G495" s="190" t="str">
        <f t="shared" si="46"/>
        <v/>
      </c>
      <c r="H495" s="503" t="str">
        <f t="shared" si="47"/>
        <v/>
      </c>
      <c r="I495" s="49"/>
    </row>
    <row r="496" spans="2:9" ht="20.100000000000001" customHeight="1" x14ac:dyDescent="0.3">
      <c r="B496" s="198">
        <v>488</v>
      </c>
      <c r="C496" s="501" t="str">
        <f t="shared" si="43"/>
        <v/>
      </c>
      <c r="D496" s="502" t="str">
        <f t="shared" si="44"/>
        <v/>
      </c>
      <c r="E496" s="190" t="str">
        <f t="shared" si="45"/>
        <v/>
      </c>
      <c r="F496" s="196" t="str">
        <f t="shared" si="42"/>
        <v/>
      </c>
      <c r="G496" s="190" t="str">
        <f t="shared" si="46"/>
        <v/>
      </c>
      <c r="H496" s="503" t="str">
        <f t="shared" si="47"/>
        <v/>
      </c>
      <c r="I496" s="49"/>
    </row>
    <row r="497" spans="2:9" ht="20.100000000000001" customHeight="1" x14ac:dyDescent="0.3">
      <c r="B497" s="198">
        <v>489</v>
      </c>
      <c r="C497" s="501" t="str">
        <f t="shared" si="43"/>
        <v/>
      </c>
      <c r="D497" s="502" t="str">
        <f t="shared" si="44"/>
        <v/>
      </c>
      <c r="E497" s="190" t="str">
        <f t="shared" si="45"/>
        <v/>
      </c>
      <c r="F497" s="196" t="str">
        <f t="shared" si="42"/>
        <v/>
      </c>
      <c r="G497" s="190" t="str">
        <f t="shared" si="46"/>
        <v/>
      </c>
      <c r="H497" s="503" t="str">
        <f t="shared" si="47"/>
        <v/>
      </c>
      <c r="I497" s="49"/>
    </row>
    <row r="498" spans="2:9" ht="20.100000000000001" customHeight="1" x14ac:dyDescent="0.3">
      <c r="B498" s="198">
        <v>490</v>
      </c>
      <c r="C498" s="501" t="str">
        <f t="shared" si="43"/>
        <v/>
      </c>
      <c r="D498" s="502" t="str">
        <f t="shared" si="44"/>
        <v/>
      </c>
      <c r="E498" s="190" t="str">
        <f t="shared" si="45"/>
        <v/>
      </c>
      <c r="F498" s="196" t="str">
        <f t="shared" si="42"/>
        <v/>
      </c>
      <c r="G498" s="190" t="str">
        <f t="shared" si="46"/>
        <v/>
      </c>
      <c r="H498" s="503" t="str">
        <f t="shared" si="47"/>
        <v/>
      </c>
      <c r="I498" s="49"/>
    </row>
    <row r="499" spans="2:9" ht="20.100000000000001" customHeight="1" x14ac:dyDescent="0.3">
      <c r="B499" s="198">
        <v>491</v>
      </c>
      <c r="C499" s="501" t="str">
        <f t="shared" si="43"/>
        <v/>
      </c>
      <c r="D499" s="502" t="str">
        <f t="shared" si="44"/>
        <v/>
      </c>
      <c r="E499" s="190" t="str">
        <f t="shared" si="45"/>
        <v/>
      </c>
      <c r="F499" s="196" t="str">
        <f t="shared" si="42"/>
        <v/>
      </c>
      <c r="G499" s="190" t="str">
        <f t="shared" si="46"/>
        <v/>
      </c>
      <c r="H499" s="503" t="str">
        <f t="shared" si="47"/>
        <v/>
      </c>
      <c r="I499" s="49"/>
    </row>
    <row r="500" spans="2:9" ht="20.100000000000001" customHeight="1" x14ac:dyDescent="0.3">
      <c r="B500" s="198">
        <v>492</v>
      </c>
      <c r="C500" s="501" t="str">
        <f t="shared" si="43"/>
        <v/>
      </c>
      <c r="D500" s="502" t="str">
        <f t="shared" si="44"/>
        <v/>
      </c>
      <c r="E500" s="190" t="str">
        <f t="shared" si="45"/>
        <v/>
      </c>
      <c r="F500" s="196" t="str">
        <f t="shared" si="42"/>
        <v/>
      </c>
      <c r="G500" s="190" t="str">
        <f t="shared" si="46"/>
        <v/>
      </c>
      <c r="H500" s="503" t="str">
        <f t="shared" si="47"/>
        <v/>
      </c>
      <c r="I500" s="49"/>
    </row>
    <row r="501" spans="2:9" ht="20.100000000000001" customHeight="1" x14ac:dyDescent="0.3">
      <c r="B501" s="198">
        <v>493</v>
      </c>
      <c r="C501" s="501" t="str">
        <f t="shared" si="43"/>
        <v/>
      </c>
      <c r="D501" s="502" t="str">
        <f t="shared" si="44"/>
        <v/>
      </c>
      <c r="E501" s="190" t="str">
        <f t="shared" si="45"/>
        <v/>
      </c>
      <c r="F501" s="196" t="str">
        <f t="shared" si="42"/>
        <v/>
      </c>
      <c r="G501" s="190" t="str">
        <f t="shared" si="46"/>
        <v/>
      </c>
      <c r="H501" s="503" t="str">
        <f t="shared" si="47"/>
        <v/>
      </c>
      <c r="I501" s="49"/>
    </row>
    <row r="502" spans="2:9" ht="20.100000000000001" customHeight="1" x14ac:dyDescent="0.3">
      <c r="B502" s="198">
        <v>494</v>
      </c>
      <c r="C502" s="501" t="str">
        <f t="shared" si="43"/>
        <v/>
      </c>
      <c r="D502" s="502" t="str">
        <f t="shared" si="44"/>
        <v/>
      </c>
      <c r="E502" s="190" t="str">
        <f t="shared" si="45"/>
        <v/>
      </c>
      <c r="F502" s="196" t="str">
        <f t="shared" si="42"/>
        <v/>
      </c>
      <c r="G502" s="190" t="str">
        <f t="shared" si="46"/>
        <v/>
      </c>
      <c r="H502" s="503" t="str">
        <f t="shared" si="47"/>
        <v/>
      </c>
      <c r="I502" s="49"/>
    </row>
    <row r="503" spans="2:9" ht="20.100000000000001" customHeight="1" x14ac:dyDescent="0.3">
      <c r="B503" s="198">
        <v>495</v>
      </c>
      <c r="C503" s="501" t="str">
        <f t="shared" si="43"/>
        <v/>
      </c>
      <c r="D503" s="502" t="str">
        <f t="shared" si="44"/>
        <v/>
      </c>
      <c r="E503" s="190" t="str">
        <f t="shared" si="45"/>
        <v/>
      </c>
      <c r="F503" s="196" t="str">
        <f t="shared" si="42"/>
        <v/>
      </c>
      <c r="G503" s="190" t="str">
        <f t="shared" si="46"/>
        <v/>
      </c>
      <c r="H503" s="503" t="str">
        <f t="shared" si="47"/>
        <v/>
      </c>
      <c r="I503" s="49"/>
    </row>
    <row r="504" spans="2:9" ht="20.100000000000001" customHeight="1" x14ac:dyDescent="0.3">
      <c r="B504" s="198">
        <v>496</v>
      </c>
      <c r="C504" s="501" t="str">
        <f t="shared" si="43"/>
        <v/>
      </c>
      <c r="D504" s="502" t="str">
        <f t="shared" si="44"/>
        <v/>
      </c>
      <c r="E504" s="190" t="str">
        <f t="shared" si="45"/>
        <v/>
      </c>
      <c r="F504" s="196" t="str">
        <f t="shared" si="42"/>
        <v/>
      </c>
      <c r="G504" s="190" t="str">
        <f t="shared" si="46"/>
        <v/>
      </c>
      <c r="H504" s="503" t="str">
        <f t="shared" si="47"/>
        <v/>
      </c>
      <c r="I504" s="49"/>
    </row>
    <row r="505" spans="2:9" ht="20.100000000000001" customHeight="1" x14ac:dyDescent="0.3">
      <c r="B505" s="198">
        <v>497</v>
      </c>
      <c r="C505" s="501" t="str">
        <f t="shared" si="43"/>
        <v/>
      </c>
      <c r="D505" s="502" t="str">
        <f t="shared" si="44"/>
        <v/>
      </c>
      <c r="E505" s="190" t="str">
        <f t="shared" si="45"/>
        <v/>
      </c>
      <c r="F505" s="196" t="str">
        <f t="shared" si="42"/>
        <v/>
      </c>
      <c r="G505" s="190" t="str">
        <f t="shared" si="46"/>
        <v/>
      </c>
      <c r="H505" s="503" t="str">
        <f t="shared" si="47"/>
        <v/>
      </c>
      <c r="I505" s="49"/>
    </row>
    <row r="506" spans="2:9" ht="20.100000000000001" customHeight="1" x14ac:dyDescent="0.3">
      <c r="B506" s="198">
        <v>498</v>
      </c>
      <c r="C506" s="501" t="str">
        <f t="shared" si="43"/>
        <v/>
      </c>
      <c r="D506" s="502" t="str">
        <f t="shared" si="44"/>
        <v/>
      </c>
      <c r="E506" s="190" t="str">
        <f t="shared" si="45"/>
        <v/>
      </c>
      <c r="F506" s="196" t="str">
        <f t="shared" si="42"/>
        <v/>
      </c>
      <c r="G506" s="190" t="str">
        <f t="shared" si="46"/>
        <v/>
      </c>
      <c r="H506" s="503" t="str">
        <f t="shared" si="47"/>
        <v/>
      </c>
      <c r="I506" s="49"/>
    </row>
    <row r="507" spans="2:9" ht="20.100000000000001" customHeight="1" x14ac:dyDescent="0.3">
      <c r="B507" s="198">
        <v>499</v>
      </c>
      <c r="C507" s="501" t="str">
        <f t="shared" si="43"/>
        <v/>
      </c>
      <c r="D507" s="502" t="str">
        <f t="shared" si="44"/>
        <v/>
      </c>
      <c r="E507" s="190" t="str">
        <f t="shared" si="45"/>
        <v/>
      </c>
      <c r="F507" s="196" t="str">
        <f t="shared" si="42"/>
        <v/>
      </c>
      <c r="G507" s="190" t="str">
        <f t="shared" si="46"/>
        <v/>
      </c>
      <c r="H507" s="503" t="str">
        <f t="shared" si="47"/>
        <v/>
      </c>
      <c r="I507" s="49"/>
    </row>
    <row r="508" spans="2:9" ht="20.100000000000001" customHeight="1" x14ac:dyDescent="0.3">
      <c r="B508" s="198">
        <v>500</v>
      </c>
      <c r="C508" s="501" t="str">
        <f t="shared" si="43"/>
        <v/>
      </c>
      <c r="D508" s="502" t="str">
        <f t="shared" si="44"/>
        <v/>
      </c>
      <c r="E508" s="190" t="str">
        <f t="shared" si="45"/>
        <v/>
      </c>
      <c r="F508" s="196" t="str">
        <f t="shared" si="42"/>
        <v/>
      </c>
      <c r="G508" s="190" t="str">
        <f t="shared" si="46"/>
        <v/>
      </c>
      <c r="H508" s="503" t="str">
        <f t="shared" si="47"/>
        <v/>
      </c>
      <c r="I508" s="49"/>
    </row>
    <row r="509" spans="2:9" ht="20.100000000000001" customHeight="1" x14ac:dyDescent="0.3">
      <c r="B509" s="198">
        <v>501</v>
      </c>
      <c r="C509" s="501" t="str">
        <f t="shared" si="43"/>
        <v/>
      </c>
      <c r="D509" s="502" t="str">
        <f t="shared" si="44"/>
        <v/>
      </c>
      <c r="E509" s="190" t="str">
        <f t="shared" si="45"/>
        <v/>
      </c>
      <c r="F509" s="196" t="str">
        <f t="shared" si="42"/>
        <v/>
      </c>
      <c r="G509" s="190" t="str">
        <f t="shared" si="46"/>
        <v/>
      </c>
      <c r="H509" s="503" t="str">
        <f t="shared" si="47"/>
        <v/>
      </c>
      <c r="I509" s="49"/>
    </row>
    <row r="510" spans="2:9" ht="20.100000000000001" customHeight="1" x14ac:dyDescent="0.3">
      <c r="B510" s="198">
        <v>502</v>
      </c>
      <c r="C510" s="501" t="str">
        <f t="shared" si="43"/>
        <v/>
      </c>
      <c r="D510" s="502" t="str">
        <f t="shared" si="44"/>
        <v/>
      </c>
      <c r="E510" s="190" t="str">
        <f t="shared" si="45"/>
        <v/>
      </c>
      <c r="F510" s="196" t="str">
        <f t="shared" si="42"/>
        <v/>
      </c>
      <c r="G510" s="190" t="str">
        <f t="shared" si="46"/>
        <v/>
      </c>
      <c r="H510" s="503" t="str">
        <f t="shared" si="47"/>
        <v/>
      </c>
      <c r="I510" s="49"/>
    </row>
    <row r="511" spans="2:9" ht="20.100000000000001" customHeight="1" x14ac:dyDescent="0.3">
      <c r="B511" s="198">
        <v>503</v>
      </c>
      <c r="C511" s="501" t="str">
        <f t="shared" si="43"/>
        <v/>
      </c>
      <c r="D511" s="502" t="str">
        <f t="shared" si="44"/>
        <v/>
      </c>
      <c r="E511" s="190" t="str">
        <f t="shared" si="45"/>
        <v/>
      </c>
      <c r="F511" s="196" t="str">
        <f t="shared" si="42"/>
        <v/>
      </c>
      <c r="G511" s="190" t="str">
        <f t="shared" si="46"/>
        <v/>
      </c>
      <c r="H511" s="503" t="str">
        <f t="shared" si="47"/>
        <v/>
      </c>
      <c r="I511" s="49"/>
    </row>
    <row r="512" spans="2:9" ht="20.100000000000001" customHeight="1" x14ac:dyDescent="0.3">
      <c r="B512" s="198">
        <v>504</v>
      </c>
      <c r="C512" s="501" t="str">
        <f t="shared" si="43"/>
        <v/>
      </c>
      <c r="D512" s="502" t="str">
        <f t="shared" si="44"/>
        <v/>
      </c>
      <c r="E512" s="190" t="str">
        <f t="shared" si="45"/>
        <v/>
      </c>
      <c r="F512" s="196" t="str">
        <f t="shared" si="42"/>
        <v/>
      </c>
      <c r="G512" s="190" t="str">
        <f t="shared" si="46"/>
        <v/>
      </c>
      <c r="H512" s="503" t="str">
        <f t="shared" si="47"/>
        <v/>
      </c>
      <c r="I512" s="49"/>
    </row>
    <row r="513" spans="2:9" ht="20.100000000000001" customHeight="1" x14ac:dyDescent="0.3">
      <c r="B513" s="198">
        <v>505</v>
      </c>
      <c r="C513" s="501" t="str">
        <f t="shared" si="43"/>
        <v/>
      </c>
      <c r="D513" s="502" t="str">
        <f t="shared" si="44"/>
        <v/>
      </c>
      <c r="E513" s="190" t="str">
        <f t="shared" si="45"/>
        <v/>
      </c>
      <c r="F513" s="196" t="str">
        <f t="shared" si="42"/>
        <v/>
      </c>
      <c r="G513" s="190" t="str">
        <f t="shared" si="46"/>
        <v/>
      </c>
      <c r="H513" s="503" t="str">
        <f t="shared" si="47"/>
        <v/>
      </c>
      <c r="I513" s="49"/>
    </row>
    <row r="514" spans="2:9" ht="20.100000000000001" customHeight="1" x14ac:dyDescent="0.3">
      <c r="B514" s="198">
        <v>506</v>
      </c>
      <c r="C514" s="501" t="str">
        <f t="shared" si="43"/>
        <v/>
      </c>
      <c r="D514" s="502" t="str">
        <f t="shared" si="44"/>
        <v/>
      </c>
      <c r="E514" s="190" t="str">
        <f t="shared" si="45"/>
        <v/>
      </c>
      <c r="F514" s="196" t="str">
        <f t="shared" si="42"/>
        <v/>
      </c>
      <c r="G514" s="190" t="str">
        <f t="shared" si="46"/>
        <v/>
      </c>
      <c r="H514" s="503" t="str">
        <f t="shared" si="47"/>
        <v/>
      </c>
      <c r="I514" s="49"/>
    </row>
    <row r="515" spans="2:9" ht="20.100000000000001" customHeight="1" x14ac:dyDescent="0.3">
      <c r="B515" s="198">
        <v>507</v>
      </c>
      <c r="C515" s="501" t="str">
        <f t="shared" si="43"/>
        <v/>
      </c>
      <c r="D515" s="502" t="str">
        <f t="shared" si="44"/>
        <v/>
      </c>
      <c r="E515" s="190" t="str">
        <f t="shared" si="45"/>
        <v/>
      </c>
      <c r="F515" s="196" t="str">
        <f t="shared" si="42"/>
        <v/>
      </c>
      <c r="G515" s="190" t="str">
        <f t="shared" si="46"/>
        <v/>
      </c>
      <c r="H515" s="503" t="str">
        <f t="shared" si="47"/>
        <v/>
      </c>
      <c r="I515" s="49"/>
    </row>
    <row r="516" spans="2:9" ht="20.100000000000001" customHeight="1" x14ac:dyDescent="0.3">
      <c r="B516" s="198">
        <v>508</v>
      </c>
      <c r="C516" s="501" t="str">
        <f t="shared" si="43"/>
        <v/>
      </c>
      <c r="D516" s="502" t="str">
        <f t="shared" si="44"/>
        <v/>
      </c>
      <c r="E516" s="190" t="str">
        <f t="shared" si="45"/>
        <v/>
      </c>
      <c r="F516" s="196" t="str">
        <f t="shared" si="42"/>
        <v/>
      </c>
      <c r="G516" s="190" t="str">
        <f t="shared" si="46"/>
        <v/>
      </c>
      <c r="H516" s="503" t="str">
        <f t="shared" si="47"/>
        <v/>
      </c>
      <c r="I516" s="49"/>
    </row>
    <row r="517" spans="2:9" ht="20.100000000000001" customHeight="1" x14ac:dyDescent="0.3">
      <c r="B517" s="198">
        <v>509</v>
      </c>
      <c r="C517" s="501" t="str">
        <f t="shared" si="43"/>
        <v/>
      </c>
      <c r="D517" s="502" t="str">
        <f t="shared" si="44"/>
        <v/>
      </c>
      <c r="E517" s="190" t="str">
        <f t="shared" si="45"/>
        <v/>
      </c>
      <c r="F517" s="196" t="str">
        <f t="shared" si="42"/>
        <v/>
      </c>
      <c r="G517" s="190" t="str">
        <f t="shared" si="46"/>
        <v/>
      </c>
      <c r="H517" s="503" t="str">
        <f t="shared" si="47"/>
        <v/>
      </c>
      <c r="I517" s="49"/>
    </row>
    <row r="518" spans="2:9" ht="20.100000000000001" customHeight="1" x14ac:dyDescent="0.3">
      <c r="B518" s="198">
        <v>510</v>
      </c>
      <c r="C518" s="501" t="str">
        <f t="shared" si="43"/>
        <v/>
      </c>
      <c r="D518" s="502" t="str">
        <f t="shared" si="44"/>
        <v/>
      </c>
      <c r="E518" s="190" t="str">
        <f t="shared" si="45"/>
        <v/>
      </c>
      <c r="F518" s="196" t="str">
        <f t="shared" si="42"/>
        <v/>
      </c>
      <c r="G518" s="190" t="str">
        <f t="shared" si="46"/>
        <v/>
      </c>
      <c r="H518" s="503" t="str">
        <f t="shared" si="47"/>
        <v/>
      </c>
      <c r="I518" s="49"/>
    </row>
    <row r="519" spans="2:9" ht="20.100000000000001" customHeight="1" x14ac:dyDescent="0.3">
      <c r="B519" s="198">
        <v>511</v>
      </c>
      <c r="C519" s="501" t="str">
        <f t="shared" si="43"/>
        <v/>
      </c>
      <c r="D519" s="502" t="str">
        <f t="shared" si="44"/>
        <v/>
      </c>
      <c r="E519" s="190" t="str">
        <f t="shared" si="45"/>
        <v/>
      </c>
      <c r="F519" s="196" t="str">
        <f t="shared" si="42"/>
        <v/>
      </c>
      <c r="G519" s="190" t="str">
        <f t="shared" si="46"/>
        <v/>
      </c>
      <c r="H519" s="503" t="str">
        <f t="shared" si="47"/>
        <v/>
      </c>
      <c r="I519" s="49"/>
    </row>
    <row r="520" spans="2:9" ht="20.100000000000001" customHeight="1" x14ac:dyDescent="0.3">
      <c r="B520" s="198">
        <v>512</v>
      </c>
      <c r="C520" s="501" t="str">
        <f t="shared" si="43"/>
        <v/>
      </c>
      <c r="D520" s="502" t="str">
        <f t="shared" si="44"/>
        <v/>
      </c>
      <c r="E520" s="190" t="str">
        <f t="shared" si="45"/>
        <v/>
      </c>
      <c r="F520" s="196" t="str">
        <f t="shared" si="42"/>
        <v/>
      </c>
      <c r="G520" s="190" t="str">
        <f t="shared" si="46"/>
        <v/>
      </c>
      <c r="H520" s="503" t="str">
        <f t="shared" si="47"/>
        <v/>
      </c>
      <c r="I520" s="49"/>
    </row>
    <row r="521" spans="2:9" ht="20.100000000000001" customHeight="1" x14ac:dyDescent="0.3">
      <c r="B521" s="198">
        <v>513</v>
      </c>
      <c r="C521" s="501" t="str">
        <f t="shared" si="43"/>
        <v/>
      </c>
      <c r="D521" s="502" t="str">
        <f t="shared" si="44"/>
        <v/>
      </c>
      <c r="E521" s="190" t="str">
        <f t="shared" si="45"/>
        <v/>
      </c>
      <c r="F521" s="196" t="str">
        <f t="shared" si="42"/>
        <v/>
      </c>
      <c r="G521" s="190" t="str">
        <f t="shared" si="46"/>
        <v/>
      </c>
      <c r="H521" s="503" t="str">
        <f t="shared" si="47"/>
        <v/>
      </c>
      <c r="I521" s="49"/>
    </row>
    <row r="522" spans="2:9" ht="20.100000000000001" customHeight="1" x14ac:dyDescent="0.3">
      <c r="B522" s="198">
        <v>514</v>
      </c>
      <c r="C522" s="501" t="str">
        <f t="shared" si="43"/>
        <v/>
      </c>
      <c r="D522" s="502" t="str">
        <f t="shared" si="44"/>
        <v/>
      </c>
      <c r="E522" s="190" t="str">
        <f t="shared" si="45"/>
        <v/>
      </c>
      <c r="F522" s="196" t="str">
        <f t="shared" ref="F522:F585" si="48">IF($H$4="","",IF($F$4="원리금균등상환",IFERROR(D522+E522,""),IF($F$4="원금균등상환",D522+E522,"")))</f>
        <v/>
      </c>
      <c r="G522" s="190" t="str">
        <f t="shared" si="46"/>
        <v/>
      </c>
      <c r="H522" s="503" t="str">
        <f t="shared" si="47"/>
        <v/>
      </c>
      <c r="I522" s="49"/>
    </row>
    <row r="523" spans="2:9" ht="20.100000000000001" customHeight="1" x14ac:dyDescent="0.3">
      <c r="B523" s="198">
        <v>515</v>
      </c>
      <c r="C523" s="501" t="str">
        <f t="shared" ref="C523:C586" si="49">IF($H$4="","",IF(B523&gt;($B$6),"",IF(B523&lt;=($B$6),DATE(YEAR($G$4),MONTH($G$4)+B522,DAY($G$4)),"")))</f>
        <v/>
      </c>
      <c r="D523" s="502" t="str">
        <f t="shared" ref="D523:D586" si="50">IF($H$4="","",IF($F$4="원리금균등상환",IFERROR(IF(B523&lt;=$D$6,0,-PPMT($E$4/12,B523-$D$6,($B$6-$D$6),$D$4)),""),IF($F$4="원금균등상환",IF(B523&lt;($D$6+1),0,IF(B523&gt;$B$6,0,$D$4/($B$6-$D$6))),IF($F$4="만기일시상환",0,""))))</f>
        <v/>
      </c>
      <c r="E523" s="190" t="str">
        <f t="shared" ref="E523:E586" si="51">IF($H$4="","",IF($F$4="원리금균등상환",IFERROR(IF(B523&lt;=$D$6,$H522*($E$4/12),-IPMT($E$4/12,B523-$D$6,($B$6-$D$6),$D$4)),""),IF($F$4="원금균등상환",(H522-D523)*$E$4/12,IF($F$4="만기일시상환",IFERROR(IF(B523&lt;=$B$6,$D$4*($E$4/12),""),"")))))</f>
        <v/>
      </c>
      <c r="F523" s="196" t="str">
        <f t="shared" si="48"/>
        <v/>
      </c>
      <c r="G523" s="190" t="str">
        <f t="shared" ref="G523:G586" si="52">IFERROR(IF(B523&gt;(($D$6+$B$6)*12),"",IF(B523=1,D523,D523+G522)),"")</f>
        <v/>
      </c>
      <c r="H523" s="503" t="str">
        <f t="shared" ref="H523:H586" si="53">IFERROR(IF($H$4="","",H522-D523),"")</f>
        <v/>
      </c>
      <c r="I523" s="49"/>
    </row>
    <row r="524" spans="2:9" ht="20.100000000000001" customHeight="1" x14ac:dyDescent="0.3">
      <c r="B524" s="198">
        <v>516</v>
      </c>
      <c r="C524" s="501" t="str">
        <f t="shared" si="49"/>
        <v/>
      </c>
      <c r="D524" s="502" t="str">
        <f t="shared" si="50"/>
        <v/>
      </c>
      <c r="E524" s="190" t="str">
        <f t="shared" si="51"/>
        <v/>
      </c>
      <c r="F524" s="196" t="str">
        <f t="shared" si="48"/>
        <v/>
      </c>
      <c r="G524" s="190" t="str">
        <f t="shared" si="52"/>
        <v/>
      </c>
      <c r="H524" s="503" t="str">
        <f t="shared" si="53"/>
        <v/>
      </c>
      <c r="I524" s="49"/>
    </row>
    <row r="525" spans="2:9" ht="20.100000000000001" customHeight="1" x14ac:dyDescent="0.3">
      <c r="B525" s="198">
        <v>517</v>
      </c>
      <c r="C525" s="501" t="str">
        <f t="shared" si="49"/>
        <v/>
      </c>
      <c r="D525" s="502" t="str">
        <f t="shared" si="50"/>
        <v/>
      </c>
      <c r="E525" s="190" t="str">
        <f t="shared" si="51"/>
        <v/>
      </c>
      <c r="F525" s="196" t="str">
        <f t="shared" si="48"/>
        <v/>
      </c>
      <c r="G525" s="190" t="str">
        <f t="shared" si="52"/>
        <v/>
      </c>
      <c r="H525" s="503" t="str">
        <f t="shared" si="53"/>
        <v/>
      </c>
      <c r="I525" s="49"/>
    </row>
    <row r="526" spans="2:9" ht="20.100000000000001" customHeight="1" x14ac:dyDescent="0.3">
      <c r="B526" s="198">
        <v>518</v>
      </c>
      <c r="C526" s="501" t="str">
        <f t="shared" si="49"/>
        <v/>
      </c>
      <c r="D526" s="502" t="str">
        <f t="shared" si="50"/>
        <v/>
      </c>
      <c r="E526" s="190" t="str">
        <f t="shared" si="51"/>
        <v/>
      </c>
      <c r="F526" s="196" t="str">
        <f t="shared" si="48"/>
        <v/>
      </c>
      <c r="G526" s="190" t="str">
        <f t="shared" si="52"/>
        <v/>
      </c>
      <c r="H526" s="503" t="str">
        <f t="shared" si="53"/>
        <v/>
      </c>
      <c r="I526" s="49"/>
    </row>
    <row r="527" spans="2:9" ht="20.100000000000001" customHeight="1" x14ac:dyDescent="0.3">
      <c r="B527" s="198">
        <v>519</v>
      </c>
      <c r="C527" s="501" t="str">
        <f t="shared" si="49"/>
        <v/>
      </c>
      <c r="D527" s="502" t="str">
        <f t="shared" si="50"/>
        <v/>
      </c>
      <c r="E527" s="190" t="str">
        <f t="shared" si="51"/>
        <v/>
      </c>
      <c r="F527" s="196" t="str">
        <f t="shared" si="48"/>
        <v/>
      </c>
      <c r="G527" s="190" t="str">
        <f t="shared" si="52"/>
        <v/>
      </c>
      <c r="H527" s="503" t="str">
        <f t="shared" si="53"/>
        <v/>
      </c>
      <c r="I527" s="49"/>
    </row>
    <row r="528" spans="2:9" ht="20.100000000000001" customHeight="1" x14ac:dyDescent="0.3">
      <c r="B528" s="198">
        <v>520</v>
      </c>
      <c r="C528" s="501" t="str">
        <f t="shared" si="49"/>
        <v/>
      </c>
      <c r="D528" s="502" t="str">
        <f t="shared" si="50"/>
        <v/>
      </c>
      <c r="E528" s="190" t="str">
        <f t="shared" si="51"/>
        <v/>
      </c>
      <c r="F528" s="196" t="str">
        <f t="shared" si="48"/>
        <v/>
      </c>
      <c r="G528" s="190" t="str">
        <f t="shared" si="52"/>
        <v/>
      </c>
      <c r="H528" s="503" t="str">
        <f t="shared" si="53"/>
        <v/>
      </c>
      <c r="I528" s="49"/>
    </row>
    <row r="529" spans="2:9" ht="20.100000000000001" customHeight="1" x14ac:dyDescent="0.3">
      <c r="B529" s="198">
        <v>521</v>
      </c>
      <c r="C529" s="501" t="str">
        <f t="shared" si="49"/>
        <v/>
      </c>
      <c r="D529" s="502" t="str">
        <f t="shared" si="50"/>
        <v/>
      </c>
      <c r="E529" s="190" t="str">
        <f t="shared" si="51"/>
        <v/>
      </c>
      <c r="F529" s="196" t="str">
        <f t="shared" si="48"/>
        <v/>
      </c>
      <c r="G529" s="190" t="str">
        <f t="shared" si="52"/>
        <v/>
      </c>
      <c r="H529" s="503" t="str">
        <f t="shared" si="53"/>
        <v/>
      </c>
      <c r="I529" s="49"/>
    </row>
    <row r="530" spans="2:9" ht="20.100000000000001" customHeight="1" x14ac:dyDescent="0.3">
      <c r="B530" s="198">
        <v>522</v>
      </c>
      <c r="C530" s="501" t="str">
        <f t="shared" si="49"/>
        <v/>
      </c>
      <c r="D530" s="502" t="str">
        <f t="shared" si="50"/>
        <v/>
      </c>
      <c r="E530" s="190" t="str">
        <f t="shared" si="51"/>
        <v/>
      </c>
      <c r="F530" s="196" t="str">
        <f t="shared" si="48"/>
        <v/>
      </c>
      <c r="G530" s="190" t="str">
        <f t="shared" si="52"/>
        <v/>
      </c>
      <c r="H530" s="503" t="str">
        <f t="shared" si="53"/>
        <v/>
      </c>
      <c r="I530" s="49"/>
    </row>
    <row r="531" spans="2:9" ht="20.100000000000001" customHeight="1" x14ac:dyDescent="0.3">
      <c r="B531" s="198">
        <v>523</v>
      </c>
      <c r="C531" s="501" t="str">
        <f t="shared" si="49"/>
        <v/>
      </c>
      <c r="D531" s="502" t="str">
        <f t="shared" si="50"/>
        <v/>
      </c>
      <c r="E531" s="190" t="str">
        <f t="shared" si="51"/>
        <v/>
      </c>
      <c r="F531" s="196" t="str">
        <f t="shared" si="48"/>
        <v/>
      </c>
      <c r="G531" s="190" t="str">
        <f t="shared" si="52"/>
        <v/>
      </c>
      <c r="H531" s="503" t="str">
        <f t="shared" si="53"/>
        <v/>
      </c>
      <c r="I531" s="49"/>
    </row>
    <row r="532" spans="2:9" ht="20.100000000000001" customHeight="1" x14ac:dyDescent="0.3">
      <c r="B532" s="198">
        <v>524</v>
      </c>
      <c r="C532" s="501" t="str">
        <f t="shared" si="49"/>
        <v/>
      </c>
      <c r="D532" s="502" t="str">
        <f t="shared" si="50"/>
        <v/>
      </c>
      <c r="E532" s="190" t="str">
        <f t="shared" si="51"/>
        <v/>
      </c>
      <c r="F532" s="196" t="str">
        <f t="shared" si="48"/>
        <v/>
      </c>
      <c r="G532" s="190" t="str">
        <f t="shared" si="52"/>
        <v/>
      </c>
      <c r="H532" s="503" t="str">
        <f t="shared" si="53"/>
        <v/>
      </c>
      <c r="I532" s="49"/>
    </row>
    <row r="533" spans="2:9" ht="20.100000000000001" customHeight="1" x14ac:dyDescent="0.3">
      <c r="B533" s="198">
        <v>525</v>
      </c>
      <c r="C533" s="501" t="str">
        <f t="shared" si="49"/>
        <v/>
      </c>
      <c r="D533" s="502" t="str">
        <f t="shared" si="50"/>
        <v/>
      </c>
      <c r="E533" s="190" t="str">
        <f t="shared" si="51"/>
        <v/>
      </c>
      <c r="F533" s="196" t="str">
        <f t="shared" si="48"/>
        <v/>
      </c>
      <c r="G533" s="190" t="str">
        <f t="shared" si="52"/>
        <v/>
      </c>
      <c r="H533" s="503" t="str">
        <f t="shared" si="53"/>
        <v/>
      </c>
      <c r="I533" s="49"/>
    </row>
    <row r="534" spans="2:9" ht="20.100000000000001" customHeight="1" x14ac:dyDescent="0.3">
      <c r="B534" s="198">
        <v>526</v>
      </c>
      <c r="C534" s="501" t="str">
        <f t="shared" si="49"/>
        <v/>
      </c>
      <c r="D534" s="502" t="str">
        <f t="shared" si="50"/>
        <v/>
      </c>
      <c r="E534" s="190" t="str">
        <f t="shared" si="51"/>
        <v/>
      </c>
      <c r="F534" s="196" t="str">
        <f t="shared" si="48"/>
        <v/>
      </c>
      <c r="G534" s="190" t="str">
        <f t="shared" si="52"/>
        <v/>
      </c>
      <c r="H534" s="503" t="str">
        <f t="shared" si="53"/>
        <v/>
      </c>
      <c r="I534" s="49"/>
    </row>
    <row r="535" spans="2:9" ht="20.100000000000001" customHeight="1" x14ac:dyDescent="0.3">
      <c r="B535" s="198">
        <v>527</v>
      </c>
      <c r="C535" s="501" t="str">
        <f t="shared" si="49"/>
        <v/>
      </c>
      <c r="D535" s="502" t="str">
        <f t="shared" si="50"/>
        <v/>
      </c>
      <c r="E535" s="190" t="str">
        <f t="shared" si="51"/>
        <v/>
      </c>
      <c r="F535" s="196" t="str">
        <f t="shared" si="48"/>
        <v/>
      </c>
      <c r="G535" s="190" t="str">
        <f t="shared" si="52"/>
        <v/>
      </c>
      <c r="H535" s="503" t="str">
        <f t="shared" si="53"/>
        <v/>
      </c>
      <c r="I535" s="49"/>
    </row>
    <row r="536" spans="2:9" ht="20.100000000000001" customHeight="1" x14ac:dyDescent="0.3">
      <c r="B536" s="198">
        <v>528</v>
      </c>
      <c r="C536" s="501" t="str">
        <f t="shared" si="49"/>
        <v/>
      </c>
      <c r="D536" s="502" t="str">
        <f t="shared" si="50"/>
        <v/>
      </c>
      <c r="E536" s="190" t="str">
        <f t="shared" si="51"/>
        <v/>
      </c>
      <c r="F536" s="196" t="str">
        <f t="shared" si="48"/>
        <v/>
      </c>
      <c r="G536" s="190" t="str">
        <f t="shared" si="52"/>
        <v/>
      </c>
      <c r="H536" s="503" t="str">
        <f t="shared" si="53"/>
        <v/>
      </c>
      <c r="I536" s="49"/>
    </row>
    <row r="537" spans="2:9" ht="20.100000000000001" customHeight="1" x14ac:dyDescent="0.3">
      <c r="B537" s="198">
        <v>529</v>
      </c>
      <c r="C537" s="501" t="str">
        <f t="shared" si="49"/>
        <v/>
      </c>
      <c r="D537" s="502" t="str">
        <f t="shared" si="50"/>
        <v/>
      </c>
      <c r="E537" s="190" t="str">
        <f t="shared" si="51"/>
        <v/>
      </c>
      <c r="F537" s="196" t="str">
        <f t="shared" si="48"/>
        <v/>
      </c>
      <c r="G537" s="190" t="str">
        <f t="shared" si="52"/>
        <v/>
      </c>
      <c r="H537" s="503" t="str">
        <f t="shared" si="53"/>
        <v/>
      </c>
      <c r="I537" s="49"/>
    </row>
    <row r="538" spans="2:9" ht="20.100000000000001" customHeight="1" x14ac:dyDescent="0.3">
      <c r="B538" s="198">
        <v>530</v>
      </c>
      <c r="C538" s="501" t="str">
        <f t="shared" si="49"/>
        <v/>
      </c>
      <c r="D538" s="502" t="str">
        <f t="shared" si="50"/>
        <v/>
      </c>
      <c r="E538" s="190" t="str">
        <f t="shared" si="51"/>
        <v/>
      </c>
      <c r="F538" s="196" t="str">
        <f t="shared" si="48"/>
        <v/>
      </c>
      <c r="G538" s="190" t="str">
        <f t="shared" si="52"/>
        <v/>
      </c>
      <c r="H538" s="503" t="str">
        <f t="shared" si="53"/>
        <v/>
      </c>
      <c r="I538" s="49"/>
    </row>
    <row r="539" spans="2:9" ht="20.100000000000001" customHeight="1" x14ac:dyDescent="0.3">
      <c r="B539" s="198">
        <v>531</v>
      </c>
      <c r="C539" s="501" t="str">
        <f t="shared" si="49"/>
        <v/>
      </c>
      <c r="D539" s="502" t="str">
        <f t="shared" si="50"/>
        <v/>
      </c>
      <c r="E539" s="190" t="str">
        <f t="shared" si="51"/>
        <v/>
      </c>
      <c r="F539" s="196" t="str">
        <f t="shared" si="48"/>
        <v/>
      </c>
      <c r="G539" s="190" t="str">
        <f t="shared" si="52"/>
        <v/>
      </c>
      <c r="H539" s="503" t="str">
        <f t="shared" si="53"/>
        <v/>
      </c>
      <c r="I539" s="49"/>
    </row>
    <row r="540" spans="2:9" ht="20.100000000000001" customHeight="1" x14ac:dyDescent="0.3">
      <c r="B540" s="198">
        <v>532</v>
      </c>
      <c r="C540" s="501" t="str">
        <f t="shared" si="49"/>
        <v/>
      </c>
      <c r="D540" s="502" t="str">
        <f t="shared" si="50"/>
        <v/>
      </c>
      <c r="E540" s="190" t="str">
        <f t="shared" si="51"/>
        <v/>
      </c>
      <c r="F540" s="196" t="str">
        <f t="shared" si="48"/>
        <v/>
      </c>
      <c r="G540" s="190" t="str">
        <f t="shared" si="52"/>
        <v/>
      </c>
      <c r="H540" s="503" t="str">
        <f t="shared" si="53"/>
        <v/>
      </c>
      <c r="I540" s="49"/>
    </row>
    <row r="541" spans="2:9" ht="20.100000000000001" customHeight="1" x14ac:dyDescent="0.3">
      <c r="B541" s="198">
        <v>533</v>
      </c>
      <c r="C541" s="501" t="str">
        <f t="shared" si="49"/>
        <v/>
      </c>
      <c r="D541" s="502" t="str">
        <f t="shared" si="50"/>
        <v/>
      </c>
      <c r="E541" s="190" t="str">
        <f t="shared" si="51"/>
        <v/>
      </c>
      <c r="F541" s="196" t="str">
        <f t="shared" si="48"/>
        <v/>
      </c>
      <c r="G541" s="190" t="str">
        <f t="shared" si="52"/>
        <v/>
      </c>
      <c r="H541" s="503" t="str">
        <f t="shared" si="53"/>
        <v/>
      </c>
      <c r="I541" s="49"/>
    </row>
    <row r="542" spans="2:9" ht="20.100000000000001" customHeight="1" x14ac:dyDescent="0.3">
      <c r="B542" s="198">
        <v>534</v>
      </c>
      <c r="C542" s="501" t="str">
        <f t="shared" si="49"/>
        <v/>
      </c>
      <c r="D542" s="502" t="str">
        <f t="shared" si="50"/>
        <v/>
      </c>
      <c r="E542" s="190" t="str">
        <f t="shared" si="51"/>
        <v/>
      </c>
      <c r="F542" s="196" t="str">
        <f t="shared" si="48"/>
        <v/>
      </c>
      <c r="G542" s="190" t="str">
        <f t="shared" si="52"/>
        <v/>
      </c>
      <c r="H542" s="503" t="str">
        <f t="shared" si="53"/>
        <v/>
      </c>
      <c r="I542" s="49"/>
    </row>
    <row r="543" spans="2:9" ht="20.100000000000001" customHeight="1" x14ac:dyDescent="0.3">
      <c r="B543" s="198">
        <v>535</v>
      </c>
      <c r="C543" s="501" t="str">
        <f t="shared" si="49"/>
        <v/>
      </c>
      <c r="D543" s="502" t="str">
        <f t="shared" si="50"/>
        <v/>
      </c>
      <c r="E543" s="190" t="str">
        <f t="shared" si="51"/>
        <v/>
      </c>
      <c r="F543" s="196" t="str">
        <f t="shared" si="48"/>
        <v/>
      </c>
      <c r="G543" s="190" t="str">
        <f t="shared" si="52"/>
        <v/>
      </c>
      <c r="H543" s="503" t="str">
        <f t="shared" si="53"/>
        <v/>
      </c>
      <c r="I543" s="49"/>
    </row>
    <row r="544" spans="2:9" ht="20.100000000000001" customHeight="1" x14ac:dyDescent="0.3">
      <c r="B544" s="198">
        <v>536</v>
      </c>
      <c r="C544" s="501" t="str">
        <f t="shared" si="49"/>
        <v/>
      </c>
      <c r="D544" s="502" t="str">
        <f t="shared" si="50"/>
        <v/>
      </c>
      <c r="E544" s="190" t="str">
        <f t="shared" si="51"/>
        <v/>
      </c>
      <c r="F544" s="196" t="str">
        <f t="shared" si="48"/>
        <v/>
      </c>
      <c r="G544" s="190" t="str">
        <f t="shared" si="52"/>
        <v/>
      </c>
      <c r="H544" s="503" t="str">
        <f t="shared" si="53"/>
        <v/>
      </c>
      <c r="I544" s="49"/>
    </row>
    <row r="545" spans="2:9" ht="20.100000000000001" customHeight="1" x14ac:dyDescent="0.3">
      <c r="B545" s="198">
        <v>537</v>
      </c>
      <c r="C545" s="501" t="str">
        <f t="shared" si="49"/>
        <v/>
      </c>
      <c r="D545" s="502" t="str">
        <f t="shared" si="50"/>
        <v/>
      </c>
      <c r="E545" s="190" t="str">
        <f t="shared" si="51"/>
        <v/>
      </c>
      <c r="F545" s="196" t="str">
        <f t="shared" si="48"/>
        <v/>
      </c>
      <c r="G545" s="190" t="str">
        <f t="shared" si="52"/>
        <v/>
      </c>
      <c r="H545" s="503" t="str">
        <f t="shared" si="53"/>
        <v/>
      </c>
      <c r="I545" s="49"/>
    </row>
    <row r="546" spans="2:9" ht="20.100000000000001" customHeight="1" x14ac:dyDescent="0.3">
      <c r="B546" s="198">
        <v>538</v>
      </c>
      <c r="C546" s="501" t="str">
        <f t="shared" si="49"/>
        <v/>
      </c>
      <c r="D546" s="502" t="str">
        <f t="shared" si="50"/>
        <v/>
      </c>
      <c r="E546" s="190" t="str">
        <f t="shared" si="51"/>
        <v/>
      </c>
      <c r="F546" s="196" t="str">
        <f t="shared" si="48"/>
        <v/>
      </c>
      <c r="G546" s="190" t="str">
        <f t="shared" si="52"/>
        <v/>
      </c>
      <c r="H546" s="503" t="str">
        <f t="shared" si="53"/>
        <v/>
      </c>
      <c r="I546" s="49"/>
    </row>
    <row r="547" spans="2:9" ht="20.100000000000001" customHeight="1" x14ac:dyDescent="0.3">
      <c r="B547" s="198">
        <v>539</v>
      </c>
      <c r="C547" s="501" t="str">
        <f t="shared" si="49"/>
        <v/>
      </c>
      <c r="D547" s="502" t="str">
        <f t="shared" si="50"/>
        <v/>
      </c>
      <c r="E547" s="190" t="str">
        <f t="shared" si="51"/>
        <v/>
      </c>
      <c r="F547" s="196" t="str">
        <f t="shared" si="48"/>
        <v/>
      </c>
      <c r="G547" s="190" t="str">
        <f t="shared" si="52"/>
        <v/>
      </c>
      <c r="H547" s="503" t="str">
        <f t="shared" si="53"/>
        <v/>
      </c>
      <c r="I547" s="49"/>
    </row>
    <row r="548" spans="2:9" ht="20.100000000000001" customHeight="1" x14ac:dyDescent="0.3">
      <c r="B548" s="198">
        <v>540</v>
      </c>
      <c r="C548" s="501" t="str">
        <f t="shared" si="49"/>
        <v/>
      </c>
      <c r="D548" s="502" t="str">
        <f t="shared" si="50"/>
        <v/>
      </c>
      <c r="E548" s="190" t="str">
        <f t="shared" si="51"/>
        <v/>
      </c>
      <c r="F548" s="196" t="str">
        <f t="shared" si="48"/>
        <v/>
      </c>
      <c r="G548" s="190" t="str">
        <f t="shared" si="52"/>
        <v/>
      </c>
      <c r="H548" s="503" t="str">
        <f t="shared" si="53"/>
        <v/>
      </c>
      <c r="I548" s="49"/>
    </row>
    <row r="549" spans="2:9" ht="20.100000000000001" customHeight="1" x14ac:dyDescent="0.3">
      <c r="B549" s="198">
        <v>541</v>
      </c>
      <c r="C549" s="501" t="str">
        <f t="shared" si="49"/>
        <v/>
      </c>
      <c r="D549" s="502" t="str">
        <f t="shared" si="50"/>
        <v/>
      </c>
      <c r="E549" s="190" t="str">
        <f t="shared" si="51"/>
        <v/>
      </c>
      <c r="F549" s="196" t="str">
        <f t="shared" si="48"/>
        <v/>
      </c>
      <c r="G549" s="190" t="str">
        <f t="shared" si="52"/>
        <v/>
      </c>
      <c r="H549" s="503" t="str">
        <f t="shared" si="53"/>
        <v/>
      </c>
      <c r="I549" s="49"/>
    </row>
    <row r="550" spans="2:9" ht="20.100000000000001" customHeight="1" x14ac:dyDescent="0.3">
      <c r="B550" s="198">
        <v>542</v>
      </c>
      <c r="C550" s="501" t="str">
        <f t="shared" si="49"/>
        <v/>
      </c>
      <c r="D550" s="502" t="str">
        <f t="shared" si="50"/>
        <v/>
      </c>
      <c r="E550" s="190" t="str">
        <f t="shared" si="51"/>
        <v/>
      </c>
      <c r="F550" s="196" t="str">
        <f t="shared" si="48"/>
        <v/>
      </c>
      <c r="G550" s="190" t="str">
        <f t="shared" si="52"/>
        <v/>
      </c>
      <c r="H550" s="503" t="str">
        <f t="shared" si="53"/>
        <v/>
      </c>
      <c r="I550" s="49"/>
    </row>
    <row r="551" spans="2:9" ht="20.100000000000001" customHeight="1" x14ac:dyDescent="0.3">
      <c r="B551" s="198">
        <v>543</v>
      </c>
      <c r="C551" s="501" t="str">
        <f t="shared" si="49"/>
        <v/>
      </c>
      <c r="D551" s="502" t="str">
        <f t="shared" si="50"/>
        <v/>
      </c>
      <c r="E551" s="190" t="str">
        <f t="shared" si="51"/>
        <v/>
      </c>
      <c r="F551" s="196" t="str">
        <f t="shared" si="48"/>
        <v/>
      </c>
      <c r="G551" s="190" t="str">
        <f t="shared" si="52"/>
        <v/>
      </c>
      <c r="H551" s="503" t="str">
        <f t="shared" si="53"/>
        <v/>
      </c>
      <c r="I551" s="49"/>
    </row>
    <row r="552" spans="2:9" ht="20.100000000000001" customHeight="1" x14ac:dyDescent="0.3">
      <c r="B552" s="198">
        <v>544</v>
      </c>
      <c r="C552" s="501" t="str">
        <f t="shared" si="49"/>
        <v/>
      </c>
      <c r="D552" s="502" t="str">
        <f t="shared" si="50"/>
        <v/>
      </c>
      <c r="E552" s="190" t="str">
        <f t="shared" si="51"/>
        <v/>
      </c>
      <c r="F552" s="196" t="str">
        <f t="shared" si="48"/>
        <v/>
      </c>
      <c r="G552" s="190" t="str">
        <f t="shared" si="52"/>
        <v/>
      </c>
      <c r="H552" s="503" t="str">
        <f t="shared" si="53"/>
        <v/>
      </c>
      <c r="I552" s="49"/>
    </row>
    <row r="553" spans="2:9" ht="20.100000000000001" customHeight="1" x14ac:dyDescent="0.3">
      <c r="B553" s="198">
        <v>545</v>
      </c>
      <c r="C553" s="501" t="str">
        <f t="shared" si="49"/>
        <v/>
      </c>
      <c r="D553" s="502" t="str">
        <f t="shared" si="50"/>
        <v/>
      </c>
      <c r="E553" s="190" t="str">
        <f t="shared" si="51"/>
        <v/>
      </c>
      <c r="F553" s="196" t="str">
        <f t="shared" si="48"/>
        <v/>
      </c>
      <c r="G553" s="190" t="str">
        <f t="shared" si="52"/>
        <v/>
      </c>
      <c r="H553" s="503" t="str">
        <f t="shared" si="53"/>
        <v/>
      </c>
      <c r="I553" s="49"/>
    </row>
    <row r="554" spans="2:9" ht="20.100000000000001" customHeight="1" x14ac:dyDescent="0.3">
      <c r="B554" s="198">
        <v>546</v>
      </c>
      <c r="C554" s="501" t="str">
        <f t="shared" si="49"/>
        <v/>
      </c>
      <c r="D554" s="502" t="str">
        <f t="shared" si="50"/>
        <v/>
      </c>
      <c r="E554" s="190" t="str">
        <f t="shared" si="51"/>
        <v/>
      </c>
      <c r="F554" s="196" t="str">
        <f t="shared" si="48"/>
        <v/>
      </c>
      <c r="G554" s="190" t="str">
        <f t="shared" si="52"/>
        <v/>
      </c>
      <c r="H554" s="503" t="str">
        <f t="shared" si="53"/>
        <v/>
      </c>
      <c r="I554" s="49"/>
    </row>
    <row r="555" spans="2:9" ht="20.100000000000001" customHeight="1" x14ac:dyDescent="0.3">
      <c r="B555" s="198">
        <v>547</v>
      </c>
      <c r="C555" s="501" t="str">
        <f t="shared" si="49"/>
        <v/>
      </c>
      <c r="D555" s="502" t="str">
        <f t="shared" si="50"/>
        <v/>
      </c>
      <c r="E555" s="190" t="str">
        <f t="shared" si="51"/>
        <v/>
      </c>
      <c r="F555" s="196" t="str">
        <f t="shared" si="48"/>
        <v/>
      </c>
      <c r="G555" s="190" t="str">
        <f t="shared" si="52"/>
        <v/>
      </c>
      <c r="H555" s="503" t="str">
        <f t="shared" si="53"/>
        <v/>
      </c>
      <c r="I555" s="49"/>
    </row>
    <row r="556" spans="2:9" ht="20.100000000000001" customHeight="1" x14ac:dyDescent="0.3">
      <c r="B556" s="198">
        <v>548</v>
      </c>
      <c r="C556" s="501" t="str">
        <f t="shared" si="49"/>
        <v/>
      </c>
      <c r="D556" s="502" t="str">
        <f t="shared" si="50"/>
        <v/>
      </c>
      <c r="E556" s="190" t="str">
        <f t="shared" si="51"/>
        <v/>
      </c>
      <c r="F556" s="196" t="str">
        <f t="shared" si="48"/>
        <v/>
      </c>
      <c r="G556" s="190" t="str">
        <f t="shared" si="52"/>
        <v/>
      </c>
      <c r="H556" s="503" t="str">
        <f t="shared" si="53"/>
        <v/>
      </c>
      <c r="I556" s="49"/>
    </row>
    <row r="557" spans="2:9" ht="20.100000000000001" customHeight="1" x14ac:dyDescent="0.3">
      <c r="B557" s="198">
        <v>549</v>
      </c>
      <c r="C557" s="501" t="str">
        <f t="shared" si="49"/>
        <v/>
      </c>
      <c r="D557" s="502" t="str">
        <f t="shared" si="50"/>
        <v/>
      </c>
      <c r="E557" s="190" t="str">
        <f t="shared" si="51"/>
        <v/>
      </c>
      <c r="F557" s="196" t="str">
        <f t="shared" si="48"/>
        <v/>
      </c>
      <c r="G557" s="190" t="str">
        <f t="shared" si="52"/>
        <v/>
      </c>
      <c r="H557" s="503" t="str">
        <f t="shared" si="53"/>
        <v/>
      </c>
      <c r="I557" s="49"/>
    </row>
    <row r="558" spans="2:9" ht="20.100000000000001" customHeight="1" x14ac:dyDescent="0.3">
      <c r="B558" s="198">
        <v>550</v>
      </c>
      <c r="C558" s="501" t="str">
        <f t="shared" si="49"/>
        <v/>
      </c>
      <c r="D558" s="502" t="str">
        <f t="shared" si="50"/>
        <v/>
      </c>
      <c r="E558" s="190" t="str">
        <f t="shared" si="51"/>
        <v/>
      </c>
      <c r="F558" s="196" t="str">
        <f t="shared" si="48"/>
        <v/>
      </c>
      <c r="G558" s="190" t="str">
        <f t="shared" si="52"/>
        <v/>
      </c>
      <c r="H558" s="503" t="str">
        <f t="shared" si="53"/>
        <v/>
      </c>
      <c r="I558" s="49"/>
    </row>
    <row r="559" spans="2:9" ht="20.100000000000001" customHeight="1" x14ac:dyDescent="0.3">
      <c r="B559" s="198">
        <v>551</v>
      </c>
      <c r="C559" s="501" t="str">
        <f t="shared" si="49"/>
        <v/>
      </c>
      <c r="D559" s="502" t="str">
        <f t="shared" si="50"/>
        <v/>
      </c>
      <c r="E559" s="190" t="str">
        <f t="shared" si="51"/>
        <v/>
      </c>
      <c r="F559" s="196" t="str">
        <f t="shared" si="48"/>
        <v/>
      </c>
      <c r="G559" s="190" t="str">
        <f t="shared" si="52"/>
        <v/>
      </c>
      <c r="H559" s="503" t="str">
        <f t="shared" si="53"/>
        <v/>
      </c>
      <c r="I559" s="49"/>
    </row>
    <row r="560" spans="2:9" ht="20.100000000000001" customHeight="1" x14ac:dyDescent="0.3">
      <c r="B560" s="198">
        <v>552</v>
      </c>
      <c r="C560" s="501" t="str">
        <f t="shared" si="49"/>
        <v/>
      </c>
      <c r="D560" s="502" t="str">
        <f t="shared" si="50"/>
        <v/>
      </c>
      <c r="E560" s="190" t="str">
        <f t="shared" si="51"/>
        <v/>
      </c>
      <c r="F560" s="196" t="str">
        <f t="shared" si="48"/>
        <v/>
      </c>
      <c r="G560" s="190" t="str">
        <f t="shared" si="52"/>
        <v/>
      </c>
      <c r="H560" s="503" t="str">
        <f t="shared" si="53"/>
        <v/>
      </c>
      <c r="I560" s="49"/>
    </row>
    <row r="561" spans="2:9" ht="20.100000000000001" customHeight="1" x14ac:dyDescent="0.3">
      <c r="B561" s="198">
        <v>553</v>
      </c>
      <c r="C561" s="501" t="str">
        <f t="shared" si="49"/>
        <v/>
      </c>
      <c r="D561" s="502" t="str">
        <f t="shared" si="50"/>
        <v/>
      </c>
      <c r="E561" s="190" t="str">
        <f t="shared" si="51"/>
        <v/>
      </c>
      <c r="F561" s="196" t="str">
        <f t="shared" si="48"/>
        <v/>
      </c>
      <c r="G561" s="190" t="str">
        <f t="shared" si="52"/>
        <v/>
      </c>
      <c r="H561" s="503" t="str">
        <f t="shared" si="53"/>
        <v/>
      </c>
      <c r="I561" s="49"/>
    </row>
    <row r="562" spans="2:9" ht="20.100000000000001" customHeight="1" x14ac:dyDescent="0.3">
      <c r="B562" s="198">
        <v>554</v>
      </c>
      <c r="C562" s="501" t="str">
        <f t="shared" si="49"/>
        <v/>
      </c>
      <c r="D562" s="502" t="str">
        <f t="shared" si="50"/>
        <v/>
      </c>
      <c r="E562" s="190" t="str">
        <f t="shared" si="51"/>
        <v/>
      </c>
      <c r="F562" s="196" t="str">
        <f t="shared" si="48"/>
        <v/>
      </c>
      <c r="G562" s="190" t="str">
        <f t="shared" si="52"/>
        <v/>
      </c>
      <c r="H562" s="503" t="str">
        <f t="shared" si="53"/>
        <v/>
      </c>
      <c r="I562" s="49"/>
    </row>
    <row r="563" spans="2:9" ht="20.100000000000001" customHeight="1" x14ac:dyDescent="0.3">
      <c r="B563" s="198">
        <v>555</v>
      </c>
      <c r="C563" s="501" t="str">
        <f t="shared" si="49"/>
        <v/>
      </c>
      <c r="D563" s="502" t="str">
        <f t="shared" si="50"/>
        <v/>
      </c>
      <c r="E563" s="190" t="str">
        <f t="shared" si="51"/>
        <v/>
      </c>
      <c r="F563" s="196" t="str">
        <f t="shared" si="48"/>
        <v/>
      </c>
      <c r="G563" s="190" t="str">
        <f t="shared" si="52"/>
        <v/>
      </c>
      <c r="H563" s="503" t="str">
        <f t="shared" si="53"/>
        <v/>
      </c>
      <c r="I563" s="49"/>
    </row>
    <row r="564" spans="2:9" ht="20.100000000000001" customHeight="1" x14ac:dyDescent="0.3">
      <c r="B564" s="198">
        <v>556</v>
      </c>
      <c r="C564" s="501" t="str">
        <f t="shared" si="49"/>
        <v/>
      </c>
      <c r="D564" s="502" t="str">
        <f t="shared" si="50"/>
        <v/>
      </c>
      <c r="E564" s="190" t="str">
        <f t="shared" si="51"/>
        <v/>
      </c>
      <c r="F564" s="196" t="str">
        <f t="shared" si="48"/>
        <v/>
      </c>
      <c r="G564" s="190" t="str">
        <f t="shared" si="52"/>
        <v/>
      </c>
      <c r="H564" s="503" t="str">
        <f t="shared" si="53"/>
        <v/>
      </c>
      <c r="I564" s="49"/>
    </row>
    <row r="565" spans="2:9" ht="20.100000000000001" customHeight="1" x14ac:dyDescent="0.3">
      <c r="B565" s="198">
        <v>557</v>
      </c>
      <c r="C565" s="501" t="str">
        <f t="shared" si="49"/>
        <v/>
      </c>
      <c r="D565" s="502" t="str">
        <f t="shared" si="50"/>
        <v/>
      </c>
      <c r="E565" s="190" t="str">
        <f t="shared" si="51"/>
        <v/>
      </c>
      <c r="F565" s="196" t="str">
        <f t="shared" si="48"/>
        <v/>
      </c>
      <c r="G565" s="190" t="str">
        <f t="shared" si="52"/>
        <v/>
      </c>
      <c r="H565" s="503" t="str">
        <f t="shared" si="53"/>
        <v/>
      </c>
      <c r="I565" s="49"/>
    </row>
    <row r="566" spans="2:9" ht="20.100000000000001" customHeight="1" x14ac:dyDescent="0.3">
      <c r="B566" s="198">
        <v>558</v>
      </c>
      <c r="C566" s="501" t="str">
        <f t="shared" si="49"/>
        <v/>
      </c>
      <c r="D566" s="502" t="str">
        <f t="shared" si="50"/>
        <v/>
      </c>
      <c r="E566" s="190" t="str">
        <f t="shared" si="51"/>
        <v/>
      </c>
      <c r="F566" s="196" t="str">
        <f t="shared" si="48"/>
        <v/>
      </c>
      <c r="G566" s="190" t="str">
        <f t="shared" si="52"/>
        <v/>
      </c>
      <c r="H566" s="503" t="str">
        <f t="shared" si="53"/>
        <v/>
      </c>
      <c r="I566" s="49"/>
    </row>
    <row r="567" spans="2:9" ht="20.100000000000001" customHeight="1" x14ac:dyDescent="0.3">
      <c r="B567" s="198">
        <v>559</v>
      </c>
      <c r="C567" s="501" t="str">
        <f t="shared" si="49"/>
        <v/>
      </c>
      <c r="D567" s="502" t="str">
        <f t="shared" si="50"/>
        <v/>
      </c>
      <c r="E567" s="190" t="str">
        <f t="shared" si="51"/>
        <v/>
      </c>
      <c r="F567" s="196" t="str">
        <f t="shared" si="48"/>
        <v/>
      </c>
      <c r="G567" s="190" t="str">
        <f t="shared" si="52"/>
        <v/>
      </c>
      <c r="H567" s="503" t="str">
        <f t="shared" si="53"/>
        <v/>
      </c>
      <c r="I567" s="49"/>
    </row>
    <row r="568" spans="2:9" ht="20.100000000000001" customHeight="1" x14ac:dyDescent="0.3">
      <c r="B568" s="198">
        <v>560</v>
      </c>
      <c r="C568" s="501" t="str">
        <f t="shared" si="49"/>
        <v/>
      </c>
      <c r="D568" s="502" t="str">
        <f t="shared" si="50"/>
        <v/>
      </c>
      <c r="E568" s="190" t="str">
        <f t="shared" si="51"/>
        <v/>
      </c>
      <c r="F568" s="196" t="str">
        <f t="shared" si="48"/>
        <v/>
      </c>
      <c r="G568" s="190" t="str">
        <f t="shared" si="52"/>
        <v/>
      </c>
      <c r="H568" s="503" t="str">
        <f t="shared" si="53"/>
        <v/>
      </c>
      <c r="I568" s="49"/>
    </row>
    <row r="569" spans="2:9" ht="20.100000000000001" customHeight="1" x14ac:dyDescent="0.3">
      <c r="B569" s="198">
        <v>561</v>
      </c>
      <c r="C569" s="501" t="str">
        <f t="shared" si="49"/>
        <v/>
      </c>
      <c r="D569" s="502" t="str">
        <f t="shared" si="50"/>
        <v/>
      </c>
      <c r="E569" s="190" t="str">
        <f t="shared" si="51"/>
        <v/>
      </c>
      <c r="F569" s="196" t="str">
        <f t="shared" si="48"/>
        <v/>
      </c>
      <c r="G569" s="190" t="str">
        <f t="shared" si="52"/>
        <v/>
      </c>
      <c r="H569" s="503" t="str">
        <f t="shared" si="53"/>
        <v/>
      </c>
      <c r="I569" s="49"/>
    </row>
    <row r="570" spans="2:9" ht="20.100000000000001" customHeight="1" x14ac:dyDescent="0.3">
      <c r="B570" s="198">
        <v>562</v>
      </c>
      <c r="C570" s="501" t="str">
        <f t="shared" si="49"/>
        <v/>
      </c>
      <c r="D570" s="502" t="str">
        <f t="shared" si="50"/>
        <v/>
      </c>
      <c r="E570" s="190" t="str">
        <f t="shared" si="51"/>
        <v/>
      </c>
      <c r="F570" s="196" t="str">
        <f t="shared" si="48"/>
        <v/>
      </c>
      <c r="G570" s="190" t="str">
        <f t="shared" si="52"/>
        <v/>
      </c>
      <c r="H570" s="503" t="str">
        <f t="shared" si="53"/>
        <v/>
      </c>
      <c r="I570" s="49"/>
    </row>
    <row r="571" spans="2:9" ht="20.100000000000001" customHeight="1" x14ac:dyDescent="0.3">
      <c r="B571" s="198">
        <v>563</v>
      </c>
      <c r="C571" s="501" t="str">
        <f t="shared" si="49"/>
        <v/>
      </c>
      <c r="D571" s="502" t="str">
        <f t="shared" si="50"/>
        <v/>
      </c>
      <c r="E571" s="190" t="str">
        <f t="shared" si="51"/>
        <v/>
      </c>
      <c r="F571" s="196" t="str">
        <f t="shared" si="48"/>
        <v/>
      </c>
      <c r="G571" s="190" t="str">
        <f t="shared" si="52"/>
        <v/>
      </c>
      <c r="H571" s="503" t="str">
        <f t="shared" si="53"/>
        <v/>
      </c>
      <c r="I571" s="49"/>
    </row>
    <row r="572" spans="2:9" ht="20.100000000000001" customHeight="1" x14ac:dyDescent="0.3">
      <c r="B572" s="198">
        <v>564</v>
      </c>
      <c r="C572" s="501" t="str">
        <f t="shared" si="49"/>
        <v/>
      </c>
      <c r="D572" s="502" t="str">
        <f t="shared" si="50"/>
        <v/>
      </c>
      <c r="E572" s="190" t="str">
        <f t="shared" si="51"/>
        <v/>
      </c>
      <c r="F572" s="196" t="str">
        <f t="shared" si="48"/>
        <v/>
      </c>
      <c r="G572" s="190" t="str">
        <f t="shared" si="52"/>
        <v/>
      </c>
      <c r="H572" s="503" t="str">
        <f t="shared" si="53"/>
        <v/>
      </c>
      <c r="I572" s="49"/>
    </row>
    <row r="573" spans="2:9" ht="20.100000000000001" customHeight="1" x14ac:dyDescent="0.3">
      <c r="B573" s="198">
        <v>565</v>
      </c>
      <c r="C573" s="501" t="str">
        <f t="shared" si="49"/>
        <v/>
      </c>
      <c r="D573" s="502" t="str">
        <f t="shared" si="50"/>
        <v/>
      </c>
      <c r="E573" s="190" t="str">
        <f t="shared" si="51"/>
        <v/>
      </c>
      <c r="F573" s="196" t="str">
        <f t="shared" si="48"/>
        <v/>
      </c>
      <c r="G573" s="190" t="str">
        <f t="shared" si="52"/>
        <v/>
      </c>
      <c r="H573" s="503" t="str">
        <f t="shared" si="53"/>
        <v/>
      </c>
      <c r="I573" s="49"/>
    </row>
    <row r="574" spans="2:9" ht="20.100000000000001" customHeight="1" x14ac:dyDescent="0.3">
      <c r="B574" s="198">
        <v>566</v>
      </c>
      <c r="C574" s="501" t="str">
        <f t="shared" si="49"/>
        <v/>
      </c>
      <c r="D574" s="502" t="str">
        <f t="shared" si="50"/>
        <v/>
      </c>
      <c r="E574" s="190" t="str">
        <f t="shared" si="51"/>
        <v/>
      </c>
      <c r="F574" s="196" t="str">
        <f t="shared" si="48"/>
        <v/>
      </c>
      <c r="G574" s="190" t="str">
        <f t="shared" si="52"/>
        <v/>
      </c>
      <c r="H574" s="503" t="str">
        <f t="shared" si="53"/>
        <v/>
      </c>
      <c r="I574" s="49"/>
    </row>
    <row r="575" spans="2:9" ht="20.100000000000001" customHeight="1" x14ac:dyDescent="0.3">
      <c r="B575" s="198">
        <v>567</v>
      </c>
      <c r="C575" s="501" t="str">
        <f t="shared" si="49"/>
        <v/>
      </c>
      <c r="D575" s="502" t="str">
        <f t="shared" si="50"/>
        <v/>
      </c>
      <c r="E575" s="190" t="str">
        <f t="shared" si="51"/>
        <v/>
      </c>
      <c r="F575" s="196" t="str">
        <f t="shared" si="48"/>
        <v/>
      </c>
      <c r="G575" s="190" t="str">
        <f t="shared" si="52"/>
        <v/>
      </c>
      <c r="H575" s="503" t="str">
        <f t="shared" si="53"/>
        <v/>
      </c>
      <c r="I575" s="49"/>
    </row>
    <row r="576" spans="2:9" ht="20.100000000000001" customHeight="1" x14ac:dyDescent="0.3">
      <c r="B576" s="198">
        <v>568</v>
      </c>
      <c r="C576" s="501" t="str">
        <f t="shared" si="49"/>
        <v/>
      </c>
      <c r="D576" s="502" t="str">
        <f t="shared" si="50"/>
        <v/>
      </c>
      <c r="E576" s="190" t="str">
        <f t="shared" si="51"/>
        <v/>
      </c>
      <c r="F576" s="196" t="str">
        <f t="shared" si="48"/>
        <v/>
      </c>
      <c r="G576" s="190" t="str">
        <f t="shared" si="52"/>
        <v/>
      </c>
      <c r="H576" s="503" t="str">
        <f t="shared" si="53"/>
        <v/>
      </c>
      <c r="I576" s="49"/>
    </row>
    <row r="577" spans="2:9" ht="20.100000000000001" customHeight="1" x14ac:dyDescent="0.3">
      <c r="B577" s="198">
        <v>569</v>
      </c>
      <c r="C577" s="501" t="str">
        <f t="shared" si="49"/>
        <v/>
      </c>
      <c r="D577" s="502" t="str">
        <f t="shared" si="50"/>
        <v/>
      </c>
      <c r="E577" s="190" t="str">
        <f t="shared" si="51"/>
        <v/>
      </c>
      <c r="F577" s="196" t="str">
        <f t="shared" si="48"/>
        <v/>
      </c>
      <c r="G577" s="190" t="str">
        <f t="shared" si="52"/>
        <v/>
      </c>
      <c r="H577" s="503" t="str">
        <f t="shared" si="53"/>
        <v/>
      </c>
      <c r="I577" s="49"/>
    </row>
    <row r="578" spans="2:9" ht="20.100000000000001" customHeight="1" x14ac:dyDescent="0.3">
      <c r="B578" s="198">
        <v>570</v>
      </c>
      <c r="C578" s="501" t="str">
        <f t="shared" si="49"/>
        <v/>
      </c>
      <c r="D578" s="502" t="str">
        <f t="shared" si="50"/>
        <v/>
      </c>
      <c r="E578" s="190" t="str">
        <f t="shared" si="51"/>
        <v/>
      </c>
      <c r="F578" s="196" t="str">
        <f t="shared" si="48"/>
        <v/>
      </c>
      <c r="G578" s="190" t="str">
        <f t="shared" si="52"/>
        <v/>
      </c>
      <c r="H578" s="503" t="str">
        <f t="shared" si="53"/>
        <v/>
      </c>
      <c r="I578" s="49"/>
    </row>
    <row r="579" spans="2:9" ht="20.100000000000001" customHeight="1" x14ac:dyDescent="0.3">
      <c r="B579" s="198">
        <v>571</v>
      </c>
      <c r="C579" s="501" t="str">
        <f t="shared" si="49"/>
        <v/>
      </c>
      <c r="D579" s="502" t="str">
        <f t="shared" si="50"/>
        <v/>
      </c>
      <c r="E579" s="190" t="str">
        <f t="shared" si="51"/>
        <v/>
      </c>
      <c r="F579" s="196" t="str">
        <f t="shared" si="48"/>
        <v/>
      </c>
      <c r="G579" s="190" t="str">
        <f t="shared" si="52"/>
        <v/>
      </c>
      <c r="H579" s="503" t="str">
        <f t="shared" si="53"/>
        <v/>
      </c>
      <c r="I579" s="49"/>
    </row>
    <row r="580" spans="2:9" ht="20.100000000000001" customHeight="1" x14ac:dyDescent="0.3">
      <c r="B580" s="198">
        <v>572</v>
      </c>
      <c r="C580" s="501" t="str">
        <f t="shared" si="49"/>
        <v/>
      </c>
      <c r="D580" s="502" t="str">
        <f t="shared" si="50"/>
        <v/>
      </c>
      <c r="E580" s="190" t="str">
        <f t="shared" si="51"/>
        <v/>
      </c>
      <c r="F580" s="196" t="str">
        <f t="shared" si="48"/>
        <v/>
      </c>
      <c r="G580" s="190" t="str">
        <f t="shared" si="52"/>
        <v/>
      </c>
      <c r="H580" s="503" t="str">
        <f t="shared" si="53"/>
        <v/>
      </c>
      <c r="I580" s="49"/>
    </row>
    <row r="581" spans="2:9" ht="20.100000000000001" customHeight="1" x14ac:dyDescent="0.3">
      <c r="B581" s="198">
        <v>573</v>
      </c>
      <c r="C581" s="501" t="str">
        <f t="shared" si="49"/>
        <v/>
      </c>
      <c r="D581" s="502" t="str">
        <f t="shared" si="50"/>
        <v/>
      </c>
      <c r="E581" s="190" t="str">
        <f t="shared" si="51"/>
        <v/>
      </c>
      <c r="F581" s="196" t="str">
        <f t="shared" si="48"/>
        <v/>
      </c>
      <c r="G581" s="190" t="str">
        <f t="shared" si="52"/>
        <v/>
      </c>
      <c r="H581" s="503" t="str">
        <f t="shared" si="53"/>
        <v/>
      </c>
      <c r="I581" s="49"/>
    </row>
    <row r="582" spans="2:9" ht="20.100000000000001" customHeight="1" x14ac:dyDescent="0.3">
      <c r="B582" s="198">
        <v>574</v>
      </c>
      <c r="C582" s="501" t="str">
        <f t="shared" si="49"/>
        <v/>
      </c>
      <c r="D582" s="502" t="str">
        <f t="shared" si="50"/>
        <v/>
      </c>
      <c r="E582" s="190" t="str">
        <f t="shared" si="51"/>
        <v/>
      </c>
      <c r="F582" s="196" t="str">
        <f t="shared" si="48"/>
        <v/>
      </c>
      <c r="G582" s="190" t="str">
        <f t="shared" si="52"/>
        <v/>
      </c>
      <c r="H582" s="503" t="str">
        <f t="shared" si="53"/>
        <v/>
      </c>
      <c r="I582" s="49"/>
    </row>
    <row r="583" spans="2:9" ht="20.100000000000001" customHeight="1" x14ac:dyDescent="0.3">
      <c r="B583" s="198">
        <v>575</v>
      </c>
      <c r="C583" s="501" t="str">
        <f t="shared" si="49"/>
        <v/>
      </c>
      <c r="D583" s="502" t="str">
        <f t="shared" si="50"/>
        <v/>
      </c>
      <c r="E583" s="190" t="str">
        <f t="shared" si="51"/>
        <v/>
      </c>
      <c r="F583" s="196" t="str">
        <f t="shared" si="48"/>
        <v/>
      </c>
      <c r="G583" s="190" t="str">
        <f t="shared" si="52"/>
        <v/>
      </c>
      <c r="H583" s="503" t="str">
        <f t="shared" si="53"/>
        <v/>
      </c>
      <c r="I583" s="49"/>
    </row>
    <row r="584" spans="2:9" ht="20.100000000000001" customHeight="1" x14ac:dyDescent="0.3">
      <c r="B584" s="198">
        <v>576</v>
      </c>
      <c r="C584" s="501" t="str">
        <f t="shared" si="49"/>
        <v/>
      </c>
      <c r="D584" s="502" t="str">
        <f t="shared" si="50"/>
        <v/>
      </c>
      <c r="E584" s="190" t="str">
        <f t="shared" si="51"/>
        <v/>
      </c>
      <c r="F584" s="196" t="str">
        <f t="shared" si="48"/>
        <v/>
      </c>
      <c r="G584" s="190" t="str">
        <f t="shared" si="52"/>
        <v/>
      </c>
      <c r="H584" s="503" t="str">
        <f t="shared" si="53"/>
        <v/>
      </c>
      <c r="I584" s="49"/>
    </row>
    <row r="585" spans="2:9" ht="20.100000000000001" customHeight="1" x14ac:dyDescent="0.3">
      <c r="B585" s="198">
        <v>577</v>
      </c>
      <c r="C585" s="501" t="str">
        <f t="shared" si="49"/>
        <v/>
      </c>
      <c r="D585" s="502" t="str">
        <f t="shared" si="50"/>
        <v/>
      </c>
      <c r="E585" s="190" t="str">
        <f t="shared" si="51"/>
        <v/>
      </c>
      <c r="F585" s="196" t="str">
        <f t="shared" si="48"/>
        <v/>
      </c>
      <c r="G585" s="190" t="str">
        <f t="shared" si="52"/>
        <v/>
      </c>
      <c r="H585" s="503" t="str">
        <f t="shared" si="53"/>
        <v/>
      </c>
      <c r="I585" s="49"/>
    </row>
    <row r="586" spans="2:9" ht="20.100000000000001" customHeight="1" x14ac:dyDescent="0.3">
      <c r="B586" s="198">
        <v>578</v>
      </c>
      <c r="C586" s="501" t="str">
        <f t="shared" si="49"/>
        <v/>
      </c>
      <c r="D586" s="502" t="str">
        <f t="shared" si="50"/>
        <v/>
      </c>
      <c r="E586" s="190" t="str">
        <f t="shared" si="51"/>
        <v/>
      </c>
      <c r="F586" s="196" t="str">
        <f t="shared" ref="F586:F608" si="54">IF($H$4="","",IF($F$4="원리금균등상환",IFERROR(D586+E586,""),IF($F$4="원금균등상환",D586+E586,"")))</f>
        <v/>
      </c>
      <c r="G586" s="190" t="str">
        <f t="shared" si="52"/>
        <v/>
      </c>
      <c r="H586" s="503" t="str">
        <f t="shared" si="53"/>
        <v/>
      </c>
      <c r="I586" s="49"/>
    </row>
    <row r="587" spans="2:9" ht="20.100000000000001" customHeight="1" x14ac:dyDescent="0.3">
      <c r="B587" s="198">
        <v>579</v>
      </c>
      <c r="C587" s="501" t="str">
        <f t="shared" ref="C587:C608" si="55">IF($H$4="","",IF(B587&gt;($B$6),"",IF(B587&lt;=($B$6),DATE(YEAR($G$4),MONTH($G$4)+B586,DAY($G$4)),"")))</f>
        <v/>
      </c>
      <c r="D587" s="502" t="str">
        <f t="shared" ref="D587:D608" si="56">IF($H$4="","",IF($F$4="원리금균등상환",IFERROR(IF(B587&lt;=$D$6,0,-PPMT($E$4/12,B587-$D$6,($B$6-$D$6),$D$4)),""),IF($F$4="원금균등상환",IF(B587&lt;($D$6+1),0,IF(B587&gt;$B$6,0,$D$4/($B$6-$D$6))),IF($F$4="만기일시상환",0,""))))</f>
        <v/>
      </c>
      <c r="E587" s="190" t="str">
        <f t="shared" ref="E587:E608" si="57">IF($H$4="","",IF($F$4="원리금균등상환",IFERROR(IF(B587&lt;=$D$6,$H586*($E$4/12),-IPMT($E$4/12,B587-$D$6,($B$6-$D$6),$D$4)),""),IF($F$4="원금균등상환",(H586-D587)*$E$4/12,IF($F$4="만기일시상환",IFERROR(IF(B587&lt;=$B$6,$D$4*($E$4/12),""),"")))))</f>
        <v/>
      </c>
      <c r="F587" s="196" t="str">
        <f t="shared" si="54"/>
        <v/>
      </c>
      <c r="G587" s="190" t="str">
        <f t="shared" ref="G587:G608" si="58">IFERROR(IF(B587&gt;(($D$6+$B$6)*12),"",IF(B587=1,D587,D587+G586)),"")</f>
        <v/>
      </c>
      <c r="H587" s="503" t="str">
        <f t="shared" ref="H587:H608" si="59">IFERROR(IF($H$4="","",H586-D587),"")</f>
        <v/>
      </c>
      <c r="I587" s="49"/>
    </row>
    <row r="588" spans="2:9" ht="20.100000000000001" customHeight="1" x14ac:dyDescent="0.3">
      <c r="B588" s="198">
        <v>580</v>
      </c>
      <c r="C588" s="501" t="str">
        <f t="shared" si="55"/>
        <v/>
      </c>
      <c r="D588" s="502" t="str">
        <f t="shared" si="56"/>
        <v/>
      </c>
      <c r="E588" s="190" t="str">
        <f t="shared" si="57"/>
        <v/>
      </c>
      <c r="F588" s="196" t="str">
        <f t="shared" si="54"/>
        <v/>
      </c>
      <c r="G588" s="190" t="str">
        <f t="shared" si="58"/>
        <v/>
      </c>
      <c r="H588" s="503" t="str">
        <f t="shared" si="59"/>
        <v/>
      </c>
      <c r="I588" s="49"/>
    </row>
    <row r="589" spans="2:9" ht="20.100000000000001" customHeight="1" x14ac:dyDescent="0.3">
      <c r="B589" s="198">
        <v>581</v>
      </c>
      <c r="C589" s="501" t="str">
        <f t="shared" si="55"/>
        <v/>
      </c>
      <c r="D589" s="502" t="str">
        <f t="shared" si="56"/>
        <v/>
      </c>
      <c r="E589" s="190" t="str">
        <f t="shared" si="57"/>
        <v/>
      </c>
      <c r="F589" s="196" t="str">
        <f t="shared" si="54"/>
        <v/>
      </c>
      <c r="G589" s="190" t="str">
        <f t="shared" si="58"/>
        <v/>
      </c>
      <c r="H589" s="503" t="str">
        <f t="shared" si="59"/>
        <v/>
      </c>
      <c r="I589" s="49"/>
    </row>
    <row r="590" spans="2:9" ht="20.100000000000001" customHeight="1" x14ac:dyDescent="0.3">
      <c r="B590" s="198">
        <v>582</v>
      </c>
      <c r="C590" s="501" t="str">
        <f t="shared" si="55"/>
        <v/>
      </c>
      <c r="D590" s="502" t="str">
        <f t="shared" si="56"/>
        <v/>
      </c>
      <c r="E590" s="190" t="str">
        <f t="shared" si="57"/>
        <v/>
      </c>
      <c r="F590" s="196" t="str">
        <f t="shared" si="54"/>
        <v/>
      </c>
      <c r="G590" s="190" t="str">
        <f t="shared" si="58"/>
        <v/>
      </c>
      <c r="H590" s="503" t="str">
        <f t="shared" si="59"/>
        <v/>
      </c>
      <c r="I590" s="49"/>
    </row>
    <row r="591" spans="2:9" ht="20.100000000000001" customHeight="1" x14ac:dyDescent="0.3">
      <c r="B591" s="198">
        <v>583</v>
      </c>
      <c r="C591" s="501" t="str">
        <f t="shared" si="55"/>
        <v/>
      </c>
      <c r="D591" s="502" t="str">
        <f t="shared" si="56"/>
        <v/>
      </c>
      <c r="E591" s="190" t="str">
        <f t="shared" si="57"/>
        <v/>
      </c>
      <c r="F591" s="196" t="str">
        <f t="shared" si="54"/>
        <v/>
      </c>
      <c r="G591" s="190" t="str">
        <f t="shared" si="58"/>
        <v/>
      </c>
      <c r="H591" s="503" t="str">
        <f t="shared" si="59"/>
        <v/>
      </c>
      <c r="I591" s="49"/>
    </row>
    <row r="592" spans="2:9" ht="20.100000000000001" customHeight="1" x14ac:dyDescent="0.3">
      <c r="B592" s="198">
        <v>584</v>
      </c>
      <c r="C592" s="501" t="str">
        <f t="shared" si="55"/>
        <v/>
      </c>
      <c r="D592" s="502" t="str">
        <f t="shared" si="56"/>
        <v/>
      </c>
      <c r="E592" s="190" t="str">
        <f t="shared" si="57"/>
        <v/>
      </c>
      <c r="F592" s="196" t="str">
        <f t="shared" si="54"/>
        <v/>
      </c>
      <c r="G592" s="190" t="str">
        <f t="shared" si="58"/>
        <v/>
      </c>
      <c r="H592" s="503" t="str">
        <f t="shared" si="59"/>
        <v/>
      </c>
      <c r="I592" s="49"/>
    </row>
    <row r="593" spans="2:9" ht="20.100000000000001" customHeight="1" x14ac:dyDescent="0.3">
      <c r="B593" s="198">
        <v>585</v>
      </c>
      <c r="C593" s="501" t="str">
        <f t="shared" si="55"/>
        <v/>
      </c>
      <c r="D593" s="502" t="str">
        <f t="shared" si="56"/>
        <v/>
      </c>
      <c r="E593" s="190" t="str">
        <f t="shared" si="57"/>
        <v/>
      </c>
      <c r="F593" s="196" t="str">
        <f t="shared" si="54"/>
        <v/>
      </c>
      <c r="G593" s="190" t="str">
        <f t="shared" si="58"/>
        <v/>
      </c>
      <c r="H593" s="503" t="str">
        <f t="shared" si="59"/>
        <v/>
      </c>
      <c r="I593" s="49"/>
    </row>
    <row r="594" spans="2:9" ht="20.100000000000001" customHeight="1" x14ac:dyDescent="0.3">
      <c r="B594" s="198">
        <v>586</v>
      </c>
      <c r="C594" s="501" t="str">
        <f t="shared" si="55"/>
        <v/>
      </c>
      <c r="D594" s="502" t="str">
        <f t="shared" si="56"/>
        <v/>
      </c>
      <c r="E594" s="190" t="str">
        <f t="shared" si="57"/>
        <v/>
      </c>
      <c r="F594" s="196" t="str">
        <f t="shared" si="54"/>
        <v/>
      </c>
      <c r="G594" s="190" t="str">
        <f t="shared" si="58"/>
        <v/>
      </c>
      <c r="H594" s="503" t="str">
        <f t="shared" si="59"/>
        <v/>
      </c>
      <c r="I594" s="49"/>
    </row>
    <row r="595" spans="2:9" ht="20.100000000000001" customHeight="1" x14ac:dyDescent="0.3">
      <c r="B595" s="198">
        <v>587</v>
      </c>
      <c r="C595" s="501" t="str">
        <f t="shared" si="55"/>
        <v/>
      </c>
      <c r="D595" s="502" t="str">
        <f t="shared" si="56"/>
        <v/>
      </c>
      <c r="E595" s="190" t="str">
        <f t="shared" si="57"/>
        <v/>
      </c>
      <c r="F595" s="196" t="str">
        <f t="shared" si="54"/>
        <v/>
      </c>
      <c r="G595" s="190" t="str">
        <f t="shared" si="58"/>
        <v/>
      </c>
      <c r="H595" s="503" t="str">
        <f t="shared" si="59"/>
        <v/>
      </c>
      <c r="I595" s="49"/>
    </row>
    <row r="596" spans="2:9" ht="20.100000000000001" customHeight="1" x14ac:dyDescent="0.3">
      <c r="B596" s="198">
        <v>588</v>
      </c>
      <c r="C596" s="501" t="str">
        <f t="shared" si="55"/>
        <v/>
      </c>
      <c r="D596" s="502" t="str">
        <f t="shared" si="56"/>
        <v/>
      </c>
      <c r="E596" s="190" t="str">
        <f t="shared" si="57"/>
        <v/>
      </c>
      <c r="F596" s="196" t="str">
        <f t="shared" si="54"/>
        <v/>
      </c>
      <c r="G596" s="190" t="str">
        <f t="shared" si="58"/>
        <v/>
      </c>
      <c r="H596" s="503" t="str">
        <f t="shared" si="59"/>
        <v/>
      </c>
      <c r="I596" s="49"/>
    </row>
    <row r="597" spans="2:9" ht="20.100000000000001" customHeight="1" x14ac:dyDescent="0.3">
      <c r="B597" s="198">
        <v>589</v>
      </c>
      <c r="C597" s="501" t="str">
        <f t="shared" si="55"/>
        <v/>
      </c>
      <c r="D597" s="502" t="str">
        <f t="shared" si="56"/>
        <v/>
      </c>
      <c r="E597" s="190" t="str">
        <f t="shared" si="57"/>
        <v/>
      </c>
      <c r="F597" s="196" t="str">
        <f t="shared" si="54"/>
        <v/>
      </c>
      <c r="G597" s="190" t="str">
        <f t="shared" si="58"/>
        <v/>
      </c>
      <c r="H597" s="503" t="str">
        <f t="shared" si="59"/>
        <v/>
      </c>
      <c r="I597" s="49"/>
    </row>
    <row r="598" spans="2:9" ht="20.100000000000001" customHeight="1" x14ac:dyDescent="0.3">
      <c r="B598" s="198">
        <v>590</v>
      </c>
      <c r="C598" s="501" t="str">
        <f t="shared" si="55"/>
        <v/>
      </c>
      <c r="D598" s="502" t="str">
        <f t="shared" si="56"/>
        <v/>
      </c>
      <c r="E598" s="190" t="str">
        <f t="shared" si="57"/>
        <v/>
      </c>
      <c r="F598" s="196" t="str">
        <f t="shared" si="54"/>
        <v/>
      </c>
      <c r="G598" s="190" t="str">
        <f t="shared" si="58"/>
        <v/>
      </c>
      <c r="H598" s="503" t="str">
        <f t="shared" si="59"/>
        <v/>
      </c>
      <c r="I598" s="49"/>
    </row>
    <row r="599" spans="2:9" ht="20.100000000000001" customHeight="1" x14ac:dyDescent="0.3">
      <c r="B599" s="198">
        <v>591</v>
      </c>
      <c r="C599" s="501" t="str">
        <f t="shared" si="55"/>
        <v/>
      </c>
      <c r="D599" s="502" t="str">
        <f t="shared" si="56"/>
        <v/>
      </c>
      <c r="E599" s="190" t="str">
        <f t="shared" si="57"/>
        <v/>
      </c>
      <c r="F599" s="196" t="str">
        <f t="shared" si="54"/>
        <v/>
      </c>
      <c r="G599" s="190" t="str">
        <f t="shared" si="58"/>
        <v/>
      </c>
      <c r="H599" s="503" t="str">
        <f t="shared" si="59"/>
        <v/>
      </c>
      <c r="I599" s="49"/>
    </row>
    <row r="600" spans="2:9" ht="20.100000000000001" customHeight="1" x14ac:dyDescent="0.3">
      <c r="B600" s="198">
        <v>592</v>
      </c>
      <c r="C600" s="501" t="str">
        <f t="shared" si="55"/>
        <v/>
      </c>
      <c r="D600" s="502" t="str">
        <f t="shared" si="56"/>
        <v/>
      </c>
      <c r="E600" s="190" t="str">
        <f t="shared" si="57"/>
        <v/>
      </c>
      <c r="F600" s="196" t="str">
        <f t="shared" si="54"/>
        <v/>
      </c>
      <c r="G600" s="190" t="str">
        <f t="shared" si="58"/>
        <v/>
      </c>
      <c r="H600" s="503" t="str">
        <f t="shared" si="59"/>
        <v/>
      </c>
      <c r="I600" s="49"/>
    </row>
    <row r="601" spans="2:9" ht="20.100000000000001" customHeight="1" x14ac:dyDescent="0.3">
      <c r="B601" s="198">
        <v>593</v>
      </c>
      <c r="C601" s="501" t="str">
        <f t="shared" si="55"/>
        <v/>
      </c>
      <c r="D601" s="502" t="str">
        <f t="shared" si="56"/>
        <v/>
      </c>
      <c r="E601" s="190" t="str">
        <f t="shared" si="57"/>
        <v/>
      </c>
      <c r="F601" s="196" t="str">
        <f t="shared" si="54"/>
        <v/>
      </c>
      <c r="G601" s="190" t="str">
        <f t="shared" si="58"/>
        <v/>
      </c>
      <c r="H601" s="503" t="str">
        <f t="shared" si="59"/>
        <v/>
      </c>
      <c r="I601" s="49"/>
    </row>
    <row r="602" spans="2:9" ht="20.100000000000001" customHeight="1" x14ac:dyDescent="0.3">
      <c r="B602" s="198">
        <v>594</v>
      </c>
      <c r="C602" s="501" t="str">
        <f t="shared" si="55"/>
        <v/>
      </c>
      <c r="D602" s="502" t="str">
        <f t="shared" si="56"/>
        <v/>
      </c>
      <c r="E602" s="190" t="str">
        <f t="shared" si="57"/>
        <v/>
      </c>
      <c r="F602" s="196" t="str">
        <f t="shared" si="54"/>
        <v/>
      </c>
      <c r="G602" s="190" t="str">
        <f t="shared" si="58"/>
        <v/>
      </c>
      <c r="H602" s="503" t="str">
        <f t="shared" si="59"/>
        <v/>
      </c>
      <c r="I602" s="49"/>
    </row>
    <row r="603" spans="2:9" ht="20.100000000000001" customHeight="1" x14ac:dyDescent="0.3">
      <c r="B603" s="198">
        <v>595</v>
      </c>
      <c r="C603" s="501" t="str">
        <f t="shared" si="55"/>
        <v/>
      </c>
      <c r="D603" s="502" t="str">
        <f t="shared" si="56"/>
        <v/>
      </c>
      <c r="E603" s="190" t="str">
        <f t="shared" si="57"/>
        <v/>
      </c>
      <c r="F603" s="196" t="str">
        <f t="shared" si="54"/>
        <v/>
      </c>
      <c r="G603" s="190" t="str">
        <f t="shared" si="58"/>
        <v/>
      </c>
      <c r="H603" s="503" t="str">
        <f t="shared" si="59"/>
        <v/>
      </c>
      <c r="I603" s="49"/>
    </row>
    <row r="604" spans="2:9" ht="20.100000000000001" customHeight="1" x14ac:dyDescent="0.3">
      <c r="B604" s="198">
        <v>596</v>
      </c>
      <c r="C604" s="501" t="str">
        <f t="shared" si="55"/>
        <v/>
      </c>
      <c r="D604" s="502" t="str">
        <f t="shared" si="56"/>
        <v/>
      </c>
      <c r="E604" s="190" t="str">
        <f t="shared" si="57"/>
        <v/>
      </c>
      <c r="F604" s="196" t="str">
        <f t="shared" si="54"/>
        <v/>
      </c>
      <c r="G604" s="190" t="str">
        <f t="shared" si="58"/>
        <v/>
      </c>
      <c r="H604" s="503" t="str">
        <f t="shared" si="59"/>
        <v/>
      </c>
      <c r="I604" s="49"/>
    </row>
    <row r="605" spans="2:9" ht="20.100000000000001" customHeight="1" x14ac:dyDescent="0.3">
      <c r="B605" s="198">
        <v>597</v>
      </c>
      <c r="C605" s="501" t="str">
        <f t="shared" si="55"/>
        <v/>
      </c>
      <c r="D605" s="502" t="str">
        <f t="shared" si="56"/>
        <v/>
      </c>
      <c r="E605" s="190" t="str">
        <f t="shared" si="57"/>
        <v/>
      </c>
      <c r="F605" s="196" t="str">
        <f t="shared" si="54"/>
        <v/>
      </c>
      <c r="G605" s="190" t="str">
        <f t="shared" si="58"/>
        <v/>
      </c>
      <c r="H605" s="503" t="str">
        <f t="shared" si="59"/>
        <v/>
      </c>
      <c r="I605" s="49"/>
    </row>
    <row r="606" spans="2:9" ht="20.100000000000001" customHeight="1" x14ac:dyDescent="0.3">
      <c r="B606" s="198">
        <v>598</v>
      </c>
      <c r="C606" s="501" t="str">
        <f t="shared" si="55"/>
        <v/>
      </c>
      <c r="D606" s="502" t="str">
        <f t="shared" si="56"/>
        <v/>
      </c>
      <c r="E606" s="190" t="str">
        <f t="shared" si="57"/>
        <v/>
      </c>
      <c r="F606" s="196" t="str">
        <f t="shared" si="54"/>
        <v/>
      </c>
      <c r="G606" s="190" t="str">
        <f t="shared" si="58"/>
        <v/>
      </c>
      <c r="H606" s="503" t="str">
        <f t="shared" si="59"/>
        <v/>
      </c>
      <c r="I606" s="49"/>
    </row>
    <row r="607" spans="2:9" ht="20.100000000000001" customHeight="1" x14ac:dyDescent="0.3">
      <c r="B607" s="198">
        <v>599</v>
      </c>
      <c r="C607" s="501" t="str">
        <f t="shared" si="55"/>
        <v/>
      </c>
      <c r="D607" s="502" t="str">
        <f t="shared" si="56"/>
        <v/>
      </c>
      <c r="E607" s="190" t="str">
        <f t="shared" si="57"/>
        <v/>
      </c>
      <c r="F607" s="196" t="str">
        <f t="shared" si="54"/>
        <v/>
      </c>
      <c r="G607" s="190" t="str">
        <f t="shared" si="58"/>
        <v/>
      </c>
      <c r="H607" s="503" t="str">
        <f t="shared" si="59"/>
        <v/>
      </c>
      <c r="I607" s="49"/>
    </row>
    <row r="608" spans="2:9" ht="20.100000000000001" customHeight="1" x14ac:dyDescent="0.3">
      <c r="B608" s="198">
        <v>600</v>
      </c>
      <c r="C608" s="501" t="str">
        <f t="shared" si="55"/>
        <v/>
      </c>
      <c r="D608" s="502" t="str">
        <f t="shared" si="56"/>
        <v/>
      </c>
      <c r="E608" s="190" t="str">
        <f t="shared" si="57"/>
        <v/>
      </c>
      <c r="F608" s="196" t="str">
        <f t="shared" si="54"/>
        <v/>
      </c>
      <c r="G608" s="190" t="str">
        <f t="shared" si="58"/>
        <v/>
      </c>
      <c r="H608" s="503" t="str">
        <f t="shared" si="59"/>
        <v/>
      </c>
      <c r="I608" s="49"/>
    </row>
    <row r="609" spans="2:8" x14ac:dyDescent="0.3">
      <c r="B609" s="67"/>
      <c r="C609" s="67"/>
      <c r="D609" s="64"/>
      <c r="E609" s="422"/>
      <c r="F609" s="422"/>
      <c r="G609" s="422"/>
      <c r="H609" s="504"/>
    </row>
    <row r="610" spans="2:8" x14ac:dyDescent="0.3">
      <c r="B610" s="47"/>
      <c r="C610" s="47"/>
      <c r="D610" s="44"/>
      <c r="E610" s="122"/>
      <c r="F610" s="122"/>
      <c r="G610" s="122"/>
      <c r="H610" s="505"/>
    </row>
    <row r="611" spans="2:8" x14ac:dyDescent="0.3">
      <c r="B611" s="47"/>
      <c r="C611" s="47"/>
      <c r="D611" s="44"/>
      <c r="E611" s="122"/>
      <c r="F611" s="122"/>
      <c r="G611" s="122"/>
      <c r="H611" s="505"/>
    </row>
    <row r="612" spans="2:8" x14ac:dyDescent="0.3">
      <c r="B612" s="47"/>
      <c r="C612" s="47"/>
      <c r="D612" s="44"/>
      <c r="E612" s="122"/>
      <c r="F612" s="122"/>
      <c r="G612" s="122"/>
      <c r="H612" s="505"/>
    </row>
    <row r="613" spans="2:8" x14ac:dyDescent="0.3">
      <c r="B613" s="47"/>
      <c r="C613" s="47"/>
      <c r="D613" s="44"/>
      <c r="E613" s="122"/>
      <c r="F613" s="122"/>
      <c r="G613" s="122"/>
      <c r="H613" s="505"/>
    </row>
    <row r="614" spans="2:8" x14ac:dyDescent="0.3">
      <c r="B614" s="47"/>
      <c r="C614" s="47"/>
      <c r="D614" s="44"/>
      <c r="E614" s="122"/>
      <c r="F614" s="122"/>
      <c r="G614" s="122"/>
      <c r="H614" s="505"/>
    </row>
    <row r="615" spans="2:8" x14ac:dyDescent="0.3">
      <c r="B615" s="47"/>
      <c r="C615" s="47"/>
      <c r="D615" s="44"/>
      <c r="E615" s="122"/>
      <c r="F615" s="122"/>
      <c r="G615" s="122"/>
      <c r="H615" s="505"/>
    </row>
    <row r="616" spans="2:8" x14ac:dyDescent="0.3">
      <c r="B616" s="47"/>
      <c r="C616" s="47"/>
      <c r="D616" s="44"/>
      <c r="E616" s="122"/>
      <c r="F616" s="122"/>
      <c r="G616" s="122"/>
      <c r="H616" s="505"/>
    </row>
    <row r="617" spans="2:8" x14ac:dyDescent="0.3">
      <c r="B617" s="47"/>
      <c r="C617" s="47"/>
      <c r="D617" s="44"/>
      <c r="E617" s="122"/>
      <c r="F617" s="122"/>
      <c r="G617" s="122"/>
      <c r="H617" s="505"/>
    </row>
    <row r="618" spans="2:8" x14ac:dyDescent="0.3">
      <c r="B618" s="47"/>
      <c r="C618" s="47"/>
      <c r="D618" s="44"/>
      <c r="E618" s="122"/>
      <c r="F618" s="122"/>
      <c r="G618" s="122"/>
      <c r="H618" s="505"/>
    </row>
    <row r="619" spans="2:8" x14ac:dyDescent="0.3">
      <c r="B619" s="47"/>
      <c r="C619" s="47"/>
      <c r="D619" s="44"/>
      <c r="E619" s="122"/>
      <c r="F619" s="122"/>
      <c r="G619" s="122"/>
      <c r="H619" s="505"/>
    </row>
    <row r="620" spans="2:8" x14ac:dyDescent="0.3">
      <c r="B620" s="47"/>
      <c r="C620" s="47"/>
      <c r="D620" s="44"/>
      <c r="E620" s="122"/>
      <c r="F620" s="122"/>
      <c r="G620" s="122"/>
      <c r="H620" s="505"/>
    </row>
    <row r="621" spans="2:8" x14ac:dyDescent="0.3">
      <c r="B621" s="47"/>
      <c r="C621" s="47"/>
      <c r="D621" s="44"/>
      <c r="E621" s="122"/>
      <c r="F621" s="122"/>
      <c r="G621" s="122"/>
      <c r="H621" s="505"/>
    </row>
    <row r="622" spans="2:8" x14ac:dyDescent="0.3">
      <c r="B622" s="47"/>
      <c r="C622" s="47"/>
      <c r="D622" s="44"/>
      <c r="E622" s="122"/>
      <c r="F622" s="122"/>
      <c r="G622" s="122"/>
      <c r="H622" s="505"/>
    </row>
    <row r="623" spans="2:8" x14ac:dyDescent="0.3">
      <c r="B623" s="47"/>
      <c r="C623" s="47"/>
      <c r="D623" s="44"/>
      <c r="E623" s="122"/>
      <c r="F623" s="122"/>
      <c r="G623" s="122"/>
      <c r="H623" s="505"/>
    </row>
    <row r="624" spans="2:8" x14ac:dyDescent="0.3">
      <c r="B624" s="47"/>
      <c r="C624" s="47"/>
      <c r="D624" s="44"/>
      <c r="E624" s="122"/>
      <c r="F624" s="122"/>
      <c r="G624" s="122"/>
      <c r="H624" s="505"/>
    </row>
    <row r="625" spans="2:8" x14ac:dyDescent="0.3">
      <c r="B625" s="47"/>
      <c r="C625" s="47"/>
      <c r="D625" s="44"/>
      <c r="E625" s="122"/>
      <c r="F625" s="122"/>
      <c r="G625" s="122"/>
      <c r="H625" s="505"/>
    </row>
    <row r="626" spans="2:8" x14ac:dyDescent="0.3">
      <c r="B626" s="47"/>
      <c r="C626" s="47"/>
      <c r="D626" s="44"/>
      <c r="E626" s="122"/>
      <c r="F626" s="122"/>
      <c r="G626" s="122"/>
      <c r="H626" s="505"/>
    </row>
    <row r="627" spans="2:8" x14ac:dyDescent="0.3">
      <c r="B627" s="47"/>
      <c r="C627" s="47"/>
      <c r="D627" s="44"/>
      <c r="E627" s="122"/>
      <c r="F627" s="122"/>
      <c r="G627" s="122"/>
      <c r="H627" s="505"/>
    </row>
    <row r="628" spans="2:8" x14ac:dyDescent="0.3">
      <c r="B628" s="47"/>
      <c r="C628" s="47"/>
      <c r="D628" s="44"/>
      <c r="E628" s="122"/>
      <c r="F628" s="122"/>
      <c r="G628" s="122"/>
      <c r="H628" s="505"/>
    </row>
    <row r="629" spans="2:8" x14ac:dyDescent="0.3">
      <c r="B629" s="47"/>
      <c r="C629" s="47"/>
      <c r="D629" s="44"/>
      <c r="E629" s="122"/>
      <c r="F629" s="122"/>
      <c r="G629" s="122"/>
      <c r="H629" s="505"/>
    </row>
    <row r="630" spans="2:8" x14ac:dyDescent="0.3">
      <c r="B630" s="47"/>
      <c r="C630" s="47"/>
      <c r="D630" s="44"/>
      <c r="E630" s="122"/>
      <c r="F630" s="122"/>
      <c r="G630" s="122"/>
      <c r="H630" s="505"/>
    </row>
    <row r="631" spans="2:8" x14ac:dyDescent="0.3">
      <c r="B631" s="47"/>
      <c r="C631" s="47"/>
      <c r="D631" s="44"/>
      <c r="E631" s="122"/>
      <c r="F631" s="122"/>
      <c r="G631" s="122"/>
      <c r="H631" s="505"/>
    </row>
  </sheetData>
  <mergeCells count="7">
    <mergeCell ref="Z63:AA63"/>
    <mergeCell ref="B1:H1"/>
    <mergeCell ref="K63:L63"/>
    <mergeCell ref="N63:O63"/>
    <mergeCell ref="Q63:R63"/>
    <mergeCell ref="T63:U63"/>
    <mergeCell ref="W63:X63"/>
  </mergeCells>
  <phoneticPr fontId="3" type="noConversion"/>
  <dataValidations count="2">
    <dataValidation allowBlank="1" showInputMessage="1" showErrorMessage="1" prompt="년-월-일 형식으로 입력" sqref="G4:H4"/>
    <dataValidation type="list" allowBlank="1" showInputMessage="1" showErrorMessage="1" sqref="F4">
      <formula1>"원리금균등상환, 원금균등상환,만기일시상환"</formula1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B48"/>
  <sheetViews>
    <sheetView workbookViewId="0">
      <selection activeCell="S40" sqref="S40"/>
    </sheetView>
  </sheetViews>
  <sheetFormatPr defaultRowHeight="16.5" x14ac:dyDescent="0.3"/>
  <sheetData>
    <row r="2" spans="2:2" x14ac:dyDescent="0.3">
      <c r="B2" t="s">
        <v>361</v>
      </c>
    </row>
    <row r="3" spans="2:2" x14ac:dyDescent="0.3">
      <c r="B3" t="s">
        <v>362</v>
      </c>
    </row>
    <row r="4" spans="2:2" x14ac:dyDescent="0.3">
      <c r="B4" t="s">
        <v>363</v>
      </c>
    </row>
    <row r="5" spans="2:2" x14ac:dyDescent="0.3">
      <c r="B5" t="s">
        <v>364</v>
      </c>
    </row>
    <row r="6" spans="2:2" x14ac:dyDescent="0.3">
      <c r="B6" t="s">
        <v>365</v>
      </c>
    </row>
    <row r="7" spans="2:2" x14ac:dyDescent="0.3">
      <c r="B7" t="s">
        <v>366</v>
      </c>
    </row>
    <row r="8" spans="2:2" x14ac:dyDescent="0.3">
      <c r="B8" t="s">
        <v>367</v>
      </c>
    </row>
    <row r="9" spans="2:2" x14ac:dyDescent="0.3">
      <c r="B9" t="s">
        <v>368</v>
      </c>
    </row>
    <row r="10" spans="2:2" x14ac:dyDescent="0.3">
      <c r="B10" t="s">
        <v>369</v>
      </c>
    </row>
    <row r="11" spans="2:2" x14ac:dyDescent="0.3">
      <c r="B11" t="s">
        <v>370</v>
      </c>
    </row>
    <row r="12" spans="2:2" x14ac:dyDescent="0.3">
      <c r="B12" t="s">
        <v>371</v>
      </c>
    </row>
    <row r="13" spans="2:2" x14ac:dyDescent="0.3">
      <c r="B13" t="s">
        <v>372</v>
      </c>
    </row>
    <row r="14" spans="2:2" x14ac:dyDescent="0.3">
      <c r="B14" t="s">
        <v>373</v>
      </c>
    </row>
    <row r="15" spans="2:2" x14ac:dyDescent="0.3">
      <c r="B15" t="s">
        <v>374</v>
      </c>
    </row>
    <row r="16" spans="2:2" x14ac:dyDescent="0.3">
      <c r="B16" t="s">
        <v>375</v>
      </c>
    </row>
    <row r="17" spans="2:2" x14ac:dyDescent="0.3">
      <c r="B17" t="s">
        <v>376</v>
      </c>
    </row>
    <row r="18" spans="2:2" x14ac:dyDescent="0.3">
      <c r="B18" t="s">
        <v>377</v>
      </c>
    </row>
    <row r="19" spans="2:2" x14ac:dyDescent="0.3">
      <c r="B19" t="s">
        <v>378</v>
      </c>
    </row>
    <row r="20" spans="2:2" x14ac:dyDescent="0.3">
      <c r="B20" t="s">
        <v>379</v>
      </c>
    </row>
    <row r="21" spans="2:2" x14ac:dyDescent="0.3">
      <c r="B21" t="s">
        <v>380</v>
      </c>
    </row>
    <row r="22" spans="2:2" x14ac:dyDescent="0.3">
      <c r="B22" t="s">
        <v>381</v>
      </c>
    </row>
    <row r="23" spans="2:2" x14ac:dyDescent="0.3">
      <c r="B23" t="s">
        <v>382</v>
      </c>
    </row>
    <row r="24" spans="2:2" x14ac:dyDescent="0.3">
      <c r="B24" t="s">
        <v>383</v>
      </c>
    </row>
    <row r="25" spans="2:2" x14ac:dyDescent="0.3">
      <c r="B25" t="s">
        <v>384</v>
      </c>
    </row>
    <row r="26" spans="2:2" x14ac:dyDescent="0.3">
      <c r="B26" t="s">
        <v>385</v>
      </c>
    </row>
    <row r="27" spans="2:2" x14ac:dyDescent="0.3">
      <c r="B27" t="s">
        <v>386</v>
      </c>
    </row>
    <row r="28" spans="2:2" x14ac:dyDescent="0.3">
      <c r="B28" t="s">
        <v>387</v>
      </c>
    </row>
    <row r="29" spans="2:2" x14ac:dyDescent="0.3">
      <c r="B29" t="s">
        <v>388</v>
      </c>
    </row>
    <row r="30" spans="2:2" x14ac:dyDescent="0.3">
      <c r="B30" t="s">
        <v>389</v>
      </c>
    </row>
    <row r="31" spans="2:2" x14ac:dyDescent="0.3">
      <c r="B31" t="s">
        <v>390</v>
      </c>
    </row>
    <row r="32" spans="2:2" x14ac:dyDescent="0.3">
      <c r="B32" t="s">
        <v>391</v>
      </c>
    </row>
    <row r="33" spans="2:2" x14ac:dyDescent="0.3">
      <c r="B33" t="s">
        <v>392</v>
      </c>
    </row>
    <row r="34" spans="2:2" x14ac:dyDescent="0.3">
      <c r="B34" t="s">
        <v>393</v>
      </c>
    </row>
    <row r="35" spans="2:2" x14ac:dyDescent="0.3">
      <c r="B35" t="s">
        <v>394</v>
      </c>
    </row>
    <row r="36" spans="2:2" x14ac:dyDescent="0.3">
      <c r="B36" t="s">
        <v>395</v>
      </c>
    </row>
    <row r="37" spans="2:2" x14ac:dyDescent="0.3">
      <c r="B37" t="s">
        <v>396</v>
      </c>
    </row>
    <row r="38" spans="2:2" x14ac:dyDescent="0.3">
      <c r="B38" t="s">
        <v>397</v>
      </c>
    </row>
    <row r="39" spans="2:2" x14ac:dyDescent="0.3">
      <c r="B39" t="s">
        <v>398</v>
      </c>
    </row>
    <row r="40" spans="2:2" x14ac:dyDescent="0.3">
      <c r="B40" t="s">
        <v>399</v>
      </c>
    </row>
    <row r="41" spans="2:2" x14ac:dyDescent="0.3">
      <c r="B41" t="s">
        <v>400</v>
      </c>
    </row>
    <row r="42" spans="2:2" x14ac:dyDescent="0.3">
      <c r="B42" t="s">
        <v>401</v>
      </c>
    </row>
    <row r="43" spans="2:2" x14ac:dyDescent="0.3">
      <c r="B43" t="s">
        <v>402</v>
      </c>
    </row>
    <row r="44" spans="2:2" x14ac:dyDescent="0.3">
      <c r="B44" t="s">
        <v>403</v>
      </c>
    </row>
    <row r="45" spans="2:2" x14ac:dyDescent="0.3">
      <c r="B45" t="s">
        <v>404</v>
      </c>
    </row>
    <row r="46" spans="2:2" x14ac:dyDescent="0.3">
      <c r="B46" t="s">
        <v>405</v>
      </c>
    </row>
    <row r="47" spans="2:2" x14ac:dyDescent="0.3">
      <c r="B47" t="s">
        <v>406</v>
      </c>
    </row>
    <row r="48" spans="2:2" x14ac:dyDescent="0.3">
      <c r="B48" t="s">
        <v>407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B38"/>
  <sheetViews>
    <sheetView workbookViewId="0">
      <selection activeCell="N13" sqref="N13"/>
    </sheetView>
  </sheetViews>
  <sheetFormatPr defaultRowHeight="16.5" x14ac:dyDescent="0.3"/>
  <sheetData>
    <row r="2" spans="2:2" x14ac:dyDescent="0.3">
      <c r="B2" t="s">
        <v>444</v>
      </c>
    </row>
    <row r="3" spans="2:2" x14ac:dyDescent="0.3">
      <c r="B3" t="s">
        <v>408</v>
      </c>
    </row>
    <row r="4" spans="2:2" x14ac:dyDescent="0.3">
      <c r="B4" t="s">
        <v>409</v>
      </c>
    </row>
    <row r="5" spans="2:2" x14ac:dyDescent="0.3">
      <c r="B5" t="s">
        <v>410</v>
      </c>
    </row>
    <row r="6" spans="2:2" x14ac:dyDescent="0.3">
      <c r="B6" t="s">
        <v>411</v>
      </c>
    </row>
    <row r="7" spans="2:2" x14ac:dyDescent="0.3">
      <c r="B7" t="s">
        <v>412</v>
      </c>
    </row>
    <row r="8" spans="2:2" x14ac:dyDescent="0.3">
      <c r="B8" t="s">
        <v>413</v>
      </c>
    </row>
    <row r="9" spans="2:2" x14ac:dyDescent="0.3">
      <c r="B9" t="s">
        <v>414</v>
      </c>
    </row>
    <row r="10" spans="2:2" x14ac:dyDescent="0.3">
      <c r="B10" t="s">
        <v>415</v>
      </c>
    </row>
    <row r="11" spans="2:2" x14ac:dyDescent="0.3">
      <c r="B11" t="s">
        <v>416</v>
      </c>
    </row>
    <row r="12" spans="2:2" x14ac:dyDescent="0.3">
      <c r="B12" t="s">
        <v>417</v>
      </c>
    </row>
    <row r="13" spans="2:2" x14ac:dyDescent="0.3">
      <c r="B13" t="s">
        <v>418</v>
      </c>
    </row>
    <row r="14" spans="2:2" x14ac:dyDescent="0.3">
      <c r="B14" t="s">
        <v>419</v>
      </c>
    </row>
    <row r="15" spans="2:2" x14ac:dyDescent="0.3">
      <c r="B15" t="s">
        <v>420</v>
      </c>
    </row>
    <row r="16" spans="2:2" x14ac:dyDescent="0.3">
      <c r="B16" t="s">
        <v>421</v>
      </c>
    </row>
    <row r="17" spans="2:2" x14ac:dyDescent="0.3">
      <c r="B17" t="s">
        <v>422</v>
      </c>
    </row>
    <row r="18" spans="2:2" x14ac:dyDescent="0.3">
      <c r="B18" t="s">
        <v>423</v>
      </c>
    </row>
    <row r="19" spans="2:2" x14ac:dyDescent="0.3">
      <c r="B19" t="s">
        <v>424</v>
      </c>
    </row>
    <row r="20" spans="2:2" x14ac:dyDescent="0.3">
      <c r="B20" t="s">
        <v>425</v>
      </c>
    </row>
    <row r="21" spans="2:2" x14ac:dyDescent="0.3">
      <c r="B21" t="s">
        <v>426</v>
      </c>
    </row>
    <row r="22" spans="2:2" x14ac:dyDescent="0.3">
      <c r="B22" t="s">
        <v>427</v>
      </c>
    </row>
    <row r="23" spans="2:2" x14ac:dyDescent="0.3">
      <c r="B23" t="s">
        <v>428</v>
      </c>
    </row>
    <row r="24" spans="2:2" x14ac:dyDescent="0.3">
      <c r="B24" t="s">
        <v>429</v>
      </c>
    </row>
    <row r="25" spans="2:2" x14ac:dyDescent="0.3">
      <c r="B25" t="s">
        <v>430</v>
      </c>
    </row>
    <row r="26" spans="2:2" x14ac:dyDescent="0.3">
      <c r="B26" t="s">
        <v>431</v>
      </c>
    </row>
    <row r="27" spans="2:2" x14ac:dyDescent="0.3">
      <c r="B27" t="s">
        <v>432</v>
      </c>
    </row>
    <row r="28" spans="2:2" x14ac:dyDescent="0.3">
      <c r="B28" t="s">
        <v>433</v>
      </c>
    </row>
    <row r="29" spans="2:2" x14ac:dyDescent="0.3">
      <c r="B29" t="s">
        <v>434</v>
      </c>
    </row>
    <row r="30" spans="2:2" x14ac:dyDescent="0.3">
      <c r="B30" t="s">
        <v>435</v>
      </c>
    </row>
    <row r="31" spans="2:2" x14ac:dyDescent="0.3">
      <c r="B31" t="s">
        <v>436</v>
      </c>
    </row>
    <row r="32" spans="2:2" x14ac:dyDescent="0.3">
      <c r="B32" t="s">
        <v>437</v>
      </c>
    </row>
    <row r="33" spans="2:2" x14ac:dyDescent="0.3">
      <c r="B33" t="s">
        <v>438</v>
      </c>
    </row>
    <row r="34" spans="2:2" x14ac:dyDescent="0.3">
      <c r="B34" t="s">
        <v>439</v>
      </c>
    </row>
    <row r="35" spans="2:2" x14ac:dyDescent="0.3">
      <c r="B35" t="s">
        <v>440</v>
      </c>
    </row>
    <row r="36" spans="2:2" x14ac:dyDescent="0.3">
      <c r="B36" t="s">
        <v>441</v>
      </c>
    </row>
    <row r="37" spans="2:2" x14ac:dyDescent="0.3">
      <c r="B37" t="s">
        <v>442</v>
      </c>
    </row>
    <row r="38" spans="2:2" x14ac:dyDescent="0.3">
      <c r="B38" t="s">
        <v>443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B22971-7170-4341-9B8E-494DA1D1A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이름이 지정된 범위</vt:lpstr>
      </vt:variant>
      <vt:variant>
        <vt:i4>4</vt:i4>
      </vt:variant>
    </vt:vector>
  </HeadingPairs>
  <TitlesOfParts>
    <vt:vector size="34" baseType="lpstr">
      <vt:lpstr>메인</vt:lpstr>
      <vt:lpstr>항목</vt:lpstr>
      <vt:lpstr>계좌현황</vt:lpstr>
      <vt:lpstr>예금관리</vt:lpstr>
      <vt:lpstr>적금관리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예산</vt:lpstr>
      <vt:lpstr>결산</vt:lpstr>
      <vt:lpstr>연간_항목별수입</vt:lpstr>
      <vt:lpstr>연간_카드별지출</vt:lpstr>
      <vt:lpstr>연간_항목별지출</vt:lpstr>
      <vt:lpstr>연간_세부항목별지출</vt:lpstr>
      <vt:lpstr>자산현황</vt:lpstr>
      <vt:lpstr>부채관리</vt:lpstr>
      <vt:lpstr>대출1</vt:lpstr>
      <vt:lpstr>대출2</vt:lpstr>
      <vt:lpstr>대출3</vt:lpstr>
      <vt:lpstr>코스피목록</vt:lpstr>
      <vt:lpstr>코스닥목록</vt:lpstr>
      <vt:lpstr>_10_결제분류</vt:lpstr>
      <vt:lpstr>_10_결제분류상세</vt:lpstr>
      <vt:lpstr>_20_대분류</vt:lpstr>
      <vt:lpstr>_20_소분류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</dc:creator>
  <cp:lastModifiedBy>HanaTI</cp:lastModifiedBy>
  <cp:lastPrinted>2023-02-15T00:19:04Z</cp:lastPrinted>
  <dcterms:created xsi:type="dcterms:W3CDTF">2017-12-01T12:00:52Z</dcterms:created>
  <dcterms:modified xsi:type="dcterms:W3CDTF">2025-11-06T05:40:59Z</dcterms:modified>
</cp:coreProperties>
</file>